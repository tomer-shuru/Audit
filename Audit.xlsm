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richData/rdrichvalue.xml" ContentType="application/vnd.ms-excel.rdrichvalue+xml"/>
  <Override PartName="/xl/richData/rdrichvaluestructure.xml" ContentType="application/vnd.ms-excel.rdrichvaluestructure+xml"/>
  <Override PartName="/xl/richData/rdRichValueTypes.xml" ContentType="application/vnd.ms-excel.rdrichvaluetypes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pivotTables/pivotTable1.xml" ContentType="application/vnd.openxmlformats-officedocument.spreadsheetml.pivotTab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725" codeName="{DD97A8EA-9A9A-E61F-A557-7D5A7D7259CE}"/>
  <workbookPr codeName="ThisWorkbook" hidePivotFieldList="1" defaultThemeVersion="202300"/>
  <mc:AlternateContent xmlns:mc="http://schemas.openxmlformats.org/markup-compatibility/2006">
    <mc:Choice Requires="x15">
      <x15ac:absPath xmlns:x15ac="http://schemas.microsoft.com/office/spreadsheetml/2010/11/ac" url="C:\Users\Admin\Desktop\AuditRepo\Audit\"/>
    </mc:Choice>
  </mc:AlternateContent>
  <xr:revisionPtr revIDLastSave="0" documentId="13_ncr:1_{F5442BD4-3D69-441B-8988-DFC1975A77E1}" xr6:coauthVersionLast="47" xr6:coauthVersionMax="47" xr10:uidLastSave="{00000000-0000-0000-0000-000000000000}"/>
  <bookViews>
    <workbookView xWindow="-120" yWindow="-120" windowWidth="38640" windowHeight="21240" activeTab="2" xr2:uid="{E0E293F9-D794-491A-92CF-8D3933F9CC7D}"/>
  </bookViews>
  <sheets>
    <sheet name="Audit Report" sheetId="1" r:id="rId1"/>
    <sheet name="Locked and Faulty" sheetId="13" r:id="rId2"/>
    <sheet name="My_Audit" sheetId="5" r:id="rId3"/>
    <sheet name="Input" sheetId="2" r:id="rId4"/>
    <sheet name="Disk_Pivot" sheetId="12" r:id="rId5"/>
    <sheet name="Disk_Pivot_Data" sheetId="10" r:id="rId6"/>
    <sheet name="MacReports" sheetId="3" r:id="rId7"/>
    <sheet name="CSV" sheetId="4" r:id="rId8"/>
    <sheet name="CPU_Formula" sheetId="8" r:id="rId9"/>
    <sheet name="Output_Mac" sheetId="6" r:id="rId10"/>
    <sheet name="Models" sheetId="7" r:id="rId11"/>
  </sheets>
  <definedNames>
    <definedName name="_xlpm.chars" hidden="1" xlm="1">#NAME?</definedName>
    <definedName name="_xlpm.CSVVal" hidden="1" xlm="1">#NAME?</definedName>
    <definedName name="_xlpm.MacVal" hidden="1" xlm="1">#NAME?</definedName>
    <definedName name="_xlpm.MyAuditVal" hidden="1" xlm="1">#NAME?</definedName>
    <definedName name="_xlpm.Result" hidden="1" xlm="1">#NAME?</definedName>
    <definedName name="_xlpm.txt" hidden="1" xlm="1">#NAME?</definedName>
  </definedNames>
  <calcPr calcId="191029"/>
  <pivotCaches>
    <pivotCache cacheId="0" r:id="rId12"/>
  </pivotCaches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B53" i="1" l="1"/>
  <c r="B54" i="1"/>
  <c r="B55" i="1"/>
  <c r="B56" i="1"/>
  <c r="B57" i="1"/>
  <c r="B58" i="1"/>
  <c r="B59" i="1"/>
  <c r="B60" i="1"/>
  <c r="B61" i="1"/>
  <c r="B62" i="1"/>
  <c r="B63" i="1"/>
  <c r="B64" i="1"/>
  <c r="B65" i="1"/>
  <c r="B66" i="1"/>
  <c r="B67" i="1"/>
  <c r="B68" i="1"/>
  <c r="B69" i="1"/>
  <c r="B70" i="1"/>
  <c r="B71" i="1"/>
  <c r="B72" i="1"/>
  <c r="B73" i="1"/>
  <c r="B74" i="1"/>
  <c r="B75" i="1"/>
  <c r="B76" i="1"/>
  <c r="B77" i="1"/>
  <c r="B78" i="1"/>
  <c r="B79" i="1"/>
  <c r="B80" i="1"/>
  <c r="B81" i="1"/>
  <c r="B82" i="1"/>
  <c r="B83" i="1"/>
  <c r="B84" i="1"/>
  <c r="B85" i="1"/>
  <c r="B86" i="1"/>
  <c r="B87" i="1"/>
  <c r="B88" i="1"/>
  <c r="B89" i="1"/>
  <c r="B90" i="1"/>
  <c r="B91" i="1"/>
  <c r="B92" i="1"/>
  <c r="B93" i="1"/>
  <c r="B94" i="1"/>
  <c r="B95" i="1"/>
  <c r="B96" i="1"/>
  <c r="B97" i="1"/>
  <c r="B98" i="1"/>
  <c r="B99" i="1"/>
  <c r="B100" i="1"/>
  <c r="B101" i="1"/>
  <c r="B102" i="1"/>
  <c r="B103" i="1"/>
  <c r="B104" i="1"/>
  <c r="B105" i="1"/>
  <c r="B106" i="1"/>
  <c r="B107" i="1"/>
  <c r="B108" i="1"/>
  <c r="B109" i="1"/>
  <c r="B110" i="1"/>
  <c r="B111" i="1"/>
  <c r="B112" i="1"/>
  <c r="B113" i="1"/>
  <c r="B114" i="1"/>
  <c r="B115" i="1"/>
  <c r="B116" i="1"/>
  <c r="B117" i="1"/>
  <c r="B118" i="1"/>
  <c r="B119" i="1"/>
  <c r="B120" i="1"/>
  <c r="B121" i="1"/>
  <c r="B122" i="1"/>
  <c r="B123" i="1"/>
  <c r="B124" i="1"/>
  <c r="B125" i="1"/>
  <c r="B126" i="1"/>
  <c r="B127" i="1"/>
  <c r="B128" i="1"/>
  <c r="B129" i="1"/>
  <c r="B130" i="1"/>
  <c r="B131" i="1"/>
  <c r="B132" i="1"/>
  <c r="B133" i="1"/>
  <c r="B134" i="1"/>
  <c r="B135" i="1"/>
  <c r="B136" i="1"/>
  <c r="B137" i="1"/>
  <c r="B138" i="1"/>
  <c r="B139" i="1"/>
  <c r="B140" i="1"/>
  <c r="B141" i="1"/>
  <c r="B142" i="1"/>
  <c r="B143" i="1"/>
  <c r="B144" i="1"/>
  <c r="B145" i="1"/>
  <c r="B146" i="1"/>
  <c r="B147" i="1"/>
  <c r="B148" i="1"/>
  <c r="B149" i="1"/>
  <c r="B150" i="1"/>
  <c r="B151" i="1"/>
  <c r="B152" i="1"/>
  <c r="B153" i="1"/>
  <c r="B154" i="1"/>
  <c r="B155" i="1"/>
  <c r="B156" i="1"/>
  <c r="B157" i="1"/>
  <c r="B158" i="1"/>
  <c r="B3" i="1"/>
  <c r="B4" i="1"/>
  <c r="B5" i="1"/>
  <c r="B6" i="1"/>
  <c r="B7" i="1"/>
  <c r="B8" i="1"/>
  <c r="B9" i="1"/>
  <c r="B10" i="1"/>
  <c r="B11" i="1"/>
  <c r="B12" i="1"/>
  <c r="B13" i="1"/>
  <c r="B14" i="1"/>
  <c r="B15" i="1"/>
  <c r="B16" i="1"/>
  <c r="B17" i="1"/>
  <c r="B18" i="1"/>
  <c r="B19" i="1"/>
  <c r="B20" i="1"/>
  <c r="B21" i="1"/>
  <c r="B22" i="1"/>
  <c r="B23" i="1"/>
  <c r="B24" i="1"/>
  <c r="B25" i="1"/>
  <c r="B26" i="1"/>
  <c r="B27" i="1"/>
  <c r="B28" i="1"/>
  <c r="B29" i="1"/>
  <c r="B30" i="1"/>
  <c r="B31" i="1"/>
  <c r="B32" i="1"/>
  <c r="B33" i="1"/>
  <c r="B34" i="1"/>
  <c r="B35" i="1"/>
  <c r="B36" i="1"/>
  <c r="B37" i="1"/>
  <c r="B38" i="1"/>
  <c r="B39" i="1"/>
  <c r="B40" i="1"/>
  <c r="B41" i="1"/>
  <c r="B42" i="1"/>
  <c r="B43" i="1"/>
  <c r="B44" i="1"/>
  <c r="B45" i="1"/>
  <c r="B46" i="1"/>
  <c r="B47" i="1"/>
  <c r="B48" i="1"/>
  <c r="B49" i="1"/>
  <c r="B50" i="1"/>
  <c r="B51" i="1"/>
  <c r="B52" i="1"/>
  <c r="B2" i="1"/>
  <c r="P44" i="5"/>
  <c r="P45" i="5"/>
  <c r="P46" i="5"/>
  <c r="P47" i="5"/>
  <c r="P48" i="5"/>
  <c r="P49" i="5"/>
  <c r="P50" i="5"/>
  <c r="P51" i="5"/>
  <c r="P52" i="5"/>
  <c r="P53" i="5"/>
  <c r="P54" i="5"/>
  <c r="P55" i="5"/>
  <c r="P56" i="5"/>
  <c r="P57" i="5"/>
  <c r="P58" i="5"/>
  <c r="P59" i="5"/>
  <c r="P60" i="5"/>
  <c r="P61" i="5"/>
  <c r="P62" i="5"/>
  <c r="P63" i="5"/>
  <c r="P64" i="5"/>
  <c r="P65" i="5"/>
  <c r="P66" i="5"/>
  <c r="P67" i="5"/>
  <c r="P68" i="5"/>
  <c r="P69" i="5"/>
  <c r="P70" i="5"/>
  <c r="P71" i="5"/>
  <c r="P72" i="5"/>
  <c r="P73" i="5"/>
  <c r="P74" i="5"/>
  <c r="P75" i="5"/>
  <c r="P76" i="5"/>
  <c r="P77" i="5"/>
  <c r="P78" i="5"/>
  <c r="P79" i="5"/>
  <c r="P80" i="5"/>
  <c r="P81" i="5"/>
  <c r="P82" i="5"/>
  <c r="P83" i="5"/>
  <c r="P84" i="5"/>
  <c r="P85" i="5"/>
  <c r="P86" i="5"/>
  <c r="P87" i="5"/>
  <c r="P88" i="5"/>
  <c r="P89" i="5"/>
  <c r="P90" i="5"/>
  <c r="P91" i="5"/>
  <c r="P92" i="5"/>
  <c r="P93" i="5"/>
  <c r="P94" i="5"/>
  <c r="P95" i="5"/>
  <c r="P96" i="5"/>
  <c r="P97" i="5"/>
  <c r="P98" i="5"/>
  <c r="P99" i="5"/>
  <c r="P100" i="5"/>
  <c r="P101" i="5"/>
  <c r="P102" i="5"/>
  <c r="P103" i="5"/>
  <c r="P104" i="5"/>
  <c r="P105" i="5"/>
  <c r="P106" i="5"/>
  <c r="P107" i="5"/>
  <c r="P108" i="5"/>
  <c r="P109" i="5"/>
  <c r="P110" i="5"/>
  <c r="P111" i="5"/>
  <c r="P112" i="5"/>
  <c r="P113" i="5"/>
  <c r="P114" i="5"/>
  <c r="P115" i="5"/>
  <c r="P116" i="5"/>
  <c r="P117" i="5"/>
  <c r="P118" i="5"/>
  <c r="P119" i="5"/>
  <c r="P120" i="5"/>
  <c r="P121" i="5"/>
  <c r="P122" i="5"/>
  <c r="P123" i="5"/>
  <c r="P124" i="5"/>
  <c r="P125" i="5"/>
  <c r="P126" i="5"/>
  <c r="P127" i="5"/>
  <c r="P128" i="5"/>
  <c r="P129" i="5"/>
  <c r="P130" i="5"/>
  <c r="P131" i="5"/>
  <c r="P132" i="5"/>
  <c r="P133" i="5"/>
  <c r="P134" i="5"/>
  <c r="P135" i="5"/>
  <c r="P136" i="5"/>
  <c r="P137" i="5"/>
  <c r="P138" i="5"/>
  <c r="P139" i="5"/>
  <c r="P140" i="5"/>
  <c r="P141" i="5"/>
  <c r="P142" i="5"/>
  <c r="P143" i="5"/>
  <c r="P144" i="5"/>
  <c r="P145" i="5"/>
  <c r="P146" i="5"/>
  <c r="P147" i="5"/>
  <c r="P148" i="5"/>
  <c r="P149" i="5"/>
  <c r="P150" i="5"/>
  <c r="P151" i="5"/>
  <c r="P152" i="5"/>
  <c r="P153" i="5"/>
  <c r="P154" i="5"/>
  <c r="P155" i="5"/>
  <c r="P156" i="5"/>
  <c r="P157" i="5"/>
  <c r="P158" i="5"/>
  <c r="P159" i="5"/>
  <c r="P160" i="5"/>
  <c r="P161" i="5"/>
  <c r="P162" i="5"/>
  <c r="P163" i="5"/>
  <c r="P164" i="5"/>
  <c r="P165" i="5"/>
  <c r="P166" i="5"/>
  <c r="P167" i="5"/>
  <c r="P168" i="5"/>
  <c r="P169" i="5"/>
  <c r="P170" i="5"/>
  <c r="P171" i="5"/>
  <c r="P172" i="5"/>
  <c r="P173" i="5"/>
  <c r="P174" i="5"/>
  <c r="P175" i="5"/>
  <c r="P176" i="5"/>
  <c r="P177" i="5"/>
  <c r="P178" i="5"/>
  <c r="P179" i="5"/>
  <c r="P180" i="5"/>
  <c r="P181" i="5"/>
  <c r="P182" i="5"/>
  <c r="P183" i="5"/>
  <c r="P184" i="5"/>
  <c r="P185" i="5"/>
  <c r="P186" i="5"/>
  <c r="P187" i="5"/>
  <c r="P188" i="5"/>
  <c r="P189" i="5"/>
  <c r="P190" i="5"/>
  <c r="P191" i="5"/>
  <c r="P192" i="5"/>
  <c r="P193" i="5"/>
  <c r="P194" i="5"/>
  <c r="P195" i="5"/>
  <c r="P196" i="5"/>
  <c r="P197" i="5"/>
  <c r="P198" i="5"/>
  <c r="P199" i="5"/>
  <c r="P200" i="5"/>
  <c r="P201" i="5"/>
  <c r="P202" i="5"/>
  <c r="P203" i="5"/>
  <c r="P204" i="5"/>
  <c r="P205" i="5"/>
  <c r="P206" i="5"/>
  <c r="P207" i="5"/>
  <c r="P208" i="5"/>
  <c r="P209" i="5"/>
  <c r="P210" i="5"/>
  <c r="P211" i="5"/>
  <c r="P212" i="5"/>
  <c r="P213" i="5"/>
  <c r="P214" i="5"/>
  <c r="P215" i="5"/>
  <c r="P216" i="5"/>
  <c r="P217" i="5"/>
  <c r="P218" i="5"/>
  <c r="P219" i="5"/>
  <c r="P220" i="5"/>
  <c r="P221" i="5"/>
  <c r="P222" i="5"/>
  <c r="P223" i="5"/>
  <c r="P224" i="5"/>
  <c r="P225" i="5"/>
  <c r="P226" i="5"/>
  <c r="P227" i="5"/>
  <c r="P228" i="5"/>
  <c r="P229" i="5"/>
  <c r="P230" i="5"/>
  <c r="P231" i="5"/>
  <c r="P232" i="5"/>
  <c r="P233" i="5"/>
  <c r="P234" i="5"/>
  <c r="P235" i="5"/>
  <c r="P236" i="5"/>
  <c r="P237" i="5"/>
  <c r="P238" i="5"/>
  <c r="P239" i="5"/>
  <c r="P240" i="5"/>
  <c r="P241" i="5"/>
  <c r="P242" i="5"/>
  <c r="P243" i="5"/>
  <c r="P244" i="5"/>
  <c r="P245" i="5"/>
  <c r="P246" i="5"/>
  <c r="P247" i="5"/>
  <c r="P248" i="5"/>
  <c r="P249" i="5"/>
  <c r="P250" i="5"/>
  <c r="P251" i="5"/>
  <c r="P252" i="5"/>
  <c r="P253" i="5"/>
  <c r="P254" i="5"/>
  <c r="P255" i="5"/>
  <c r="P256" i="5"/>
  <c r="P257" i="5"/>
  <c r="P258" i="5"/>
  <c r="P259" i="5"/>
  <c r="P260" i="5"/>
  <c r="P261" i="5"/>
  <c r="P262" i="5"/>
  <c r="P263" i="5"/>
  <c r="P264" i="5"/>
  <c r="P265" i="5"/>
  <c r="P266" i="5"/>
  <c r="P267" i="5"/>
  <c r="P268" i="5"/>
  <c r="P269" i="5"/>
  <c r="P270" i="5"/>
  <c r="P271" i="5"/>
  <c r="P272" i="5"/>
  <c r="P273" i="5"/>
  <c r="P274" i="5"/>
  <c r="P275" i="5"/>
  <c r="P276" i="5"/>
  <c r="P277" i="5"/>
  <c r="P278" i="5"/>
  <c r="P279" i="5"/>
  <c r="P280" i="5"/>
  <c r="P281" i="5"/>
  <c r="P282" i="5"/>
  <c r="P283" i="5"/>
  <c r="P284" i="5"/>
  <c r="P285" i="5"/>
  <c r="P286" i="5"/>
  <c r="P287" i="5"/>
  <c r="P288" i="5"/>
  <c r="P289" i="5"/>
  <c r="P290" i="5"/>
  <c r="P291" i="5"/>
  <c r="P292" i="5"/>
  <c r="P293" i="5"/>
  <c r="P294" i="5"/>
  <c r="P295" i="5"/>
  <c r="P296" i="5"/>
  <c r="P297" i="5"/>
  <c r="P298" i="5"/>
  <c r="P299" i="5"/>
  <c r="P300" i="5"/>
  <c r="P301" i="5"/>
  <c r="P302" i="5"/>
  <c r="P303" i="5"/>
  <c r="P304" i="5"/>
  <c r="P305" i="5"/>
  <c r="P306" i="5"/>
  <c r="P307" i="5"/>
  <c r="P308" i="5"/>
  <c r="P309" i="5"/>
  <c r="P310" i="5"/>
  <c r="P311" i="5"/>
  <c r="P312" i="5"/>
  <c r="P313" i="5"/>
  <c r="P314" i="5"/>
  <c r="P315" i="5"/>
  <c r="P316" i="5"/>
  <c r="P317" i="5"/>
  <c r="P318" i="5"/>
  <c r="P319" i="5"/>
  <c r="P320" i="5"/>
  <c r="P321" i="5"/>
  <c r="P322" i="5"/>
  <c r="P323" i="5"/>
  <c r="P324" i="5"/>
  <c r="P325" i="5"/>
  <c r="P326" i="5"/>
  <c r="P327" i="5"/>
  <c r="P328" i="5"/>
  <c r="P329" i="5"/>
  <c r="P330" i="5"/>
  <c r="P331" i="5"/>
  <c r="P332" i="5"/>
  <c r="P333" i="5"/>
  <c r="P334" i="5"/>
  <c r="P335" i="5"/>
  <c r="P336" i="5"/>
  <c r="P337" i="5"/>
  <c r="P338" i="5"/>
  <c r="P339" i="5"/>
  <c r="P340" i="5"/>
  <c r="P341" i="5"/>
  <c r="P342" i="5"/>
  <c r="P343" i="5"/>
  <c r="P344" i="5"/>
  <c r="P345" i="5"/>
  <c r="P346" i="5"/>
  <c r="P347" i="5"/>
  <c r="P348" i="5"/>
  <c r="P349" i="5"/>
  <c r="P350" i="5"/>
  <c r="P351" i="5"/>
  <c r="P352" i="5"/>
  <c r="P353" i="5"/>
  <c r="P354" i="5"/>
  <c r="P355" i="5"/>
  <c r="P356" i="5"/>
  <c r="P357" i="5"/>
  <c r="P358" i="5"/>
  <c r="P359" i="5"/>
  <c r="P360" i="5"/>
  <c r="P361" i="5"/>
  <c r="P362" i="5"/>
  <c r="P363" i="5"/>
  <c r="P364" i="5"/>
  <c r="P365" i="5"/>
  <c r="P366" i="5"/>
  <c r="P367" i="5"/>
  <c r="P368" i="5"/>
  <c r="P369" i="5"/>
  <c r="P370" i="5"/>
  <c r="P371" i="5"/>
  <c r="P372" i="5"/>
  <c r="P373" i="5"/>
  <c r="P374" i="5"/>
  <c r="P375" i="5"/>
  <c r="P376" i="5"/>
  <c r="P377" i="5"/>
  <c r="P378" i="5"/>
  <c r="P379" i="5"/>
  <c r="P380" i="5"/>
  <c r="P381" i="5"/>
  <c r="P382" i="5"/>
  <c r="P383" i="5"/>
  <c r="P384" i="5"/>
  <c r="P385" i="5"/>
  <c r="P386" i="5"/>
  <c r="P387" i="5"/>
  <c r="P388" i="5"/>
  <c r="P389" i="5"/>
  <c r="P390" i="5"/>
  <c r="P391" i="5"/>
  <c r="P392" i="5"/>
  <c r="P393" i="5"/>
  <c r="P394" i="5"/>
  <c r="P395" i="5"/>
  <c r="P396" i="5"/>
  <c r="P397" i="5"/>
  <c r="P398" i="5"/>
  <c r="P399" i="5"/>
  <c r="P400" i="5"/>
  <c r="P401" i="5"/>
  <c r="P402" i="5"/>
  <c r="P403" i="5"/>
  <c r="P404" i="5"/>
  <c r="P405" i="5"/>
  <c r="P406" i="5"/>
  <c r="P407" i="5"/>
  <c r="P408" i="5"/>
  <c r="P409" i="5"/>
  <c r="P410" i="5"/>
  <c r="P411" i="5"/>
  <c r="P412" i="5"/>
  <c r="P413" i="5"/>
  <c r="P414" i="5"/>
  <c r="P415" i="5"/>
  <c r="P416" i="5"/>
  <c r="P417" i="5"/>
  <c r="P418" i="5"/>
  <c r="P419" i="5"/>
  <c r="P420" i="5"/>
  <c r="P421" i="5"/>
  <c r="P422" i="5"/>
  <c r="P423" i="5"/>
  <c r="P424" i="5"/>
  <c r="P425" i="5"/>
  <c r="P426" i="5"/>
  <c r="P427" i="5"/>
  <c r="P428" i="5"/>
  <c r="P429" i="5"/>
  <c r="P430" i="5"/>
  <c r="P431" i="5"/>
  <c r="P432" i="5"/>
  <c r="P433" i="5"/>
  <c r="P434" i="5"/>
  <c r="P435" i="5"/>
  <c r="P436" i="5"/>
  <c r="P437" i="5"/>
  <c r="P438" i="5"/>
  <c r="P439" i="5"/>
  <c r="P440" i="5"/>
  <c r="P441" i="5"/>
  <c r="P442" i="5"/>
  <c r="P443" i="5"/>
  <c r="P444" i="5"/>
  <c r="P445" i="5"/>
  <c r="P446" i="5"/>
  <c r="P447" i="5"/>
  <c r="P448" i="5"/>
  <c r="P449" i="5"/>
  <c r="P450" i="5"/>
  <c r="P451" i="5"/>
  <c r="P452" i="5"/>
  <c r="P453" i="5"/>
  <c r="P454" i="5"/>
  <c r="P455" i="5"/>
  <c r="AB26" i="6"/>
  <c r="AB27" i="6"/>
  <c r="AB28" i="6"/>
  <c r="AB29" i="6"/>
  <c r="AB30" i="6"/>
  <c r="AB31" i="6"/>
  <c r="AB32" i="6"/>
  <c r="AB33" i="6"/>
  <c r="AB34" i="6"/>
  <c r="AB35" i="6"/>
  <c r="AB36" i="6"/>
  <c r="AB37" i="6"/>
  <c r="AB38" i="6"/>
  <c r="AB39" i="6"/>
  <c r="AB40" i="6"/>
  <c r="AB41" i="6"/>
  <c r="AB42" i="6"/>
  <c r="AB43" i="6"/>
  <c r="AB44" i="6"/>
  <c r="AB45" i="6"/>
  <c r="AB46" i="6"/>
  <c r="AB47" i="6"/>
  <c r="AB48" i="6"/>
  <c r="AB49" i="6"/>
  <c r="AB50" i="6"/>
  <c r="AB51" i="6"/>
  <c r="AB52" i="6"/>
  <c r="AB53" i="6"/>
  <c r="AB54" i="6"/>
  <c r="AB55" i="6"/>
  <c r="AB56" i="6"/>
  <c r="AB57" i="6"/>
  <c r="AB58" i="6"/>
  <c r="AB59" i="6"/>
  <c r="AB60" i="6"/>
  <c r="AB61" i="6"/>
  <c r="AB62" i="6"/>
  <c r="AB63" i="6"/>
  <c r="AB64" i="6"/>
  <c r="AB65" i="6"/>
  <c r="AB66" i="6"/>
  <c r="AB67" i="6"/>
  <c r="AB68" i="6"/>
  <c r="AB69" i="6"/>
  <c r="AB70" i="6"/>
  <c r="AB71" i="6"/>
  <c r="AB72" i="6"/>
  <c r="AB73" i="6"/>
  <c r="AB74" i="6"/>
  <c r="AB75" i="6"/>
  <c r="AB76" i="6"/>
  <c r="AB77" i="6"/>
  <c r="AB78" i="6"/>
  <c r="AB79" i="6"/>
  <c r="AB80" i="6"/>
  <c r="AB81" i="6"/>
  <c r="AB82" i="6"/>
  <c r="AB83" i="6"/>
  <c r="AB84" i="6"/>
  <c r="AB85" i="6"/>
  <c r="AB86" i="6"/>
  <c r="AB87" i="6"/>
  <c r="AB88" i="6"/>
  <c r="AB89" i="6"/>
  <c r="AB90" i="6"/>
  <c r="AB91" i="6"/>
  <c r="AB92" i="6"/>
  <c r="AB93" i="6"/>
  <c r="AB94" i="6"/>
  <c r="AB95" i="6"/>
  <c r="AB96" i="6"/>
  <c r="AB97" i="6"/>
  <c r="AB98" i="6"/>
  <c r="AB99" i="6"/>
  <c r="AB100" i="6"/>
  <c r="AB101" i="6"/>
  <c r="AB102" i="6"/>
  <c r="AB103" i="6"/>
  <c r="AB104" i="6"/>
  <c r="AB105" i="6"/>
  <c r="AB106" i="6"/>
  <c r="AB107" i="6"/>
  <c r="AB108" i="6"/>
  <c r="AB109" i="6"/>
  <c r="AB110" i="6"/>
  <c r="AB111" i="6"/>
  <c r="AB112" i="6"/>
  <c r="AB113" i="6"/>
  <c r="AB114" i="6"/>
  <c r="AB115" i="6"/>
  <c r="AB116" i="6"/>
  <c r="AB117" i="6"/>
  <c r="AB118" i="6"/>
  <c r="AB119" i="6"/>
  <c r="AB120" i="6"/>
  <c r="AB121" i="6"/>
  <c r="AB122" i="6"/>
  <c r="AB123" i="6"/>
  <c r="AB124" i="6"/>
  <c r="AB125" i="6"/>
  <c r="AB126" i="6"/>
  <c r="AB127" i="6"/>
  <c r="AB128" i="6"/>
  <c r="AB129" i="6"/>
  <c r="AB130" i="6"/>
  <c r="AB131" i="6"/>
  <c r="AB132" i="6"/>
  <c r="AB133" i="6"/>
  <c r="AB134" i="6"/>
  <c r="AB135" i="6"/>
  <c r="AB136" i="6"/>
  <c r="AB137" i="6"/>
  <c r="AB138" i="6"/>
  <c r="AB139" i="6"/>
  <c r="AB140" i="6"/>
  <c r="AB141" i="6"/>
  <c r="AB142" i="6"/>
  <c r="AB143" i="6"/>
  <c r="AB144" i="6"/>
  <c r="AB145" i="6"/>
  <c r="AB146" i="6"/>
  <c r="AB147" i="6"/>
  <c r="AB148" i="6"/>
  <c r="AB149" i="6"/>
  <c r="AB150" i="6"/>
  <c r="AB151" i="6"/>
  <c r="AB152" i="6"/>
  <c r="AB153" i="6"/>
  <c r="AB154" i="6"/>
  <c r="AB155" i="6"/>
  <c r="AB156" i="6"/>
  <c r="AB157" i="6"/>
  <c r="AB158" i="6"/>
  <c r="AB159" i="6"/>
  <c r="AB160" i="6"/>
  <c r="AB161" i="6"/>
  <c r="AB162" i="6"/>
  <c r="AB163" i="6"/>
  <c r="AB164" i="6"/>
  <c r="AB165" i="6"/>
  <c r="AB166" i="6"/>
  <c r="AB167" i="6"/>
  <c r="AB168" i="6"/>
  <c r="AB169" i="6"/>
  <c r="AB170" i="6"/>
  <c r="AB171" i="6"/>
  <c r="AB172" i="6"/>
  <c r="AB173" i="6"/>
  <c r="AB174" i="6"/>
  <c r="AB175" i="6"/>
  <c r="AB176" i="6"/>
  <c r="AB177" i="6"/>
  <c r="AB178" i="6"/>
  <c r="AB179" i="6"/>
  <c r="AB180" i="6"/>
  <c r="AB181" i="6"/>
  <c r="AB182" i="6"/>
  <c r="AB183" i="6"/>
  <c r="AB184" i="6"/>
  <c r="AB185" i="6"/>
  <c r="AB186" i="6"/>
  <c r="AB187" i="6"/>
  <c r="AB188" i="6"/>
  <c r="AB189" i="6"/>
  <c r="AB190" i="6"/>
  <c r="AB191" i="6"/>
  <c r="AB192" i="6"/>
  <c r="AB193" i="6"/>
  <c r="AB194" i="6"/>
  <c r="AB195" i="6"/>
  <c r="AB196" i="6"/>
  <c r="AB197" i="6"/>
  <c r="AB198" i="6"/>
  <c r="AB199" i="6"/>
  <c r="AB200" i="6"/>
  <c r="AB201" i="6"/>
  <c r="AB202" i="6"/>
  <c r="AB203" i="6"/>
  <c r="AB204" i="6"/>
  <c r="AB205" i="6"/>
  <c r="AB206" i="6"/>
  <c r="AB207" i="6"/>
  <c r="AB208" i="6"/>
  <c r="AB209" i="6"/>
  <c r="AB210" i="6"/>
  <c r="AB211" i="6"/>
  <c r="AB212" i="6"/>
  <c r="AB213" i="6"/>
  <c r="AB214" i="6"/>
  <c r="AB215" i="6"/>
  <c r="AB216" i="6"/>
  <c r="AB217" i="6"/>
  <c r="AB218" i="6"/>
  <c r="AB219" i="6"/>
  <c r="AB220" i="6"/>
  <c r="AB221" i="6"/>
  <c r="AB222" i="6"/>
  <c r="AB223" i="6"/>
  <c r="AB224" i="6"/>
  <c r="AB225" i="6"/>
  <c r="AB226" i="6"/>
  <c r="AB227" i="6"/>
  <c r="AB228" i="6"/>
  <c r="AB229" i="6"/>
  <c r="AB230" i="6"/>
  <c r="AB231" i="6"/>
  <c r="AB232" i="6"/>
  <c r="AB233" i="6"/>
  <c r="AB234" i="6"/>
  <c r="AB235" i="6"/>
  <c r="AB236" i="6"/>
  <c r="AB237" i="6"/>
  <c r="AB238" i="6"/>
  <c r="AB239" i="6"/>
  <c r="AB240" i="6"/>
  <c r="AB241" i="6"/>
  <c r="AB242" i="6"/>
  <c r="AB243" i="6"/>
  <c r="AB244" i="6"/>
  <c r="AB245" i="6"/>
  <c r="AB246" i="6"/>
  <c r="AB247" i="6"/>
  <c r="AB248" i="6"/>
  <c r="AB249" i="6"/>
  <c r="AB250" i="6"/>
  <c r="AB251" i="6"/>
  <c r="AB252" i="6"/>
  <c r="AB253" i="6"/>
  <c r="AB254" i="6"/>
  <c r="AB255" i="6"/>
  <c r="AB256" i="6"/>
  <c r="AB257" i="6"/>
  <c r="AB258" i="6"/>
  <c r="AB259" i="6"/>
  <c r="AB260" i="6"/>
  <c r="AB261" i="6"/>
  <c r="AB262" i="6"/>
  <c r="AB263" i="6"/>
  <c r="AB264" i="6"/>
  <c r="AB265" i="6"/>
  <c r="AB266" i="6"/>
  <c r="AB267" i="6"/>
  <c r="AB268" i="6"/>
  <c r="AB269" i="6"/>
  <c r="AB270" i="6"/>
  <c r="AB271" i="6"/>
  <c r="AA43" i="4"/>
  <c r="AA44" i="4"/>
  <c r="AA45" i="4"/>
  <c r="AA46" i="4"/>
  <c r="AA47" i="4"/>
  <c r="AA48" i="4"/>
  <c r="AA49" i="4"/>
  <c r="AA50" i="4"/>
  <c r="AA51" i="4"/>
  <c r="AA52" i="4"/>
  <c r="AA53" i="4"/>
  <c r="AA54" i="4"/>
  <c r="AA55" i="4"/>
  <c r="AA56" i="4"/>
  <c r="AA57" i="4"/>
  <c r="AA58" i="4"/>
  <c r="AA59" i="4"/>
  <c r="AA60" i="4"/>
  <c r="AA61" i="4"/>
  <c r="AA62" i="4"/>
  <c r="AA63" i="4"/>
  <c r="AA64" i="4"/>
  <c r="AA65" i="4"/>
  <c r="AA66" i="4"/>
  <c r="AA67" i="4"/>
  <c r="AA68" i="4"/>
  <c r="AA69" i="4"/>
  <c r="AA70" i="4"/>
  <c r="AA71" i="4"/>
  <c r="AA72" i="4"/>
  <c r="AA73" i="4"/>
  <c r="AA74" i="4"/>
  <c r="AA75" i="4"/>
  <c r="AA76" i="4"/>
  <c r="AA77" i="4"/>
  <c r="AA78" i="4"/>
  <c r="AA79" i="4"/>
  <c r="AA80" i="4"/>
  <c r="AA81" i="4"/>
  <c r="AA82" i="4"/>
  <c r="AA83" i="4"/>
  <c r="AA84" i="4"/>
  <c r="AA85" i="4"/>
  <c r="AA86" i="4"/>
  <c r="AA87" i="4"/>
  <c r="AA88" i="4"/>
  <c r="AA89" i="4"/>
  <c r="AA90" i="4"/>
  <c r="AA91" i="4"/>
  <c r="AA92" i="4"/>
  <c r="AA93" i="4"/>
  <c r="AA94" i="4"/>
  <c r="AA95" i="4"/>
  <c r="AA96" i="4"/>
  <c r="AA97" i="4"/>
  <c r="AA98" i="4"/>
  <c r="AA99" i="4"/>
  <c r="AA100" i="4"/>
  <c r="AA101" i="4"/>
  <c r="AA102" i="4"/>
  <c r="AA103" i="4"/>
  <c r="AA104" i="4"/>
  <c r="AA105" i="4"/>
  <c r="AA106" i="4"/>
  <c r="AA107" i="4"/>
  <c r="AA108" i="4"/>
  <c r="AA109" i="4"/>
  <c r="AA110" i="4"/>
  <c r="AA111" i="4"/>
  <c r="AA112" i="4"/>
  <c r="AA113" i="4"/>
  <c r="AA114" i="4"/>
  <c r="AA115" i="4"/>
  <c r="AA116" i="4"/>
  <c r="AA117" i="4"/>
  <c r="AA118" i="4"/>
  <c r="AA119" i="4"/>
  <c r="AA120" i="4"/>
  <c r="AA121" i="4"/>
  <c r="AA122" i="4"/>
  <c r="AA123" i="4"/>
  <c r="AA124" i="4"/>
  <c r="AA125" i="4"/>
  <c r="AA126" i="4"/>
  <c r="AA127" i="4"/>
  <c r="AA128" i="4"/>
  <c r="AA129" i="4"/>
  <c r="AA130" i="4"/>
  <c r="AA131" i="4"/>
  <c r="AA132" i="4"/>
  <c r="AA133" i="4"/>
  <c r="AA134" i="4"/>
  <c r="AA135" i="4"/>
  <c r="AA136" i="4"/>
  <c r="AA137" i="4"/>
  <c r="AA138" i="4"/>
  <c r="AA139" i="4"/>
  <c r="AA140" i="4"/>
  <c r="AA141" i="4"/>
  <c r="AA142" i="4"/>
  <c r="AA143" i="4"/>
  <c r="AA144" i="4"/>
  <c r="AA145" i="4"/>
  <c r="AA146" i="4"/>
  <c r="AA147" i="4"/>
  <c r="AA148" i="4"/>
  <c r="AA149" i="4"/>
  <c r="AA150" i="4"/>
  <c r="AA151" i="4"/>
  <c r="AA152" i="4"/>
  <c r="AA153" i="4"/>
  <c r="AA154" i="4"/>
  <c r="AA155" i="4"/>
  <c r="AA156" i="4"/>
  <c r="AA157" i="4"/>
  <c r="AA158" i="4"/>
  <c r="AA159" i="4"/>
  <c r="AA160" i="4"/>
  <c r="AA161" i="4"/>
  <c r="AA162" i="4"/>
  <c r="AA163" i="4"/>
  <c r="AA164" i="4"/>
  <c r="AA165" i="4"/>
  <c r="AA166" i="4"/>
  <c r="AA167" i="4"/>
  <c r="AA168" i="4"/>
  <c r="AA169" i="4"/>
  <c r="AA170" i="4"/>
  <c r="AA171" i="4"/>
  <c r="AA172" i="4"/>
  <c r="AA173" i="4"/>
  <c r="AA174" i="4"/>
  <c r="AA175" i="4"/>
  <c r="AA176" i="4"/>
  <c r="AA177" i="4"/>
  <c r="AA178" i="4"/>
  <c r="AA179" i="4"/>
  <c r="AA180" i="4"/>
  <c r="AA181" i="4"/>
  <c r="AA182" i="4"/>
  <c r="AA183" i="4"/>
  <c r="AA184" i="4"/>
  <c r="AA185" i="4"/>
  <c r="AA186" i="4"/>
  <c r="AA187" i="4"/>
  <c r="AA188" i="4"/>
  <c r="AA189" i="4"/>
  <c r="AA190" i="4"/>
  <c r="AA191" i="4"/>
  <c r="AA192" i="4"/>
  <c r="AA193" i="4"/>
  <c r="AA194" i="4"/>
  <c r="AA195" i="4"/>
  <c r="AA196" i="4"/>
  <c r="AA197" i="4"/>
  <c r="AA198" i="4"/>
  <c r="AA199" i="4"/>
  <c r="AA200" i="4"/>
  <c r="AA201" i="4"/>
  <c r="AA202" i="4"/>
  <c r="AA203" i="4"/>
  <c r="AA204" i="4"/>
  <c r="AA205" i="4"/>
  <c r="AA206" i="4"/>
  <c r="AA207" i="4"/>
  <c r="AA208" i="4"/>
  <c r="AA209" i="4"/>
  <c r="AA210" i="4"/>
  <c r="AA211" i="4"/>
  <c r="AA212" i="4"/>
  <c r="AA213" i="4"/>
  <c r="AA214" i="4"/>
  <c r="AA215" i="4"/>
  <c r="AA216" i="4"/>
  <c r="AA217" i="4"/>
  <c r="AA218" i="4"/>
  <c r="AA219" i="4"/>
  <c r="AA220" i="4"/>
  <c r="AA221" i="4"/>
  <c r="AA222" i="4"/>
  <c r="AA223" i="4"/>
  <c r="AA224" i="4"/>
  <c r="AA225" i="4"/>
  <c r="AA226" i="4"/>
  <c r="AA227" i="4"/>
  <c r="AA228" i="4"/>
  <c r="AA229" i="4"/>
  <c r="AA230" i="4"/>
  <c r="AA231" i="4"/>
  <c r="AA232" i="4"/>
  <c r="AA233" i="4"/>
  <c r="AA234" i="4"/>
  <c r="AA235" i="4"/>
  <c r="AA236" i="4"/>
  <c r="AA237" i="4"/>
  <c r="AA238" i="4"/>
  <c r="AA239" i="4"/>
  <c r="AA240" i="4"/>
  <c r="AA241" i="4"/>
  <c r="AA242" i="4"/>
  <c r="AA243" i="4"/>
  <c r="AA244" i="4"/>
  <c r="AA245" i="4"/>
  <c r="AA246" i="4"/>
  <c r="AA247" i="4"/>
  <c r="AA248" i="4"/>
  <c r="AA249" i="4"/>
  <c r="AA250" i="4"/>
  <c r="AA251" i="4"/>
  <c r="AA252" i="4"/>
  <c r="AA253" i="4"/>
  <c r="AA254" i="4"/>
  <c r="AA255" i="4"/>
  <c r="AA256" i="4"/>
  <c r="E26" i="6"/>
  <c r="E27" i="6"/>
  <c r="E28" i="6"/>
  <c r="E29" i="6"/>
  <c r="E30" i="6"/>
  <c r="E31" i="6"/>
  <c r="E32" i="6"/>
  <c r="E33" i="6"/>
  <c r="E34" i="6"/>
  <c r="E35" i="6"/>
  <c r="E36" i="6"/>
  <c r="E37" i="6"/>
  <c r="E38" i="6"/>
  <c r="E39" i="6"/>
  <c r="G26" i="6"/>
  <c r="H26" i="6" s="1"/>
  <c r="I26" i="6"/>
  <c r="J26" i="6"/>
  <c r="K26" i="6"/>
  <c r="L26" i="6"/>
  <c r="M26" i="6" a="1"/>
  <c r="M26" i="6" s="1"/>
  <c r="N26" i="6" a="1"/>
  <c r="N26" i="6"/>
  <c r="O26" i="6"/>
  <c r="P26" i="6"/>
  <c r="Q26" i="6"/>
  <c r="R26" i="6"/>
  <c r="S26" i="6"/>
  <c r="G27" i="6"/>
  <c r="H27" i="6" s="1"/>
  <c r="I27" i="6"/>
  <c r="J27" i="6"/>
  <c r="K27" i="6"/>
  <c r="L27" i="6"/>
  <c r="M27" i="6" a="1"/>
  <c r="M27" i="6" s="1"/>
  <c r="N27" i="6" a="1"/>
  <c r="N27" i="6"/>
  <c r="O27" i="6"/>
  <c r="P27" i="6"/>
  <c r="Q27" i="6"/>
  <c r="R27" i="6"/>
  <c r="S27" i="6"/>
  <c r="G28" i="6"/>
  <c r="H28" i="6" s="1"/>
  <c r="I28" i="6"/>
  <c r="J28" i="6"/>
  <c r="K28" i="6"/>
  <c r="L28" i="6"/>
  <c r="M28" i="6" a="1"/>
  <c r="M28" i="6" s="1"/>
  <c r="N28" i="6" a="1"/>
  <c r="N28" i="6"/>
  <c r="O28" i="6"/>
  <c r="P28" i="6"/>
  <c r="Q28" i="6"/>
  <c r="R28" i="6"/>
  <c r="S28" i="6"/>
  <c r="G29" i="6"/>
  <c r="H29" i="6" s="1"/>
  <c r="I29" i="6"/>
  <c r="J29" i="6"/>
  <c r="K29" i="6"/>
  <c r="L29" i="6"/>
  <c r="M29" i="6" a="1"/>
  <c r="M29" i="6" s="1"/>
  <c r="N29" i="6" a="1"/>
  <c r="N29" i="6"/>
  <c r="O29" i="6"/>
  <c r="P29" i="6"/>
  <c r="Q29" i="6"/>
  <c r="R29" i="6"/>
  <c r="S29" i="6"/>
  <c r="G30" i="6"/>
  <c r="H30" i="6" s="1"/>
  <c r="I30" i="6"/>
  <c r="J30" i="6"/>
  <c r="K30" i="6"/>
  <c r="L30" i="6"/>
  <c r="M30" i="6" a="1"/>
  <c r="M30" i="6" s="1"/>
  <c r="N30" i="6" a="1"/>
  <c r="N30" i="6"/>
  <c r="O30" i="6"/>
  <c r="P30" i="6"/>
  <c r="Q30" i="6"/>
  <c r="R30" i="6"/>
  <c r="S30" i="6"/>
  <c r="G31" i="6"/>
  <c r="H31" i="6" s="1"/>
  <c r="I31" i="6"/>
  <c r="J31" i="6"/>
  <c r="K31" i="6"/>
  <c r="L31" i="6"/>
  <c r="M31" i="6" a="1"/>
  <c r="M31" i="6" s="1"/>
  <c r="N31" i="6" a="1"/>
  <c r="N31" i="6"/>
  <c r="O31" i="6"/>
  <c r="P31" i="6"/>
  <c r="Q31" i="6"/>
  <c r="R31" i="6"/>
  <c r="S31" i="6"/>
  <c r="G32" i="6"/>
  <c r="H32" i="6" s="1"/>
  <c r="I32" i="6"/>
  <c r="J32" i="6"/>
  <c r="K32" i="6"/>
  <c r="L32" i="6"/>
  <c r="M32" i="6" a="1"/>
  <c r="M32" i="6" s="1"/>
  <c r="N32" i="6" a="1"/>
  <c r="N32" i="6"/>
  <c r="O32" i="6"/>
  <c r="P32" i="6"/>
  <c r="Q32" i="6"/>
  <c r="R32" i="6"/>
  <c r="S32" i="6"/>
  <c r="G33" i="6"/>
  <c r="H33" i="6" s="1"/>
  <c r="I33" i="6"/>
  <c r="J33" i="6"/>
  <c r="K33" i="6"/>
  <c r="L33" i="6"/>
  <c r="M33" i="6" a="1"/>
  <c r="M33" i="6" s="1"/>
  <c r="N33" i="6" a="1"/>
  <c r="N33" i="6"/>
  <c r="O33" i="6"/>
  <c r="P33" i="6"/>
  <c r="Q33" i="6"/>
  <c r="R33" i="6"/>
  <c r="S33" i="6"/>
  <c r="G34" i="6"/>
  <c r="H34" i="6" s="1"/>
  <c r="I34" i="6"/>
  <c r="J34" i="6"/>
  <c r="K34" i="6"/>
  <c r="L34" i="6"/>
  <c r="M34" i="6" a="1"/>
  <c r="M34" i="6" s="1"/>
  <c r="N34" i="6" a="1"/>
  <c r="N34" i="6"/>
  <c r="O34" i="6"/>
  <c r="P34" i="6"/>
  <c r="Q34" i="6"/>
  <c r="R34" i="6"/>
  <c r="S34" i="6"/>
  <c r="G35" i="6"/>
  <c r="H35" i="6" s="1"/>
  <c r="I35" i="6"/>
  <c r="J35" i="6"/>
  <c r="K35" i="6"/>
  <c r="L35" i="6"/>
  <c r="M35" i="6" a="1"/>
  <c r="M35" i="6" s="1"/>
  <c r="N35" i="6" a="1"/>
  <c r="N35" i="6"/>
  <c r="O35" i="6"/>
  <c r="P35" i="6"/>
  <c r="Q35" i="6"/>
  <c r="R35" i="6"/>
  <c r="S35" i="6"/>
  <c r="G36" i="6"/>
  <c r="H36" i="6" s="1"/>
  <c r="I36" i="6"/>
  <c r="J36" i="6"/>
  <c r="K36" i="6"/>
  <c r="L36" i="6"/>
  <c r="M36" i="6" a="1"/>
  <c r="M36" i="6" s="1"/>
  <c r="N36" i="6" a="1"/>
  <c r="N36" i="6"/>
  <c r="O36" i="6"/>
  <c r="P36" i="6"/>
  <c r="Q36" i="6"/>
  <c r="R36" i="6"/>
  <c r="S36" i="6"/>
  <c r="G37" i="6"/>
  <c r="H37" i="6" s="1"/>
  <c r="I37" i="6"/>
  <c r="J37" i="6"/>
  <c r="K37" i="6"/>
  <c r="L37" i="6"/>
  <c r="M37" i="6" a="1"/>
  <c r="M37" i="6" s="1"/>
  <c r="N37" i="6" a="1"/>
  <c r="N37" i="6"/>
  <c r="O37" i="6"/>
  <c r="P37" i="6"/>
  <c r="Q37" i="6"/>
  <c r="R37" i="6"/>
  <c r="S37" i="6"/>
  <c r="G38" i="6"/>
  <c r="H38" i="6" s="1"/>
  <c r="I38" i="6"/>
  <c r="J38" i="6"/>
  <c r="K38" i="6"/>
  <c r="L38" i="6"/>
  <c r="M38" i="6" a="1"/>
  <c r="M38" i="6" s="1"/>
  <c r="N38" i="6" a="1"/>
  <c r="N38" i="6"/>
  <c r="O38" i="6"/>
  <c r="P38" i="6"/>
  <c r="Q38" i="6"/>
  <c r="R38" i="6"/>
  <c r="S38" i="6"/>
  <c r="G39" i="6"/>
  <c r="H39" i="6" s="1"/>
  <c r="I39" i="6"/>
  <c r="J39" i="6"/>
  <c r="K39" i="6"/>
  <c r="L39" i="6"/>
  <c r="M39" i="6" a="1"/>
  <c r="M39" i="6" s="1"/>
  <c r="N39" i="6" a="1"/>
  <c r="N39" i="6"/>
  <c r="O39" i="6"/>
  <c r="P39" i="6"/>
  <c r="Q39" i="6"/>
  <c r="R39" i="6"/>
  <c r="S39" i="6"/>
  <c r="G40" i="6"/>
  <c r="H40" i="6" s="1"/>
  <c r="I40" i="6"/>
  <c r="J40" i="6"/>
  <c r="K40" i="6"/>
  <c r="L40" i="6"/>
  <c r="M40" i="6" a="1"/>
  <c r="M40" i="6" s="1"/>
  <c r="N40" i="6" a="1"/>
  <c r="N40" i="6"/>
  <c r="O40" i="6"/>
  <c r="P40" i="6"/>
  <c r="Q40" i="6"/>
  <c r="R40" i="6"/>
  <c r="S40" i="6"/>
  <c r="G41" i="6"/>
  <c r="H41" i="6" s="1"/>
  <c r="I41" i="6"/>
  <c r="J41" i="6"/>
  <c r="K41" i="6"/>
  <c r="L41" i="6"/>
  <c r="M41" i="6" a="1"/>
  <c r="M41" i="6" s="1"/>
  <c r="N41" i="6" a="1"/>
  <c r="N41" i="6"/>
  <c r="O41" i="6"/>
  <c r="P41" i="6"/>
  <c r="Q41" i="6"/>
  <c r="R41" i="6"/>
  <c r="S41" i="6"/>
  <c r="G42" i="6"/>
  <c r="H42" i="6" s="1"/>
  <c r="I42" i="6"/>
  <c r="J42" i="6"/>
  <c r="K42" i="6"/>
  <c r="L42" i="6"/>
  <c r="M42" i="6" a="1"/>
  <c r="M42" i="6" s="1"/>
  <c r="N42" i="6" a="1"/>
  <c r="N42" i="6"/>
  <c r="O42" i="6"/>
  <c r="P42" i="6"/>
  <c r="Q42" i="6"/>
  <c r="R42" i="6"/>
  <c r="S42" i="6"/>
  <c r="G43" i="6"/>
  <c r="H43" i="6" s="1"/>
  <c r="I43" i="6"/>
  <c r="J43" i="6"/>
  <c r="K43" i="6"/>
  <c r="L43" i="6"/>
  <c r="M43" i="6" a="1"/>
  <c r="M43" i="6" s="1"/>
  <c r="N43" i="6" a="1"/>
  <c r="N43" i="6"/>
  <c r="O43" i="6"/>
  <c r="P43" i="6"/>
  <c r="Q43" i="6"/>
  <c r="R43" i="6"/>
  <c r="S43" i="6"/>
  <c r="G44" i="6"/>
  <c r="H44" i="6" s="1"/>
  <c r="I44" i="6"/>
  <c r="J44" i="6"/>
  <c r="K44" i="6"/>
  <c r="L44" i="6"/>
  <c r="M44" i="6" a="1"/>
  <c r="M44" i="6" s="1"/>
  <c r="N44" i="6" a="1"/>
  <c r="N44" i="6"/>
  <c r="O44" i="6"/>
  <c r="P44" i="6"/>
  <c r="Q44" i="6"/>
  <c r="R44" i="6"/>
  <c r="S44" i="6"/>
  <c r="G45" i="6"/>
  <c r="H45" i="6" s="1"/>
  <c r="I45" i="6"/>
  <c r="J45" i="6"/>
  <c r="K45" i="6"/>
  <c r="L45" i="6"/>
  <c r="M45" i="6" a="1"/>
  <c r="M45" i="6" s="1"/>
  <c r="N45" i="6" a="1"/>
  <c r="N45" i="6"/>
  <c r="O45" i="6"/>
  <c r="P45" i="6"/>
  <c r="Q45" i="6"/>
  <c r="R45" i="6"/>
  <c r="S45" i="6"/>
  <c r="G46" i="6"/>
  <c r="H46" i="6" s="1"/>
  <c r="I46" i="6"/>
  <c r="J46" i="6"/>
  <c r="K46" i="6"/>
  <c r="L46" i="6"/>
  <c r="M46" i="6" a="1"/>
  <c r="M46" i="6" s="1"/>
  <c r="N46" i="6" a="1"/>
  <c r="N46" i="6"/>
  <c r="O46" i="6"/>
  <c r="P46" i="6"/>
  <c r="Q46" i="6"/>
  <c r="R46" i="6"/>
  <c r="S46" i="6"/>
  <c r="G47" i="6"/>
  <c r="H47" i="6" s="1"/>
  <c r="I47" i="6"/>
  <c r="J47" i="6"/>
  <c r="K47" i="6"/>
  <c r="L47" i="6"/>
  <c r="M47" i="6" a="1"/>
  <c r="M47" i="6" s="1"/>
  <c r="N47" i="6" a="1"/>
  <c r="N47" i="6"/>
  <c r="O47" i="6"/>
  <c r="P47" i="6"/>
  <c r="Q47" i="6"/>
  <c r="R47" i="6"/>
  <c r="S47" i="6"/>
  <c r="G48" i="6"/>
  <c r="H48" i="6" s="1"/>
  <c r="I48" i="6"/>
  <c r="J48" i="6"/>
  <c r="K48" i="6"/>
  <c r="L48" i="6"/>
  <c r="M48" i="6" a="1"/>
  <c r="M48" i="6" s="1"/>
  <c r="N48" i="6" a="1"/>
  <c r="N48" i="6"/>
  <c r="O48" i="6"/>
  <c r="P48" i="6"/>
  <c r="Q48" i="6"/>
  <c r="R48" i="6"/>
  <c r="S48" i="6"/>
  <c r="G49" i="6"/>
  <c r="H49" i="6" s="1"/>
  <c r="I49" i="6"/>
  <c r="J49" i="6"/>
  <c r="K49" i="6"/>
  <c r="L49" i="6"/>
  <c r="M49" i="6" a="1"/>
  <c r="M49" i="6" s="1"/>
  <c r="N49" i="6" a="1"/>
  <c r="N49" i="6"/>
  <c r="O49" i="6"/>
  <c r="P49" i="6"/>
  <c r="Q49" i="6"/>
  <c r="R49" i="6"/>
  <c r="S49" i="6"/>
  <c r="G50" i="6"/>
  <c r="H50" i="6" s="1"/>
  <c r="I50" i="6"/>
  <c r="J50" i="6"/>
  <c r="K50" i="6"/>
  <c r="L50" i="6"/>
  <c r="M50" i="6" a="1"/>
  <c r="M50" i="6" s="1"/>
  <c r="N50" i="6" a="1"/>
  <c r="N50" i="6"/>
  <c r="O50" i="6"/>
  <c r="P50" i="6"/>
  <c r="Q50" i="6"/>
  <c r="R50" i="6"/>
  <c r="S50" i="6"/>
  <c r="G51" i="6"/>
  <c r="H51" i="6" s="1"/>
  <c r="I51" i="6"/>
  <c r="J51" i="6"/>
  <c r="K51" i="6"/>
  <c r="L51" i="6"/>
  <c r="M51" i="6" a="1"/>
  <c r="M51" i="6" s="1"/>
  <c r="N51" i="6" a="1"/>
  <c r="N51" i="6"/>
  <c r="O51" i="6"/>
  <c r="P51" i="6"/>
  <c r="Q51" i="6"/>
  <c r="R51" i="6"/>
  <c r="S51" i="6"/>
  <c r="G52" i="6"/>
  <c r="H52" i="6" s="1"/>
  <c r="I52" i="6"/>
  <c r="J52" i="6"/>
  <c r="K52" i="6"/>
  <c r="L52" i="6"/>
  <c r="M52" i="6" a="1"/>
  <c r="M52" i="6" s="1"/>
  <c r="N52" i="6" a="1"/>
  <c r="N52" i="6"/>
  <c r="O52" i="6"/>
  <c r="P52" i="6"/>
  <c r="Q52" i="6"/>
  <c r="R52" i="6"/>
  <c r="S52" i="6"/>
  <c r="A35" i="6"/>
  <c r="A36" i="6"/>
  <c r="A37" i="6"/>
  <c r="A38" i="6"/>
  <c r="A39" i="6"/>
  <c r="A40" i="6"/>
  <c r="A41" i="6"/>
  <c r="A42" i="6"/>
  <c r="A43" i="6"/>
  <c r="A44" i="6"/>
  <c r="A45" i="6"/>
  <c r="A46" i="6"/>
  <c r="A47" i="6"/>
  <c r="A48" i="6"/>
  <c r="A49" i="6"/>
  <c r="A50" i="6"/>
  <c r="A51" i="6"/>
  <c r="A52" i="6"/>
  <c r="C26" i="6"/>
  <c r="C27" i="6"/>
  <c r="C28" i="6"/>
  <c r="C29" i="6"/>
  <c r="C30" i="6"/>
  <c r="C31" i="6"/>
  <c r="C32" i="6"/>
  <c r="C33" i="6"/>
  <c r="C34" i="6"/>
  <c r="C35" i="6"/>
  <c r="C36" i="6"/>
  <c r="C37" i="6"/>
  <c r="C38" i="6"/>
  <c r="C39" i="6"/>
  <c r="C40" i="6"/>
  <c r="C41" i="6"/>
  <c r="B26" i="6"/>
  <c r="B27" i="6"/>
  <c r="B28" i="6"/>
  <c r="B29" i="6"/>
  <c r="B30" i="6"/>
  <c r="B31" i="6"/>
  <c r="B32" i="6"/>
  <c r="B33" i="6"/>
  <c r="B34" i="6"/>
  <c r="B35" i="6"/>
  <c r="B36" i="6"/>
  <c r="B37" i="6"/>
  <c r="B38" i="6"/>
  <c r="B39" i="6"/>
  <c r="B40" i="6"/>
  <c r="B41" i="6"/>
  <c r="B42" i="6"/>
  <c r="B43" i="6"/>
  <c r="B44" i="6"/>
  <c r="B45" i="6"/>
  <c r="B46" i="6"/>
  <c r="B47" i="6"/>
  <c r="B48" i="6"/>
  <c r="B49" i="6"/>
  <c r="B50" i="6"/>
  <c r="B51" i="6"/>
  <c r="B52" i="6"/>
  <c r="B53" i="6"/>
  <c r="B54" i="6"/>
  <c r="B55" i="6"/>
  <c r="B56" i="6"/>
  <c r="B57" i="6"/>
  <c r="B58" i="6"/>
  <c r="B59" i="6"/>
  <c r="B60" i="6"/>
  <c r="B61" i="6"/>
  <c r="B62" i="6"/>
  <c r="B63" i="6"/>
  <c r="B64" i="6"/>
  <c r="B65" i="6"/>
  <c r="B66" i="6"/>
  <c r="B67" i="6"/>
  <c r="B68" i="6"/>
  <c r="B69" i="6"/>
  <c r="B70" i="6"/>
  <c r="B71" i="6"/>
  <c r="B72" i="6"/>
  <c r="B73" i="6"/>
  <c r="B74" i="6"/>
  <c r="B75" i="6"/>
  <c r="B76" i="6"/>
  <c r="B77" i="6"/>
  <c r="B78" i="6"/>
  <c r="B79" i="6"/>
  <c r="B80" i="6"/>
  <c r="B81" i="6"/>
  <c r="B82" i="6"/>
  <c r="B83" i="6"/>
  <c r="B84" i="6"/>
  <c r="B85" i="6"/>
  <c r="B86" i="6"/>
  <c r="B87" i="6"/>
  <c r="B88" i="6"/>
  <c r="B89" i="6"/>
  <c r="B90" i="6"/>
  <c r="B91" i="6"/>
  <c r="B92" i="6"/>
  <c r="B93" i="6"/>
  <c r="B94" i="6"/>
  <c r="B95" i="6"/>
  <c r="B96" i="6"/>
  <c r="B97" i="6"/>
  <c r="B98" i="6"/>
  <c r="B99" i="6"/>
  <c r="B100" i="6"/>
  <c r="B101" i="6"/>
  <c r="B102" i="6"/>
  <c r="B103" i="6"/>
  <c r="B104" i="6"/>
  <c r="B105" i="6"/>
  <c r="B106" i="6"/>
  <c r="B107" i="6"/>
  <c r="B108" i="6"/>
  <c r="B109" i="6"/>
  <c r="B110" i="6"/>
  <c r="B111" i="6"/>
  <c r="B112" i="6"/>
  <c r="B113" i="6"/>
  <c r="B114" i="6"/>
  <c r="B115" i="6"/>
  <c r="B116" i="6"/>
  <c r="B117" i="6"/>
  <c r="B118" i="6"/>
  <c r="B119" i="6"/>
  <c r="B120" i="6"/>
  <c r="B121" i="6"/>
  <c r="B122" i="6"/>
  <c r="B123" i="6"/>
  <c r="B124" i="6"/>
  <c r="B125" i="6"/>
  <c r="B126" i="6"/>
  <c r="B127" i="6"/>
  <c r="B128" i="6"/>
  <c r="B129" i="6"/>
  <c r="B130" i="6"/>
  <c r="B131" i="6"/>
  <c r="B132" i="6"/>
  <c r="B133" i="6"/>
  <c r="B134" i="6"/>
  <c r="B135" i="6"/>
  <c r="B136" i="6"/>
  <c r="B137" i="6"/>
  <c r="B138" i="6"/>
  <c r="B139" i="6"/>
  <c r="B140" i="6"/>
  <c r="B141" i="6"/>
  <c r="B142" i="6"/>
  <c r="B143" i="6"/>
  <c r="B144" i="6"/>
  <c r="B145" i="6"/>
  <c r="B146" i="6"/>
  <c r="B147" i="6"/>
  <c r="B148" i="6"/>
  <c r="B149" i="6"/>
  <c r="B150" i="6"/>
  <c r="B151" i="6"/>
  <c r="B152" i="6"/>
  <c r="B153" i="6"/>
  <c r="B154" i="6"/>
  <c r="B155" i="6"/>
  <c r="B156" i="6"/>
  <c r="B157" i="6"/>
  <c r="B158" i="6"/>
  <c r="B159" i="6"/>
  <c r="B160" i="6"/>
  <c r="B161" i="6"/>
  <c r="B162" i="6"/>
  <c r="B163" i="6"/>
  <c r="B164" i="6"/>
  <c r="B165" i="6"/>
  <c r="B166" i="6"/>
  <c r="B167" i="6"/>
  <c r="B168" i="6"/>
  <c r="B169" i="6"/>
  <c r="B170" i="6"/>
  <c r="B171" i="6"/>
  <c r="B172" i="6"/>
  <c r="B173" i="6"/>
  <c r="B174" i="6"/>
  <c r="B175" i="6"/>
  <c r="B176" i="6"/>
  <c r="B177" i="6"/>
  <c r="B178" i="6"/>
  <c r="B179" i="6"/>
  <c r="B180" i="6"/>
  <c r="B181" i="6"/>
  <c r="B182" i="6"/>
  <c r="B183" i="6"/>
  <c r="B184" i="6"/>
  <c r="B185" i="6"/>
  <c r="B186" i="6"/>
  <c r="B187" i="6"/>
  <c r="B188" i="6"/>
  <c r="B189" i="6"/>
  <c r="B190" i="6"/>
  <c r="B191" i="6"/>
  <c r="B192" i="6"/>
  <c r="B193" i="6"/>
  <c r="B194" i="6"/>
  <c r="B195" i="6"/>
  <c r="B196" i="6"/>
  <c r="B197" i="6"/>
  <c r="B198" i="6"/>
  <c r="B199" i="6"/>
  <c r="B200" i="6"/>
  <c r="B201" i="6"/>
  <c r="B202" i="6"/>
  <c r="B203" i="6"/>
  <c r="B204" i="6"/>
  <c r="B205" i="6"/>
  <c r="B206" i="6"/>
  <c r="B207" i="6"/>
  <c r="B208" i="6"/>
  <c r="B209" i="6"/>
  <c r="B210" i="6"/>
  <c r="B211" i="6"/>
  <c r="B212" i="6"/>
  <c r="B213" i="6"/>
  <c r="B214" i="6"/>
  <c r="B215" i="6"/>
  <c r="B216" i="6"/>
  <c r="B217" i="6"/>
  <c r="B218" i="6"/>
  <c r="B219" i="6"/>
  <c r="B220" i="6"/>
  <c r="B221" i="6"/>
  <c r="B222" i="6"/>
  <c r="B223" i="6"/>
  <c r="B224" i="6"/>
  <c r="B225" i="6"/>
  <c r="B226" i="6"/>
  <c r="B227" i="6"/>
  <c r="B228" i="6"/>
  <c r="B229" i="6"/>
  <c r="B230" i="6"/>
  <c r="B231" i="6"/>
  <c r="B232" i="6"/>
  <c r="B233" i="6"/>
  <c r="B234" i="6"/>
  <c r="B235" i="6"/>
  <c r="B236" i="6"/>
  <c r="B237" i="6"/>
  <c r="B238" i="6"/>
  <c r="B239" i="6"/>
  <c r="B240" i="6"/>
  <c r="B241" i="6"/>
  <c r="B242" i="6"/>
  <c r="B243" i="6"/>
  <c r="B244" i="6"/>
  <c r="B245" i="6"/>
  <c r="B246" i="6"/>
  <c r="B247" i="6"/>
  <c r="B248" i="6"/>
  <c r="B249" i="6"/>
  <c r="B250" i="6"/>
  <c r="B251" i="6"/>
  <c r="B252" i="6"/>
  <c r="B253" i="6"/>
  <c r="B254" i="6"/>
  <c r="U43" i="4" a="1"/>
  <c r="U43" i="4" s="1"/>
  <c r="U44" i="4" a="1"/>
  <c r="U44" i="4" s="1"/>
  <c r="U45" i="4" a="1"/>
  <c r="U45" i="4" s="1"/>
  <c r="U46" i="4" a="1"/>
  <c r="U46" i="4" s="1"/>
  <c r="U47" i="4" a="1"/>
  <c r="U47" i="4" s="1"/>
  <c r="U48" i="4" a="1"/>
  <c r="U48" i="4" s="1"/>
  <c r="U49" i="4" a="1"/>
  <c r="U49" i="4" s="1"/>
  <c r="U50" i="4" a="1"/>
  <c r="U50" i="4" s="1"/>
  <c r="U51" i="4" a="1"/>
  <c r="U51" i="4" s="1"/>
  <c r="U52" i="4" a="1"/>
  <c r="U52" i="4" s="1"/>
  <c r="U53" i="4" a="1"/>
  <c r="U53" i="4" s="1"/>
  <c r="U54" i="4" a="1"/>
  <c r="U54" i="4" s="1"/>
  <c r="U55" i="4" a="1"/>
  <c r="U55" i="4" s="1"/>
  <c r="U56" i="4" a="1"/>
  <c r="U56" i="4" s="1"/>
  <c r="U57" i="4" a="1"/>
  <c r="U57" i="4" s="1"/>
  <c r="U58" i="4" a="1"/>
  <c r="U58" i="4" s="1"/>
  <c r="U59" i="4" a="1"/>
  <c r="U59" i="4" s="1"/>
  <c r="U60" i="4" a="1"/>
  <c r="U60" i="4" s="1"/>
  <c r="U61" i="4" a="1"/>
  <c r="U61" i="4" s="1"/>
  <c r="U62" i="4" a="1"/>
  <c r="U62" i="4" s="1"/>
  <c r="U63" i="4" a="1"/>
  <c r="U63" i="4" s="1"/>
  <c r="U64" i="4" a="1"/>
  <c r="U64" i="4" s="1"/>
  <c r="U65" i="4" a="1"/>
  <c r="U65" i="4" s="1"/>
  <c r="U66" i="4" a="1"/>
  <c r="U66" i="4" s="1"/>
  <c r="U67" i="4" a="1"/>
  <c r="U67" i="4" s="1"/>
  <c r="U68" i="4" a="1"/>
  <c r="U68" i="4" s="1"/>
  <c r="U69" i="4" a="1"/>
  <c r="U69" i="4" s="1"/>
  <c r="U70" i="4" a="1"/>
  <c r="U70" i="4" s="1"/>
  <c r="U71" i="4" a="1"/>
  <c r="U71" i="4" s="1"/>
  <c r="U72" i="4" a="1"/>
  <c r="U72" i="4" s="1"/>
  <c r="U73" i="4" a="1"/>
  <c r="U73" i="4" s="1"/>
  <c r="U74" i="4" a="1"/>
  <c r="U74" i="4" s="1"/>
  <c r="U75" i="4" a="1"/>
  <c r="U75" i="4" s="1"/>
  <c r="U76" i="4" a="1"/>
  <c r="U76" i="4" s="1"/>
  <c r="U77" i="4" a="1"/>
  <c r="U77" i="4" s="1"/>
  <c r="U78" i="4" a="1"/>
  <c r="U78" i="4" s="1"/>
  <c r="U79" i="4" a="1"/>
  <c r="U79" i="4" s="1"/>
  <c r="U80" i="4" a="1"/>
  <c r="U80" i="4" s="1"/>
  <c r="U81" i="4" a="1"/>
  <c r="U81" i="4" s="1"/>
  <c r="U82" i="4" a="1"/>
  <c r="U82" i="4" s="1"/>
  <c r="U83" i="4" a="1"/>
  <c r="U83" i="4" s="1"/>
  <c r="U84" i="4" a="1"/>
  <c r="U84" i="4" s="1"/>
  <c r="U85" i="4" a="1"/>
  <c r="U85" i="4" s="1"/>
  <c r="U86" i="4" a="1"/>
  <c r="U86" i="4" s="1"/>
  <c r="U87" i="4" a="1"/>
  <c r="U87" i="4" s="1"/>
  <c r="U88" i="4" a="1"/>
  <c r="U88" i="4" s="1"/>
  <c r="U89" i="4" a="1"/>
  <c r="U89" i="4" s="1"/>
  <c r="U90" i="4" a="1"/>
  <c r="U90" i="4" s="1"/>
  <c r="U91" i="4" a="1"/>
  <c r="U91" i="4" s="1"/>
  <c r="U92" i="4" a="1"/>
  <c r="U92" i="4" s="1"/>
  <c r="U93" i="4" a="1"/>
  <c r="U93" i="4" s="1"/>
  <c r="U94" i="4" a="1"/>
  <c r="U94" i="4" s="1"/>
  <c r="U95" i="4" a="1"/>
  <c r="U95" i="4" s="1"/>
  <c r="U96" i="4" a="1"/>
  <c r="U96" i="4" s="1"/>
  <c r="U97" i="4" a="1"/>
  <c r="U97" i="4" s="1"/>
  <c r="U98" i="4" a="1"/>
  <c r="U98" i="4" s="1"/>
  <c r="U99" i="4" a="1"/>
  <c r="U99" i="4" s="1"/>
  <c r="U100" i="4" a="1"/>
  <c r="U100" i="4" s="1"/>
  <c r="U101" i="4" a="1"/>
  <c r="U101" i="4" s="1"/>
  <c r="U102" i="4" a="1"/>
  <c r="U102" i="4" s="1"/>
  <c r="U103" i="4" a="1"/>
  <c r="U103" i="4" s="1"/>
  <c r="U104" i="4" a="1"/>
  <c r="U104" i="4" s="1"/>
  <c r="U105" i="4" a="1"/>
  <c r="U105" i="4" s="1"/>
  <c r="U106" i="4" a="1"/>
  <c r="U106" i="4" s="1"/>
  <c r="U107" i="4" a="1"/>
  <c r="U107" i="4" s="1"/>
  <c r="U108" i="4" a="1"/>
  <c r="U108" i="4" s="1"/>
  <c r="U109" i="4" a="1"/>
  <c r="U109" i="4" s="1"/>
  <c r="U110" i="4" a="1"/>
  <c r="U110" i="4" s="1"/>
  <c r="U111" i="4" a="1"/>
  <c r="U111" i="4" s="1"/>
  <c r="U112" i="4" a="1"/>
  <c r="U112" i="4" s="1"/>
  <c r="U113" i="4" a="1"/>
  <c r="U113" i="4" s="1"/>
  <c r="U114" i="4" a="1"/>
  <c r="U114" i="4" s="1"/>
  <c r="U115" i="4" a="1"/>
  <c r="U115" i="4" s="1"/>
  <c r="U116" i="4" a="1"/>
  <c r="U116" i="4" s="1"/>
  <c r="U117" i="4" a="1"/>
  <c r="U117" i="4" s="1"/>
  <c r="U118" i="4" a="1"/>
  <c r="U118" i="4" s="1"/>
  <c r="U119" i="4" a="1"/>
  <c r="U119" i="4" s="1"/>
  <c r="U120" i="4" a="1"/>
  <c r="U120" i="4" s="1"/>
  <c r="U121" i="4" a="1"/>
  <c r="U121" i="4" s="1"/>
  <c r="U122" i="4" a="1"/>
  <c r="U122" i="4" s="1"/>
  <c r="U123" i="4" a="1"/>
  <c r="U123" i="4" s="1"/>
  <c r="U124" i="4" a="1"/>
  <c r="U124" i="4" s="1"/>
  <c r="U125" i="4" a="1"/>
  <c r="U125" i="4" s="1"/>
  <c r="U126" i="4" a="1"/>
  <c r="U126" i="4" s="1"/>
  <c r="U127" i="4" a="1"/>
  <c r="U127" i="4" s="1"/>
  <c r="U128" i="4" a="1"/>
  <c r="U128" i="4" s="1"/>
  <c r="U129" i="4" a="1"/>
  <c r="U129" i="4" s="1"/>
  <c r="U130" i="4" a="1"/>
  <c r="U130" i="4" s="1"/>
  <c r="U131" i="4" a="1"/>
  <c r="U131" i="4" s="1"/>
  <c r="U132" i="4" a="1"/>
  <c r="U132" i="4" s="1"/>
  <c r="U133" i="4" a="1"/>
  <c r="U133" i="4" s="1"/>
  <c r="U134" i="4" a="1"/>
  <c r="U134" i="4" s="1"/>
  <c r="U135" i="4" a="1"/>
  <c r="U135" i="4" s="1"/>
  <c r="U136" i="4" a="1"/>
  <c r="U136" i="4" s="1"/>
  <c r="U137" i="4" a="1"/>
  <c r="U137" i="4" s="1"/>
  <c r="U138" i="4" a="1"/>
  <c r="U138" i="4" s="1"/>
  <c r="U139" i="4" a="1"/>
  <c r="U139" i="4" s="1"/>
  <c r="U140" i="4" a="1"/>
  <c r="U140" i="4" s="1"/>
  <c r="U141" i="4" a="1"/>
  <c r="U141" i="4" s="1"/>
  <c r="U142" i="4" a="1"/>
  <c r="U142" i="4" s="1"/>
  <c r="U143" i="4" a="1"/>
  <c r="U143" i="4" s="1"/>
  <c r="U144" i="4" a="1"/>
  <c r="U144" i="4" s="1"/>
  <c r="U145" i="4" a="1"/>
  <c r="U145" i="4" s="1"/>
  <c r="U146" i="4" a="1"/>
  <c r="U146" i="4" s="1"/>
  <c r="U147" i="4" a="1"/>
  <c r="U147" i="4" s="1"/>
  <c r="U148" i="4" a="1"/>
  <c r="U148" i="4" s="1"/>
  <c r="U149" i="4" a="1"/>
  <c r="U149" i="4" s="1"/>
  <c r="U150" i="4" a="1"/>
  <c r="U150" i="4" s="1"/>
  <c r="U151" i="4" a="1"/>
  <c r="U151" i="4" s="1"/>
  <c r="U152" i="4" a="1"/>
  <c r="U152" i="4" s="1"/>
  <c r="U153" i="4" a="1"/>
  <c r="U153" i="4" s="1"/>
  <c r="U154" i="4" a="1"/>
  <c r="U154" i="4" s="1"/>
  <c r="U155" i="4" a="1"/>
  <c r="U155" i="4" s="1"/>
  <c r="U156" i="4" a="1"/>
  <c r="U156" i="4" s="1"/>
  <c r="U157" i="4" a="1"/>
  <c r="U157" i="4" s="1"/>
  <c r="U158" i="4" a="1"/>
  <c r="U158" i="4" s="1"/>
  <c r="U159" i="4" a="1"/>
  <c r="U159" i="4" s="1"/>
  <c r="U160" i="4" a="1"/>
  <c r="U160" i="4" s="1"/>
  <c r="U161" i="4" a="1"/>
  <c r="U161" i="4" s="1"/>
  <c r="U162" i="4" a="1"/>
  <c r="U162" i="4" s="1"/>
  <c r="U163" i="4" a="1"/>
  <c r="U163" i="4" s="1"/>
  <c r="U164" i="4" a="1"/>
  <c r="U164" i="4" s="1"/>
  <c r="U165" i="4" a="1"/>
  <c r="U165" i="4" s="1"/>
  <c r="U166" i="4" a="1"/>
  <c r="U166" i="4" s="1"/>
  <c r="U167" i="4" a="1"/>
  <c r="U167" i="4" s="1"/>
  <c r="U168" i="4" a="1"/>
  <c r="U168" i="4" s="1"/>
  <c r="U169" i="4" a="1"/>
  <c r="U169" i="4" s="1"/>
  <c r="U170" i="4" a="1"/>
  <c r="U170" i="4" s="1"/>
  <c r="U171" i="4" a="1"/>
  <c r="U171" i="4" s="1"/>
  <c r="U172" i="4" a="1"/>
  <c r="U172" i="4" s="1"/>
  <c r="U173" i="4" a="1"/>
  <c r="U173" i="4" s="1"/>
  <c r="U174" i="4" a="1"/>
  <c r="U174" i="4" s="1"/>
  <c r="U175" i="4" a="1"/>
  <c r="U175" i="4" s="1"/>
  <c r="U176" i="4" a="1"/>
  <c r="U176" i="4" s="1"/>
  <c r="U177" i="4" a="1"/>
  <c r="U177" i="4" s="1"/>
  <c r="U178" i="4" a="1"/>
  <c r="U178" i="4" s="1"/>
  <c r="U179" i="4" a="1"/>
  <c r="U179" i="4" s="1"/>
  <c r="U180" i="4" a="1"/>
  <c r="U180" i="4" s="1"/>
  <c r="U181" i="4" a="1"/>
  <c r="U181" i="4" s="1"/>
  <c r="U182" i="4" a="1"/>
  <c r="U182" i="4" s="1"/>
  <c r="U183" i="4" a="1"/>
  <c r="U183" i="4" s="1"/>
  <c r="U184" i="4" a="1"/>
  <c r="U184" i="4" s="1"/>
  <c r="U185" i="4" a="1"/>
  <c r="U185" i="4" s="1"/>
  <c r="U186" i="4" a="1"/>
  <c r="U186" i="4" s="1"/>
  <c r="U187" i="4" a="1"/>
  <c r="U187" i="4" s="1"/>
  <c r="U188" i="4" a="1"/>
  <c r="U188" i="4" s="1"/>
  <c r="U189" i="4" a="1"/>
  <c r="U189" i="4" s="1"/>
  <c r="U190" i="4" a="1"/>
  <c r="U190" i="4" s="1"/>
  <c r="U191" i="4" a="1"/>
  <c r="U191" i="4" s="1"/>
  <c r="U192" i="4" a="1"/>
  <c r="U192" i="4" s="1"/>
  <c r="U193" i="4" a="1"/>
  <c r="U193" i="4" s="1"/>
  <c r="U194" i="4" a="1"/>
  <c r="U194" i="4" s="1"/>
  <c r="U195" i="4" a="1"/>
  <c r="U195" i="4" s="1"/>
  <c r="U196" i="4" a="1"/>
  <c r="U196" i="4" s="1"/>
  <c r="U197" i="4" a="1"/>
  <c r="U197" i="4" s="1"/>
  <c r="U198" i="4" a="1"/>
  <c r="U198" i="4" s="1"/>
  <c r="U199" i="4" a="1"/>
  <c r="U199" i="4" s="1"/>
  <c r="U200" i="4" a="1"/>
  <c r="U200" i="4" s="1"/>
  <c r="U201" i="4" a="1"/>
  <c r="U201" i="4" s="1"/>
  <c r="U202" i="4" a="1"/>
  <c r="U202" i="4" s="1"/>
  <c r="U203" i="4" a="1"/>
  <c r="U203" i="4" s="1"/>
  <c r="U204" i="4" a="1"/>
  <c r="U204" i="4" s="1"/>
  <c r="U205" i="4" a="1"/>
  <c r="U205" i="4" s="1"/>
  <c r="U206" i="4" a="1"/>
  <c r="U206" i="4" s="1"/>
  <c r="U207" i="4" a="1"/>
  <c r="U207" i="4" s="1"/>
  <c r="U208" i="4" a="1"/>
  <c r="U208" i="4" s="1"/>
  <c r="U209" i="4" a="1"/>
  <c r="U209" i="4" s="1"/>
  <c r="U210" i="4" a="1"/>
  <c r="U210" i="4" s="1"/>
  <c r="U211" i="4" a="1"/>
  <c r="U211" i="4" s="1"/>
  <c r="U212" i="4" a="1"/>
  <c r="U212" i="4" s="1"/>
  <c r="U213" i="4" a="1"/>
  <c r="U213" i="4" s="1"/>
  <c r="U214" i="4" a="1"/>
  <c r="U214" i="4" s="1"/>
  <c r="U215" i="4" a="1"/>
  <c r="U215" i="4" s="1"/>
  <c r="U216" i="4" a="1"/>
  <c r="U216" i="4" s="1"/>
  <c r="U217" i="4" a="1"/>
  <c r="U217" i="4" s="1"/>
  <c r="U218" i="4" a="1"/>
  <c r="U218" i="4" s="1"/>
  <c r="U219" i="4" a="1"/>
  <c r="U219" i="4" s="1"/>
  <c r="U220" i="4" a="1"/>
  <c r="U220" i="4" s="1"/>
  <c r="U221" i="4" a="1"/>
  <c r="U221" i="4" s="1"/>
  <c r="U222" i="4" a="1"/>
  <c r="U222" i="4" s="1"/>
  <c r="U223" i="4" a="1"/>
  <c r="U223" i="4" s="1"/>
  <c r="U224" i="4" a="1"/>
  <c r="U224" i="4" s="1"/>
  <c r="U225" i="4" a="1"/>
  <c r="U225" i="4" s="1"/>
  <c r="U226" i="4" a="1"/>
  <c r="U226" i="4" s="1"/>
  <c r="U227" i="4" a="1"/>
  <c r="U227" i="4" s="1"/>
  <c r="U228" i="4" a="1"/>
  <c r="U228" i="4" s="1"/>
  <c r="U229" i="4" a="1"/>
  <c r="U229" i="4" s="1"/>
  <c r="U230" i="4" a="1"/>
  <c r="U230" i="4" s="1"/>
  <c r="U231" i="4" a="1"/>
  <c r="U231" i="4" s="1"/>
  <c r="U232" i="4" a="1"/>
  <c r="U232" i="4" s="1"/>
  <c r="U233" i="4" a="1"/>
  <c r="U233" i="4" s="1"/>
  <c r="U234" i="4" a="1"/>
  <c r="U234" i="4" s="1"/>
  <c r="U235" i="4" a="1"/>
  <c r="U235" i="4" s="1"/>
  <c r="U236" i="4" a="1"/>
  <c r="U236" i="4" s="1"/>
  <c r="U237" i="4" a="1"/>
  <c r="U237" i="4" s="1"/>
  <c r="U238" i="4" a="1"/>
  <c r="U238" i="4" s="1"/>
  <c r="U239" i="4" a="1"/>
  <c r="U239" i="4" s="1"/>
  <c r="U240" i="4" a="1"/>
  <c r="U240" i="4" s="1"/>
  <c r="U241" i="4" a="1"/>
  <c r="U241" i="4" s="1"/>
  <c r="U242" i="4" a="1"/>
  <c r="U242" i="4" s="1"/>
  <c r="U243" i="4" a="1"/>
  <c r="U243" i="4" s="1"/>
  <c r="U244" i="4" a="1"/>
  <c r="U244" i="4" s="1"/>
  <c r="U245" i="4" a="1"/>
  <c r="U245" i="4" s="1"/>
  <c r="U246" i="4" a="1"/>
  <c r="U246" i="4" s="1"/>
  <c r="U247" i="4" a="1"/>
  <c r="U247" i="4" s="1"/>
  <c r="U248" i="4" a="1"/>
  <c r="U248" i="4" s="1"/>
  <c r="U249" i="4" a="1"/>
  <c r="U249" i="4" s="1"/>
  <c r="U250" i="4" a="1"/>
  <c r="U250" i="4" s="1"/>
  <c r="A12" i="5"/>
  <c r="A13" i="5"/>
  <c r="A14" i="5"/>
  <c r="A15" i="5"/>
  <c r="A16" i="5"/>
  <c r="A17" i="5"/>
  <c r="A18" i="5"/>
  <c r="A19" i="5"/>
  <c r="A20" i="5"/>
  <c r="A21" i="5"/>
  <c r="A22" i="5"/>
  <c r="A23" i="5"/>
  <c r="A24" i="5"/>
  <c r="A25" i="5"/>
  <c r="A26" i="5"/>
  <c r="A27" i="5"/>
  <c r="A28" i="5"/>
  <c r="A29" i="5"/>
  <c r="A30" i="5"/>
  <c r="A31" i="5"/>
  <c r="A32" i="5"/>
  <c r="A33" i="5"/>
  <c r="A34" i="5"/>
  <c r="A35" i="5"/>
  <c r="A36" i="5"/>
  <c r="A37" i="5"/>
  <c r="A38" i="5"/>
  <c r="A39" i="5"/>
  <c r="A40" i="5"/>
  <c r="A41" i="5"/>
  <c r="A42" i="5"/>
  <c r="A43" i="5"/>
  <c r="A44" i="5"/>
  <c r="A45" i="5"/>
  <c r="A46" i="5"/>
  <c r="A47" i="5"/>
  <c r="A48" i="5"/>
  <c r="A49" i="5"/>
  <c r="A50" i="5"/>
  <c r="A51" i="5"/>
  <c r="A52" i="5"/>
  <c r="A53" i="5"/>
  <c r="A54" i="5"/>
  <c r="A55" i="5"/>
  <c r="A56" i="5"/>
  <c r="A57" i="5"/>
  <c r="A58" i="5"/>
  <c r="A59" i="5"/>
  <c r="A60" i="5"/>
  <c r="A61" i="5"/>
  <c r="A62" i="5"/>
  <c r="A63" i="5"/>
  <c r="A64" i="5"/>
  <c r="A65" i="5"/>
  <c r="A66" i="5"/>
  <c r="A11" i="5"/>
  <c r="A3" i="5"/>
  <c r="A4" i="5"/>
  <c r="A5" i="5"/>
  <c r="A6" i="5"/>
  <c r="A7" i="5"/>
  <c r="A8" i="5"/>
  <c r="A9" i="5"/>
  <c r="A10" i="5"/>
  <c r="A2" i="5"/>
  <c r="A3" i="1"/>
  <c r="A4" i="1"/>
  <c r="A5" i="1"/>
  <c r="A6" i="1"/>
  <c r="A7" i="1"/>
  <c r="A8" i="1"/>
  <c r="A9" i="1"/>
  <c r="A10" i="1"/>
  <c r="A11" i="1"/>
  <c r="A12" i="1"/>
  <c r="A13" i="1"/>
  <c r="A14" i="1"/>
  <c r="A15" i="1"/>
  <c r="A16" i="1"/>
  <c r="A17" i="1"/>
  <c r="A18" i="1"/>
  <c r="A19" i="1"/>
  <c r="A20" i="1"/>
  <c r="A21" i="1"/>
  <c r="A22" i="1"/>
  <c r="A23" i="1"/>
  <c r="A24" i="1"/>
  <c r="A25" i="1"/>
  <c r="A26" i="1"/>
  <c r="A27" i="1"/>
  <c r="A28" i="1"/>
  <c r="A29" i="1"/>
  <c r="A30" i="1"/>
  <c r="A31" i="1"/>
  <c r="A32" i="1"/>
  <c r="A33" i="1"/>
  <c r="A34" i="1"/>
  <c r="A35" i="1"/>
  <c r="A36" i="1"/>
  <c r="A37" i="1"/>
  <c r="A38" i="1"/>
  <c r="A39" i="1"/>
  <c r="A40" i="1"/>
  <c r="A41" i="1"/>
  <c r="A42" i="1"/>
  <c r="A43" i="1"/>
  <c r="A44" i="1"/>
  <c r="A45" i="1"/>
  <c r="A46" i="1"/>
  <c r="A47" i="1"/>
  <c r="A48" i="1"/>
  <c r="A49" i="1"/>
  <c r="A50" i="1"/>
  <c r="A51" i="1"/>
  <c r="A52" i="1"/>
  <c r="A53" i="1"/>
  <c r="A54" i="1"/>
  <c r="A55" i="1"/>
  <c r="A56" i="1"/>
  <c r="A57" i="1"/>
  <c r="A58" i="1"/>
  <c r="A59" i="1"/>
  <c r="A60" i="1"/>
  <c r="A61" i="1"/>
  <c r="A62" i="1"/>
  <c r="A63" i="1"/>
  <c r="A64" i="1"/>
  <c r="A65" i="1"/>
  <c r="A66" i="1"/>
  <c r="A67" i="1"/>
  <c r="A68" i="1"/>
  <c r="A69" i="1"/>
  <c r="A70" i="1"/>
  <c r="A71" i="1"/>
  <c r="A72" i="1"/>
  <c r="A73" i="1"/>
  <c r="A74" i="1"/>
  <c r="A75" i="1"/>
  <c r="A76" i="1"/>
  <c r="A77" i="1"/>
  <c r="A78" i="1"/>
  <c r="A79" i="1"/>
  <c r="A80" i="1"/>
  <c r="A81" i="1"/>
  <c r="A82" i="1"/>
  <c r="A83" i="1"/>
  <c r="A84" i="1"/>
  <c r="A85" i="1"/>
  <c r="A86" i="1"/>
  <c r="A87" i="1"/>
  <c r="A88" i="1"/>
  <c r="A89" i="1"/>
  <c r="A90" i="1"/>
  <c r="A91" i="1"/>
  <c r="A92" i="1"/>
  <c r="A93" i="1"/>
  <c r="A94" i="1"/>
  <c r="A95" i="1"/>
  <c r="A96" i="1"/>
  <c r="A97" i="1"/>
  <c r="A98" i="1"/>
  <c r="A99" i="1"/>
  <c r="A100" i="1"/>
  <c r="A101" i="1"/>
  <c r="A102" i="1"/>
  <c r="A103" i="1"/>
  <c r="A104" i="1"/>
  <c r="A105" i="1"/>
  <c r="A106" i="1"/>
  <c r="A107" i="1"/>
  <c r="A108" i="1"/>
  <c r="A109" i="1"/>
  <c r="A110" i="1"/>
  <c r="A111" i="1"/>
  <c r="A112" i="1"/>
  <c r="A113" i="1"/>
  <c r="A114" i="1"/>
  <c r="A115" i="1"/>
  <c r="A116" i="1"/>
  <c r="A117" i="1"/>
  <c r="A118" i="1"/>
  <c r="A119" i="1"/>
  <c r="A120" i="1"/>
  <c r="A121" i="1"/>
  <c r="A122" i="1"/>
  <c r="A123" i="1"/>
  <c r="A124" i="1"/>
  <c r="A125" i="1"/>
  <c r="A126" i="1"/>
  <c r="A127" i="1"/>
  <c r="A128" i="1"/>
  <c r="A129" i="1"/>
  <c r="A130" i="1"/>
  <c r="A131" i="1"/>
  <c r="A132" i="1"/>
  <c r="A133" i="1"/>
  <c r="A134" i="1"/>
  <c r="A135" i="1"/>
  <c r="A136" i="1"/>
  <c r="A137" i="1"/>
  <c r="A138" i="1"/>
  <c r="A139" i="1"/>
  <c r="A140" i="1"/>
  <c r="A141" i="1"/>
  <c r="A142" i="1"/>
  <c r="A143" i="1"/>
  <c r="A144" i="1"/>
  <c r="A145" i="1"/>
  <c r="A146" i="1"/>
  <c r="A147" i="1"/>
  <c r="A148" i="1"/>
  <c r="A149" i="1"/>
  <c r="A150" i="1"/>
  <c r="A151" i="1"/>
  <c r="A152" i="1"/>
  <c r="A153" i="1"/>
  <c r="A154" i="1"/>
  <c r="A155" i="1"/>
  <c r="A156" i="1"/>
  <c r="A157" i="1"/>
  <c r="A158" i="1"/>
  <c r="A159" i="1"/>
  <c r="A160" i="1"/>
  <c r="A161" i="1"/>
  <c r="A162" i="1"/>
  <c r="A163" i="1"/>
  <c r="A164" i="1"/>
  <c r="A165" i="1"/>
  <c r="A166" i="1"/>
  <c r="A167" i="1"/>
  <c r="A168" i="1"/>
  <c r="A169" i="1"/>
  <c r="A2" i="1"/>
  <c r="E2" i="1" s="1"/>
  <c r="A43" i="4"/>
  <c r="C43" i="4"/>
  <c r="D43" i="4"/>
  <c r="G43" i="4"/>
  <c r="H43" i="4" s="1"/>
  <c r="F43" i="4" s="1"/>
  <c r="L43" i="4"/>
  <c r="N43" i="4" s="1"/>
  <c r="P43" i="4" s="1"/>
  <c r="M43" i="4"/>
  <c r="O43" i="4" s="1" a="1"/>
  <c r="O43" i="4" s="1"/>
  <c r="Q43" i="4" a="1"/>
  <c r="Q43" i="4" s="1"/>
  <c r="S43" i="4"/>
  <c r="T43" i="4" s="1" a="1"/>
  <c r="T43" i="4" s="1"/>
  <c r="A44" i="4"/>
  <c r="C44" i="4"/>
  <c r="D44" i="4" s="1"/>
  <c r="G44" i="4"/>
  <c r="H44" i="4" s="1"/>
  <c r="F44" i="4" s="1"/>
  <c r="L44" i="4"/>
  <c r="N44" i="4" s="1"/>
  <c r="P44" i="4" s="1"/>
  <c r="M44" i="4"/>
  <c r="O44" i="4" s="1" a="1"/>
  <c r="O44" i="4" s="1"/>
  <c r="Q44" i="4" a="1"/>
  <c r="Q44" i="4" s="1"/>
  <c r="S44" i="4"/>
  <c r="T44" i="4" s="1" a="1"/>
  <c r="T44" i="4" s="1"/>
  <c r="A45" i="4"/>
  <c r="C45" i="4"/>
  <c r="D45" i="4" s="1"/>
  <c r="G45" i="4"/>
  <c r="H45" i="4" s="1"/>
  <c r="F45" i="4" s="1"/>
  <c r="L45" i="4"/>
  <c r="N45" i="4" s="1"/>
  <c r="P45" i="4" s="1"/>
  <c r="M45" i="4"/>
  <c r="O45" i="4" s="1" a="1"/>
  <c r="O45" i="4" s="1"/>
  <c r="Q45" i="4" a="1"/>
  <c r="Q45" i="4" s="1"/>
  <c r="S45" i="4"/>
  <c r="T45" i="4" a="1"/>
  <c r="T45" i="4" s="1"/>
  <c r="A46" i="4"/>
  <c r="C46" i="4"/>
  <c r="D46" i="4" s="1"/>
  <c r="G46" i="4"/>
  <c r="H46" i="4" s="1"/>
  <c r="F46" i="4" s="1"/>
  <c r="L46" i="4"/>
  <c r="N46" i="4" s="1"/>
  <c r="P46" i="4" s="1"/>
  <c r="M46" i="4"/>
  <c r="O46" i="4" s="1" a="1"/>
  <c r="O46" i="4" s="1"/>
  <c r="Q46" i="4" a="1"/>
  <c r="Q46" i="4" s="1"/>
  <c r="S46" i="4"/>
  <c r="T46" i="4" s="1" a="1"/>
  <c r="T46" i="4" s="1"/>
  <c r="A47" i="4"/>
  <c r="C47" i="4"/>
  <c r="D47" i="4" s="1"/>
  <c r="G47" i="4"/>
  <c r="H47" i="4" s="1"/>
  <c r="F47" i="4" s="1"/>
  <c r="L47" i="4"/>
  <c r="N47" i="4" s="1"/>
  <c r="P47" i="4" s="1"/>
  <c r="M47" i="4"/>
  <c r="O47" i="4" s="1" a="1"/>
  <c r="O47" i="4" s="1"/>
  <c r="Q47" i="4" a="1"/>
  <c r="Q47" i="4" s="1"/>
  <c r="S47" i="4"/>
  <c r="T47" i="4" s="1" a="1"/>
  <c r="T47" i="4" s="1"/>
  <c r="A48" i="4"/>
  <c r="C48" i="4"/>
  <c r="D48" i="4" s="1"/>
  <c r="G48" i="4"/>
  <c r="H48" i="4" s="1"/>
  <c r="F48" i="4" s="1"/>
  <c r="L48" i="4"/>
  <c r="N48" i="4" s="1"/>
  <c r="P48" i="4" s="1"/>
  <c r="M48" i="4"/>
  <c r="O48" i="4" s="1" a="1"/>
  <c r="O48" i="4" s="1"/>
  <c r="Q48" i="4" a="1"/>
  <c r="Q48" i="4" s="1"/>
  <c r="S48" i="4"/>
  <c r="T48" i="4" s="1" a="1"/>
  <c r="T48" i="4" s="1"/>
  <c r="A49" i="4"/>
  <c r="C49" i="4"/>
  <c r="D49" i="4" s="1"/>
  <c r="G49" i="4"/>
  <c r="H49" i="4" s="1"/>
  <c r="F49" i="4" s="1"/>
  <c r="L49" i="4"/>
  <c r="N49" i="4" s="1"/>
  <c r="P49" i="4" s="1"/>
  <c r="M49" i="4"/>
  <c r="O49" i="4" s="1" a="1"/>
  <c r="O49" i="4" s="1"/>
  <c r="Q49" i="4" a="1"/>
  <c r="Q49" i="4" s="1"/>
  <c r="S49" i="4"/>
  <c r="T49" i="4" s="1" a="1"/>
  <c r="T49" i="4" s="1"/>
  <c r="A50" i="4"/>
  <c r="C50" i="4"/>
  <c r="D50" i="4" s="1"/>
  <c r="G50" i="4"/>
  <c r="H50" i="4" s="1"/>
  <c r="F50" i="4" s="1"/>
  <c r="L50" i="4"/>
  <c r="N50" i="4" s="1"/>
  <c r="P50" i="4" s="1"/>
  <c r="M50" i="4"/>
  <c r="O50" i="4" s="1" a="1"/>
  <c r="O50" i="4" s="1"/>
  <c r="Q50" i="4" a="1"/>
  <c r="Q50" i="4" s="1"/>
  <c r="S50" i="4"/>
  <c r="T50" i="4" s="1" a="1"/>
  <c r="T50" i="4" s="1"/>
  <c r="A51" i="4"/>
  <c r="C51" i="4"/>
  <c r="D51" i="4" s="1"/>
  <c r="G51" i="4"/>
  <c r="H51" i="4" s="1"/>
  <c r="F51" i="4" s="1"/>
  <c r="L51" i="4"/>
  <c r="N51" i="4" s="1"/>
  <c r="P51" i="4" s="1"/>
  <c r="M51" i="4"/>
  <c r="O51" i="4" s="1" a="1"/>
  <c r="O51" i="4" s="1"/>
  <c r="Q51" i="4" a="1"/>
  <c r="Q51" i="4" s="1"/>
  <c r="S51" i="4"/>
  <c r="T51" i="4" s="1" a="1"/>
  <c r="T51" i="4" s="1"/>
  <c r="A52" i="4"/>
  <c r="C52" i="4"/>
  <c r="D52" i="4" s="1"/>
  <c r="G52" i="4"/>
  <c r="H52" i="4" s="1"/>
  <c r="F52" i="4" s="1"/>
  <c r="L52" i="4"/>
  <c r="N52" i="4" s="1"/>
  <c r="P52" i="4" s="1"/>
  <c r="M52" i="4"/>
  <c r="O52" i="4" s="1" a="1"/>
  <c r="O52" i="4" s="1"/>
  <c r="Q52" i="4" a="1"/>
  <c r="Q52" i="4" s="1"/>
  <c r="S52" i="4"/>
  <c r="T52" i="4" s="1" a="1"/>
  <c r="T52" i="4" s="1"/>
  <c r="A53" i="4"/>
  <c r="C53" i="4"/>
  <c r="D53" i="4" s="1"/>
  <c r="G53" i="4"/>
  <c r="H53" i="4" s="1"/>
  <c r="F53" i="4" s="1"/>
  <c r="L53" i="4"/>
  <c r="N53" i="4" s="1"/>
  <c r="P53" i="4" s="1"/>
  <c r="M53" i="4"/>
  <c r="O53" i="4" s="1" a="1"/>
  <c r="O53" i="4" s="1"/>
  <c r="Q53" i="4" a="1"/>
  <c r="Q53" i="4" s="1"/>
  <c r="S53" i="4"/>
  <c r="T53" i="4" s="1" a="1"/>
  <c r="T53" i="4" s="1"/>
  <c r="A54" i="4"/>
  <c r="C54" i="4"/>
  <c r="D54" i="4" s="1"/>
  <c r="G54" i="4"/>
  <c r="H54" i="4" s="1"/>
  <c r="F54" i="4" s="1"/>
  <c r="L54" i="4"/>
  <c r="N54" i="4" s="1"/>
  <c r="P54" i="4" s="1"/>
  <c r="M54" i="4"/>
  <c r="O54" i="4" s="1" a="1"/>
  <c r="O54" i="4" s="1"/>
  <c r="Q54" i="4" a="1"/>
  <c r="Q54" i="4" s="1"/>
  <c r="S54" i="4"/>
  <c r="T54" i="4" s="1" a="1"/>
  <c r="T54" i="4" s="1"/>
  <c r="A55" i="4"/>
  <c r="C55" i="4"/>
  <c r="D55" i="4" s="1"/>
  <c r="G55" i="4"/>
  <c r="H55" i="4" s="1"/>
  <c r="F55" i="4" s="1"/>
  <c r="L55" i="4"/>
  <c r="N55" i="4" s="1"/>
  <c r="P55" i="4" s="1"/>
  <c r="M55" i="4"/>
  <c r="O55" i="4" s="1" a="1"/>
  <c r="O55" i="4" s="1"/>
  <c r="Q55" i="4" a="1"/>
  <c r="Q55" i="4" s="1"/>
  <c r="S55" i="4"/>
  <c r="T55" i="4" s="1" a="1"/>
  <c r="T55" i="4" s="1"/>
  <c r="A56" i="4"/>
  <c r="C56" i="4"/>
  <c r="D56" i="4" s="1"/>
  <c r="G56" i="4"/>
  <c r="H56" i="4" s="1"/>
  <c r="F56" i="4" s="1"/>
  <c r="L56" i="4"/>
  <c r="N56" i="4" s="1"/>
  <c r="P56" i="4" s="1"/>
  <c r="M56" i="4"/>
  <c r="O56" i="4" s="1" a="1"/>
  <c r="O56" i="4" s="1"/>
  <c r="Q56" i="4" a="1"/>
  <c r="Q56" i="4" s="1"/>
  <c r="S56" i="4"/>
  <c r="T56" i="4" s="1" a="1"/>
  <c r="T56" i="4" s="1"/>
  <c r="A57" i="4"/>
  <c r="C57" i="4"/>
  <c r="D57" i="4" s="1"/>
  <c r="G57" i="4"/>
  <c r="H57" i="4" s="1"/>
  <c r="F57" i="4" s="1"/>
  <c r="L57" i="4"/>
  <c r="N57" i="4" s="1"/>
  <c r="P57" i="4" s="1"/>
  <c r="M57" i="4"/>
  <c r="O57" i="4" s="1" a="1"/>
  <c r="O57" i="4" s="1"/>
  <c r="Q57" i="4" a="1"/>
  <c r="Q57" i="4" s="1"/>
  <c r="S57" i="4"/>
  <c r="T57" i="4" s="1" a="1"/>
  <c r="T57" i="4" s="1"/>
  <c r="A58" i="4"/>
  <c r="C58" i="4"/>
  <c r="D58" i="4" s="1"/>
  <c r="G58" i="4"/>
  <c r="H58" i="4" s="1"/>
  <c r="F58" i="4" s="1"/>
  <c r="L58" i="4"/>
  <c r="N58" i="4" s="1"/>
  <c r="P58" i="4" s="1"/>
  <c r="M58" i="4"/>
  <c r="O58" i="4" s="1" a="1"/>
  <c r="O58" i="4" s="1"/>
  <c r="Q58" i="4" a="1"/>
  <c r="Q58" i="4" s="1"/>
  <c r="S58" i="4"/>
  <c r="T58" i="4" s="1" a="1"/>
  <c r="T58" i="4" s="1"/>
  <c r="A59" i="4"/>
  <c r="C59" i="4"/>
  <c r="D59" i="4" s="1"/>
  <c r="G59" i="4"/>
  <c r="H59" i="4" s="1"/>
  <c r="F59" i="4" s="1"/>
  <c r="L59" i="4"/>
  <c r="N59" i="4" s="1"/>
  <c r="P59" i="4" s="1"/>
  <c r="M59" i="4"/>
  <c r="O59" i="4" s="1" a="1"/>
  <c r="O59" i="4" s="1"/>
  <c r="Q59" i="4" a="1"/>
  <c r="Q59" i="4" s="1"/>
  <c r="S59" i="4"/>
  <c r="T59" i="4" s="1" a="1"/>
  <c r="T59" i="4" s="1"/>
  <c r="A60" i="4"/>
  <c r="C60" i="4"/>
  <c r="D60" i="4" s="1"/>
  <c r="G60" i="4"/>
  <c r="H60" i="4" s="1"/>
  <c r="F60" i="4" s="1"/>
  <c r="L60" i="4"/>
  <c r="N60" i="4" s="1"/>
  <c r="P60" i="4" s="1"/>
  <c r="M60" i="4"/>
  <c r="O60" i="4" s="1" a="1"/>
  <c r="O60" i="4" s="1"/>
  <c r="Q60" i="4" a="1"/>
  <c r="Q60" i="4" s="1"/>
  <c r="S60" i="4"/>
  <c r="T60" i="4" s="1" a="1"/>
  <c r="T60" i="4" s="1"/>
  <c r="A61" i="4"/>
  <c r="C61" i="4"/>
  <c r="D61" i="4" s="1"/>
  <c r="G61" i="4"/>
  <c r="H61" i="4" s="1"/>
  <c r="F61" i="4" s="1"/>
  <c r="L61" i="4"/>
  <c r="N61" i="4" s="1"/>
  <c r="P61" i="4" s="1"/>
  <c r="M61" i="4"/>
  <c r="O61" i="4" s="1" a="1"/>
  <c r="O61" i="4" s="1"/>
  <c r="Q61" i="4" a="1"/>
  <c r="Q61" i="4" s="1"/>
  <c r="S61" i="4"/>
  <c r="T61" i="4" s="1" a="1"/>
  <c r="T61" i="4" s="1"/>
  <c r="A62" i="4"/>
  <c r="C62" i="4"/>
  <c r="D62" i="4" s="1"/>
  <c r="G62" i="4"/>
  <c r="H62" i="4" s="1"/>
  <c r="F62" i="4" s="1"/>
  <c r="L62" i="4"/>
  <c r="N62" i="4" s="1"/>
  <c r="P62" i="4" s="1"/>
  <c r="M62" i="4"/>
  <c r="O62" i="4" s="1" a="1"/>
  <c r="O62" i="4" s="1"/>
  <c r="Q62" i="4" a="1"/>
  <c r="Q62" i="4" s="1"/>
  <c r="S62" i="4"/>
  <c r="T62" i="4" s="1" a="1"/>
  <c r="T62" i="4" s="1"/>
  <c r="A63" i="4"/>
  <c r="C63" i="4"/>
  <c r="D63" i="4" s="1"/>
  <c r="G63" i="4"/>
  <c r="H63" i="4" s="1"/>
  <c r="F63" i="4" s="1"/>
  <c r="L63" i="4"/>
  <c r="N63" i="4" s="1"/>
  <c r="P63" i="4" s="1"/>
  <c r="M63" i="4"/>
  <c r="O63" i="4" s="1" a="1"/>
  <c r="O63" i="4" s="1"/>
  <c r="Q63" i="4" a="1"/>
  <c r="Q63" i="4" s="1"/>
  <c r="S63" i="4"/>
  <c r="T63" i="4" s="1" a="1"/>
  <c r="T63" i="4" s="1"/>
  <c r="A64" i="4"/>
  <c r="C64" i="4"/>
  <c r="D64" i="4" s="1"/>
  <c r="G64" i="4"/>
  <c r="H64" i="4" s="1"/>
  <c r="F64" i="4" s="1"/>
  <c r="L64" i="4"/>
  <c r="N64" i="4" s="1"/>
  <c r="P64" i="4" s="1"/>
  <c r="M64" i="4"/>
  <c r="O64" i="4" s="1" a="1"/>
  <c r="O64" i="4" s="1"/>
  <c r="Q64" i="4" a="1"/>
  <c r="Q64" i="4" s="1"/>
  <c r="S64" i="4"/>
  <c r="T64" i="4" s="1" a="1"/>
  <c r="T64" i="4" s="1"/>
  <c r="A65" i="4"/>
  <c r="C65" i="4"/>
  <c r="D65" i="4" s="1"/>
  <c r="G65" i="4"/>
  <c r="H65" i="4" s="1"/>
  <c r="F65" i="4" s="1"/>
  <c r="L65" i="4"/>
  <c r="N65" i="4" s="1"/>
  <c r="P65" i="4" s="1"/>
  <c r="M65" i="4"/>
  <c r="O65" i="4" s="1" a="1"/>
  <c r="O65" i="4" s="1"/>
  <c r="Q65" i="4" a="1"/>
  <c r="Q65" i="4" s="1"/>
  <c r="S65" i="4"/>
  <c r="T65" i="4" s="1" a="1"/>
  <c r="T65" i="4" s="1"/>
  <c r="A66" i="4"/>
  <c r="C66" i="4"/>
  <c r="D66" i="4" s="1"/>
  <c r="G66" i="4"/>
  <c r="H66" i="4" s="1"/>
  <c r="F66" i="4" s="1"/>
  <c r="L66" i="4"/>
  <c r="N66" i="4" s="1"/>
  <c r="P66" i="4" s="1"/>
  <c r="M66" i="4"/>
  <c r="O66" i="4" s="1" a="1"/>
  <c r="O66" i="4" s="1"/>
  <c r="Q66" i="4" a="1"/>
  <c r="Q66" i="4" s="1"/>
  <c r="S66" i="4"/>
  <c r="T66" i="4" s="1" a="1"/>
  <c r="T66" i="4" s="1"/>
  <c r="A67" i="4"/>
  <c r="C67" i="4"/>
  <c r="D67" i="4" s="1"/>
  <c r="G67" i="4"/>
  <c r="H67" i="4" s="1"/>
  <c r="F67" i="4" s="1"/>
  <c r="L67" i="4"/>
  <c r="N67" i="4" s="1"/>
  <c r="P67" i="4" s="1"/>
  <c r="M67" i="4"/>
  <c r="O67" i="4" s="1" a="1"/>
  <c r="O67" i="4" s="1"/>
  <c r="Q67" i="4" a="1"/>
  <c r="Q67" i="4" s="1"/>
  <c r="S67" i="4"/>
  <c r="T67" i="4" s="1" a="1"/>
  <c r="T67" i="4" s="1"/>
  <c r="A68" i="4"/>
  <c r="C68" i="4"/>
  <c r="D68" i="4" s="1"/>
  <c r="G68" i="4"/>
  <c r="H68" i="4" s="1"/>
  <c r="F68" i="4" s="1"/>
  <c r="L68" i="4"/>
  <c r="N68" i="4" s="1"/>
  <c r="P68" i="4" s="1"/>
  <c r="M68" i="4"/>
  <c r="O68" i="4" s="1" a="1"/>
  <c r="O68" i="4" s="1"/>
  <c r="Q68" i="4" a="1"/>
  <c r="Q68" i="4" s="1"/>
  <c r="S68" i="4"/>
  <c r="T68" i="4" s="1" a="1"/>
  <c r="T68" i="4" s="1"/>
  <c r="A69" i="4"/>
  <c r="C69" i="4"/>
  <c r="D69" i="4" s="1"/>
  <c r="G69" i="4"/>
  <c r="H69" i="4" s="1"/>
  <c r="F69" i="4" s="1"/>
  <c r="L69" i="4"/>
  <c r="N69" i="4" s="1"/>
  <c r="P69" i="4" s="1"/>
  <c r="M69" i="4"/>
  <c r="O69" i="4" s="1" a="1"/>
  <c r="O69" i="4" s="1"/>
  <c r="Q69" i="4" a="1"/>
  <c r="Q69" i="4" s="1"/>
  <c r="S69" i="4"/>
  <c r="T69" i="4" s="1" a="1"/>
  <c r="T69" i="4" s="1"/>
  <c r="A70" i="4"/>
  <c r="C70" i="4"/>
  <c r="D70" i="4" s="1"/>
  <c r="G70" i="4"/>
  <c r="H70" i="4" s="1"/>
  <c r="F70" i="4" s="1"/>
  <c r="L70" i="4"/>
  <c r="N70" i="4" s="1"/>
  <c r="P70" i="4" s="1"/>
  <c r="M70" i="4"/>
  <c r="O70" i="4" s="1" a="1"/>
  <c r="O70" i="4" s="1"/>
  <c r="Q70" i="4" a="1"/>
  <c r="Q70" i="4" s="1"/>
  <c r="S70" i="4"/>
  <c r="T70" i="4" s="1" a="1"/>
  <c r="T70" i="4" s="1"/>
  <c r="A71" i="4"/>
  <c r="C71" i="4"/>
  <c r="D71" i="4" s="1"/>
  <c r="G71" i="4"/>
  <c r="H71" i="4" s="1"/>
  <c r="F71" i="4" s="1"/>
  <c r="L71" i="4"/>
  <c r="N71" i="4" s="1"/>
  <c r="P71" i="4" s="1"/>
  <c r="M71" i="4"/>
  <c r="O71" i="4" s="1" a="1"/>
  <c r="O71" i="4" s="1"/>
  <c r="Q71" i="4" a="1"/>
  <c r="Q71" i="4" s="1"/>
  <c r="S71" i="4"/>
  <c r="T71" i="4" s="1" a="1"/>
  <c r="T71" i="4" s="1"/>
  <c r="A72" i="4"/>
  <c r="C72" i="4"/>
  <c r="D72" i="4" s="1"/>
  <c r="G72" i="4"/>
  <c r="H72" i="4" s="1"/>
  <c r="F72" i="4" s="1"/>
  <c r="L72" i="4"/>
  <c r="N72" i="4" s="1"/>
  <c r="P72" i="4" s="1"/>
  <c r="M72" i="4"/>
  <c r="O72" i="4" s="1" a="1"/>
  <c r="O72" i="4" s="1"/>
  <c r="Q72" i="4" a="1"/>
  <c r="Q72" i="4" s="1"/>
  <c r="S72" i="4"/>
  <c r="T72" i="4" s="1" a="1"/>
  <c r="T72" i="4" s="1"/>
  <c r="A73" i="4"/>
  <c r="C73" i="4"/>
  <c r="D73" i="4" s="1"/>
  <c r="G73" i="4"/>
  <c r="H73" i="4" s="1"/>
  <c r="F73" i="4" s="1"/>
  <c r="L73" i="4"/>
  <c r="N73" i="4" s="1"/>
  <c r="P73" i="4" s="1"/>
  <c r="M73" i="4"/>
  <c r="O73" i="4" s="1" a="1"/>
  <c r="O73" i="4" s="1"/>
  <c r="Q73" i="4" a="1"/>
  <c r="Q73" i="4" s="1"/>
  <c r="S73" i="4"/>
  <c r="T73" i="4" s="1" a="1"/>
  <c r="T73" i="4" s="1"/>
  <c r="A74" i="4"/>
  <c r="C74" i="4"/>
  <c r="D74" i="4" s="1"/>
  <c r="G74" i="4"/>
  <c r="H74" i="4" s="1"/>
  <c r="F74" i="4" s="1"/>
  <c r="L74" i="4"/>
  <c r="N74" i="4" s="1"/>
  <c r="P74" i="4" s="1"/>
  <c r="M74" i="4"/>
  <c r="O74" i="4" s="1" a="1"/>
  <c r="O74" i="4" s="1"/>
  <c r="Q74" i="4" a="1"/>
  <c r="Q74" i="4" s="1"/>
  <c r="S74" i="4"/>
  <c r="T74" i="4" s="1" a="1"/>
  <c r="T74" i="4" s="1"/>
  <c r="A75" i="4"/>
  <c r="C75" i="4"/>
  <c r="D75" i="4" s="1"/>
  <c r="G75" i="4"/>
  <c r="H75" i="4" s="1"/>
  <c r="F75" i="4" s="1"/>
  <c r="L75" i="4"/>
  <c r="N75" i="4" s="1"/>
  <c r="P75" i="4" s="1"/>
  <c r="M75" i="4"/>
  <c r="O75" i="4" s="1" a="1"/>
  <c r="O75" i="4" s="1"/>
  <c r="Q75" i="4" a="1"/>
  <c r="Q75" i="4" s="1"/>
  <c r="S75" i="4"/>
  <c r="T75" i="4" s="1" a="1"/>
  <c r="T75" i="4" s="1"/>
  <c r="A76" i="4"/>
  <c r="C76" i="4"/>
  <c r="D76" i="4" s="1"/>
  <c r="G76" i="4"/>
  <c r="H76" i="4" s="1"/>
  <c r="F76" i="4" s="1"/>
  <c r="L76" i="4"/>
  <c r="N76" i="4" s="1"/>
  <c r="P76" i="4" s="1"/>
  <c r="M76" i="4"/>
  <c r="O76" i="4" s="1" a="1"/>
  <c r="O76" i="4" s="1"/>
  <c r="Q76" i="4" a="1"/>
  <c r="Q76" i="4" s="1"/>
  <c r="S76" i="4"/>
  <c r="T76" i="4" s="1" a="1"/>
  <c r="T76" i="4" s="1"/>
  <c r="A77" i="4"/>
  <c r="C77" i="4"/>
  <c r="D77" i="4" s="1"/>
  <c r="G77" i="4"/>
  <c r="H77" i="4" s="1"/>
  <c r="F77" i="4" s="1"/>
  <c r="L77" i="4"/>
  <c r="N77" i="4" s="1"/>
  <c r="P77" i="4" s="1"/>
  <c r="M77" i="4"/>
  <c r="O77" i="4" s="1" a="1"/>
  <c r="O77" i="4" s="1"/>
  <c r="Q77" i="4" a="1"/>
  <c r="Q77" i="4" s="1"/>
  <c r="S77" i="4"/>
  <c r="T77" i="4" s="1" a="1"/>
  <c r="T77" i="4" s="1"/>
  <c r="A78" i="4"/>
  <c r="C78" i="4"/>
  <c r="D78" i="4" s="1"/>
  <c r="G78" i="4"/>
  <c r="H78" i="4" s="1"/>
  <c r="F78" i="4" s="1"/>
  <c r="L78" i="4"/>
  <c r="N78" i="4" s="1"/>
  <c r="P78" i="4" s="1"/>
  <c r="M78" i="4"/>
  <c r="O78" i="4" s="1" a="1"/>
  <c r="O78" i="4" s="1"/>
  <c r="Q78" i="4" a="1"/>
  <c r="Q78" i="4" s="1"/>
  <c r="S78" i="4"/>
  <c r="T78" i="4" s="1" a="1"/>
  <c r="T78" i="4" s="1"/>
  <c r="A79" i="4"/>
  <c r="C79" i="4"/>
  <c r="D79" i="4" s="1"/>
  <c r="G79" i="4"/>
  <c r="H79" i="4" s="1"/>
  <c r="F79" i="4" s="1"/>
  <c r="L79" i="4"/>
  <c r="N79" i="4" s="1"/>
  <c r="P79" i="4" s="1"/>
  <c r="M79" i="4"/>
  <c r="O79" i="4" s="1" a="1"/>
  <c r="O79" i="4" s="1"/>
  <c r="Q79" i="4" a="1"/>
  <c r="Q79" i="4" s="1"/>
  <c r="S79" i="4"/>
  <c r="T79" i="4" s="1" a="1"/>
  <c r="T79" i="4" s="1"/>
  <c r="A80" i="4"/>
  <c r="C80" i="4"/>
  <c r="D80" i="4" s="1"/>
  <c r="G80" i="4"/>
  <c r="H80" i="4" s="1"/>
  <c r="F80" i="4" s="1"/>
  <c r="L80" i="4"/>
  <c r="N80" i="4" s="1"/>
  <c r="P80" i="4" s="1"/>
  <c r="M80" i="4"/>
  <c r="O80" i="4" s="1" a="1"/>
  <c r="O80" i="4" s="1"/>
  <c r="Q80" i="4" a="1"/>
  <c r="Q80" i="4" s="1"/>
  <c r="S80" i="4"/>
  <c r="T80" i="4" s="1" a="1"/>
  <c r="T80" i="4" s="1"/>
  <c r="A81" i="4"/>
  <c r="C81" i="4"/>
  <c r="D81" i="4" s="1"/>
  <c r="G81" i="4"/>
  <c r="H81" i="4" s="1"/>
  <c r="F81" i="4" s="1"/>
  <c r="L81" i="4"/>
  <c r="N81" i="4" s="1"/>
  <c r="P81" i="4" s="1"/>
  <c r="M81" i="4"/>
  <c r="O81" i="4" s="1" a="1"/>
  <c r="O81" i="4" s="1"/>
  <c r="Q81" i="4" a="1"/>
  <c r="Q81" i="4" s="1"/>
  <c r="S81" i="4"/>
  <c r="T81" i="4" s="1" a="1"/>
  <c r="T81" i="4" s="1"/>
  <c r="A82" i="4"/>
  <c r="C82" i="4"/>
  <c r="D82" i="4" s="1"/>
  <c r="G82" i="4"/>
  <c r="H82" i="4" s="1"/>
  <c r="F82" i="4" s="1"/>
  <c r="L82" i="4"/>
  <c r="N82" i="4" s="1"/>
  <c r="P82" i="4" s="1"/>
  <c r="M82" i="4"/>
  <c r="O82" i="4" s="1" a="1"/>
  <c r="O82" i="4" s="1"/>
  <c r="Q82" i="4" a="1"/>
  <c r="Q82" i="4" s="1"/>
  <c r="S82" i="4"/>
  <c r="T82" i="4" s="1" a="1"/>
  <c r="T82" i="4" s="1"/>
  <c r="A83" i="4"/>
  <c r="C83" i="4"/>
  <c r="D83" i="4" s="1"/>
  <c r="G83" i="4"/>
  <c r="H83" i="4" s="1"/>
  <c r="F83" i="4" s="1"/>
  <c r="L83" i="4"/>
  <c r="N83" i="4" s="1"/>
  <c r="P83" i="4" s="1"/>
  <c r="M83" i="4"/>
  <c r="O83" i="4" s="1" a="1"/>
  <c r="O83" i="4" s="1"/>
  <c r="Q83" i="4" a="1"/>
  <c r="Q83" i="4" s="1"/>
  <c r="S83" i="4"/>
  <c r="T83" i="4" s="1" a="1"/>
  <c r="T83" i="4" s="1"/>
  <c r="A84" i="4"/>
  <c r="C84" i="4"/>
  <c r="D84" i="4" s="1"/>
  <c r="G84" i="4"/>
  <c r="H84" i="4" s="1"/>
  <c r="F84" i="4" s="1"/>
  <c r="L84" i="4"/>
  <c r="N84" i="4" s="1"/>
  <c r="P84" i="4" s="1"/>
  <c r="M84" i="4"/>
  <c r="O84" i="4" s="1" a="1"/>
  <c r="O84" i="4" s="1"/>
  <c r="Q84" i="4" a="1"/>
  <c r="Q84" i="4" s="1"/>
  <c r="S84" i="4"/>
  <c r="T84" i="4" s="1" a="1"/>
  <c r="T84" i="4" s="1"/>
  <c r="A85" i="4"/>
  <c r="C85" i="4"/>
  <c r="D85" i="4" s="1"/>
  <c r="G85" i="4"/>
  <c r="H85" i="4" s="1"/>
  <c r="F85" i="4" s="1"/>
  <c r="L85" i="4"/>
  <c r="N85" i="4" s="1"/>
  <c r="P85" i="4" s="1"/>
  <c r="M85" i="4"/>
  <c r="O85" i="4" s="1" a="1"/>
  <c r="O85" i="4" s="1"/>
  <c r="Q85" i="4" a="1"/>
  <c r="Q85" i="4" s="1"/>
  <c r="S85" i="4"/>
  <c r="T85" i="4" s="1" a="1"/>
  <c r="T85" i="4" s="1"/>
  <c r="A86" i="4"/>
  <c r="C86" i="4"/>
  <c r="D86" i="4" s="1"/>
  <c r="G86" i="4"/>
  <c r="H86" i="4" s="1"/>
  <c r="F86" i="4" s="1"/>
  <c r="L86" i="4"/>
  <c r="N86" i="4" s="1"/>
  <c r="P86" i="4" s="1"/>
  <c r="M86" i="4"/>
  <c r="O86" i="4" s="1" a="1"/>
  <c r="O86" i="4" s="1"/>
  <c r="Q86" i="4" a="1"/>
  <c r="Q86" i="4" s="1"/>
  <c r="S86" i="4"/>
  <c r="T86" i="4" s="1" a="1"/>
  <c r="T86" i="4" s="1"/>
  <c r="A87" i="4"/>
  <c r="C87" i="4"/>
  <c r="D87" i="4" s="1"/>
  <c r="G87" i="4"/>
  <c r="H87" i="4" s="1"/>
  <c r="F87" i="4" s="1"/>
  <c r="L87" i="4"/>
  <c r="N87" i="4" s="1"/>
  <c r="P87" i="4" s="1"/>
  <c r="M87" i="4"/>
  <c r="O87" i="4" s="1" a="1"/>
  <c r="O87" i="4" s="1"/>
  <c r="Q87" i="4" a="1"/>
  <c r="Q87" i="4" s="1"/>
  <c r="S87" i="4"/>
  <c r="T87" i="4" s="1" a="1"/>
  <c r="T87" i="4" s="1"/>
  <c r="A88" i="4"/>
  <c r="C88" i="4"/>
  <c r="D88" i="4" s="1"/>
  <c r="G88" i="4"/>
  <c r="H88" i="4" s="1"/>
  <c r="F88" i="4" s="1"/>
  <c r="L88" i="4"/>
  <c r="N88" i="4" s="1"/>
  <c r="P88" i="4" s="1"/>
  <c r="M88" i="4"/>
  <c r="O88" i="4" s="1" a="1"/>
  <c r="O88" i="4" s="1"/>
  <c r="Q88" i="4" a="1"/>
  <c r="Q88" i="4" s="1"/>
  <c r="S88" i="4"/>
  <c r="T88" i="4" s="1" a="1"/>
  <c r="T88" i="4" s="1"/>
  <c r="A89" i="4"/>
  <c r="F89" i="4"/>
  <c r="L89" i="4"/>
  <c r="N89" i="4" s="1"/>
  <c r="M89" i="4"/>
  <c r="S89" i="4"/>
  <c r="T89" i="4" s="1" a="1"/>
  <c r="T89" i="4" s="1"/>
  <c r="F90" i="4"/>
  <c r="L90" i="4"/>
  <c r="N90" i="4" s="1"/>
  <c r="M90" i="4"/>
  <c r="S90" i="4"/>
  <c r="T90" i="4" s="1" a="1"/>
  <c r="T90" i="4" s="1"/>
  <c r="F91" i="4"/>
  <c r="L91" i="4"/>
  <c r="N91" i="4" s="1"/>
  <c r="M91" i="4"/>
  <c r="S91" i="4"/>
  <c r="T91" i="4" s="1" a="1"/>
  <c r="T91" i="4" s="1"/>
  <c r="F92" i="4"/>
  <c r="L92" i="4"/>
  <c r="N92" i="4" s="1"/>
  <c r="M92" i="4"/>
  <c r="S92" i="4"/>
  <c r="T92" i="4" s="1" a="1"/>
  <c r="T92" i="4" s="1"/>
  <c r="F93" i="4"/>
  <c r="L93" i="4"/>
  <c r="N93" i="4" s="1"/>
  <c r="M93" i="4"/>
  <c r="S93" i="4"/>
  <c r="T93" i="4" s="1" a="1"/>
  <c r="T93" i="4" s="1"/>
  <c r="F94" i="4"/>
  <c r="L94" i="4"/>
  <c r="N94" i="4" s="1"/>
  <c r="M94" i="4"/>
  <c r="S94" i="4"/>
  <c r="T94" i="4" s="1" a="1"/>
  <c r="T94" i="4" s="1"/>
  <c r="F95" i="4"/>
  <c r="L95" i="4"/>
  <c r="N95" i="4" s="1"/>
  <c r="M95" i="4"/>
  <c r="S95" i="4"/>
  <c r="T95" i="4" s="1" a="1"/>
  <c r="T95" i="4" s="1"/>
  <c r="F96" i="4"/>
  <c r="L96" i="4"/>
  <c r="N96" i="4" s="1"/>
  <c r="M96" i="4"/>
  <c r="S96" i="4"/>
  <c r="T96" i="4" s="1" a="1"/>
  <c r="T96" i="4" s="1"/>
  <c r="F97" i="4"/>
  <c r="L97" i="4"/>
  <c r="N97" i="4" s="1"/>
  <c r="M97" i="4"/>
  <c r="S97" i="4"/>
  <c r="T97" i="4" s="1" a="1"/>
  <c r="T97" i="4" s="1"/>
  <c r="F98" i="4"/>
  <c r="L98" i="4"/>
  <c r="N98" i="4" s="1"/>
  <c r="M98" i="4"/>
  <c r="S98" i="4"/>
  <c r="T98" i="4" s="1" a="1"/>
  <c r="T98" i="4" s="1"/>
  <c r="F99" i="4"/>
  <c r="L99" i="4"/>
  <c r="N99" i="4" s="1"/>
  <c r="M99" i="4"/>
  <c r="S99" i="4"/>
  <c r="T99" i="4" s="1" a="1"/>
  <c r="T99" i="4" s="1"/>
  <c r="F100" i="4"/>
  <c r="L100" i="4"/>
  <c r="N100" i="4" s="1"/>
  <c r="M100" i="4"/>
  <c r="S100" i="4"/>
  <c r="T100" i="4" s="1" a="1"/>
  <c r="T100" i="4" s="1"/>
  <c r="F101" i="4"/>
  <c r="L101" i="4"/>
  <c r="N101" i="4" s="1"/>
  <c r="M101" i="4"/>
  <c r="S101" i="4"/>
  <c r="T101" i="4" s="1" a="1"/>
  <c r="T101" i="4" s="1"/>
  <c r="F102" i="4"/>
  <c r="L102" i="4"/>
  <c r="N102" i="4" s="1"/>
  <c r="M102" i="4"/>
  <c r="S102" i="4"/>
  <c r="T102" i="4" s="1" a="1"/>
  <c r="T102" i="4" s="1"/>
  <c r="F103" i="4"/>
  <c r="L103" i="4"/>
  <c r="N103" i="4" s="1"/>
  <c r="M103" i="4"/>
  <c r="S103" i="4"/>
  <c r="T103" i="4" s="1" a="1"/>
  <c r="T103" i="4" s="1"/>
  <c r="F104" i="4"/>
  <c r="L104" i="4"/>
  <c r="N104" i="4" s="1"/>
  <c r="M104" i="4"/>
  <c r="S104" i="4"/>
  <c r="T104" i="4" s="1" a="1"/>
  <c r="T104" i="4" s="1"/>
  <c r="F105" i="4"/>
  <c r="L105" i="4"/>
  <c r="N105" i="4" s="1"/>
  <c r="M105" i="4"/>
  <c r="S105" i="4"/>
  <c r="T105" i="4" s="1" a="1"/>
  <c r="T105" i="4" s="1"/>
  <c r="F106" i="4"/>
  <c r="L106" i="4"/>
  <c r="N106" i="4" s="1"/>
  <c r="M106" i="4"/>
  <c r="S106" i="4"/>
  <c r="T106" i="4" s="1" a="1"/>
  <c r="T106" i="4" s="1"/>
  <c r="F107" i="4"/>
  <c r="L107" i="4"/>
  <c r="N107" i="4" s="1"/>
  <c r="M107" i="4"/>
  <c r="S107" i="4"/>
  <c r="T107" i="4" s="1" a="1"/>
  <c r="T107" i="4" s="1"/>
  <c r="F108" i="4"/>
  <c r="L108" i="4"/>
  <c r="N108" i="4" s="1"/>
  <c r="M108" i="4"/>
  <c r="S108" i="4"/>
  <c r="T108" i="4" s="1" a="1"/>
  <c r="T108" i="4" s="1"/>
  <c r="F109" i="4"/>
  <c r="L109" i="4"/>
  <c r="N109" i="4" s="1"/>
  <c r="M109" i="4"/>
  <c r="S109" i="4"/>
  <c r="T109" i="4" s="1" a="1"/>
  <c r="T109" i="4" s="1"/>
  <c r="F110" i="4"/>
  <c r="L110" i="4"/>
  <c r="N110" i="4" s="1"/>
  <c r="M110" i="4"/>
  <c r="S110" i="4"/>
  <c r="T110" i="4" s="1" a="1"/>
  <c r="T110" i="4" s="1"/>
  <c r="F111" i="4"/>
  <c r="L111" i="4"/>
  <c r="N111" i="4" s="1"/>
  <c r="M111" i="4"/>
  <c r="S111" i="4"/>
  <c r="T111" i="4" s="1" a="1"/>
  <c r="T111" i="4" s="1"/>
  <c r="F112" i="4"/>
  <c r="L112" i="4"/>
  <c r="N112" i="4" s="1"/>
  <c r="M112" i="4"/>
  <c r="S112" i="4"/>
  <c r="T112" i="4" s="1" a="1"/>
  <c r="T112" i="4" s="1"/>
  <c r="F113" i="4"/>
  <c r="L113" i="4"/>
  <c r="N113" i="4" s="1"/>
  <c r="M113" i="4"/>
  <c r="S113" i="4"/>
  <c r="T113" i="4" s="1" a="1"/>
  <c r="T113" i="4" s="1"/>
  <c r="F114" i="4"/>
  <c r="L114" i="4"/>
  <c r="N114" i="4" s="1"/>
  <c r="M114" i="4"/>
  <c r="S114" i="4"/>
  <c r="T114" i="4" s="1" a="1"/>
  <c r="T114" i="4" s="1"/>
  <c r="F115" i="4"/>
  <c r="L115" i="4"/>
  <c r="N115" i="4" s="1"/>
  <c r="M115" i="4"/>
  <c r="S115" i="4"/>
  <c r="T115" i="4" s="1" a="1"/>
  <c r="T115" i="4" s="1"/>
  <c r="F116" i="4"/>
  <c r="L116" i="4"/>
  <c r="N116" i="4" s="1"/>
  <c r="M116" i="4"/>
  <c r="S116" i="4"/>
  <c r="T116" i="4" s="1" a="1"/>
  <c r="T116" i="4" s="1"/>
  <c r="F117" i="4"/>
  <c r="L117" i="4"/>
  <c r="N117" i="4" s="1"/>
  <c r="M117" i="4"/>
  <c r="S117" i="4"/>
  <c r="T117" i="4" s="1" a="1"/>
  <c r="T117" i="4" s="1"/>
  <c r="F118" i="4"/>
  <c r="L118" i="4"/>
  <c r="N118" i="4" s="1"/>
  <c r="M118" i="4"/>
  <c r="S118" i="4"/>
  <c r="T118" i="4" s="1" a="1"/>
  <c r="T118" i="4" s="1"/>
  <c r="F119" i="4"/>
  <c r="L119" i="4"/>
  <c r="N119" i="4" s="1"/>
  <c r="M119" i="4"/>
  <c r="S119" i="4"/>
  <c r="T119" i="4" s="1" a="1"/>
  <c r="T119" i="4" s="1"/>
  <c r="F120" i="4"/>
  <c r="L120" i="4"/>
  <c r="N120" i="4" s="1"/>
  <c r="M120" i="4"/>
  <c r="S120" i="4"/>
  <c r="T120" i="4" s="1" a="1"/>
  <c r="T120" i="4" s="1"/>
  <c r="F121" i="4"/>
  <c r="L121" i="4"/>
  <c r="N121" i="4" s="1"/>
  <c r="M121" i="4"/>
  <c r="S121" i="4"/>
  <c r="T121" i="4" s="1" a="1"/>
  <c r="T121" i="4" s="1"/>
  <c r="F122" i="4"/>
  <c r="L122" i="4"/>
  <c r="N122" i="4" s="1"/>
  <c r="M122" i="4"/>
  <c r="S122" i="4"/>
  <c r="T122" i="4" s="1" a="1"/>
  <c r="T122" i="4" s="1"/>
  <c r="F123" i="4"/>
  <c r="L123" i="4"/>
  <c r="N123" i="4" s="1"/>
  <c r="M123" i="4"/>
  <c r="S123" i="4"/>
  <c r="T123" i="4" s="1" a="1"/>
  <c r="T123" i="4" s="1"/>
  <c r="F124" i="4"/>
  <c r="L124" i="4"/>
  <c r="N124" i="4" s="1"/>
  <c r="M124" i="4"/>
  <c r="S124" i="4"/>
  <c r="T124" i="4" s="1" a="1"/>
  <c r="T124" i="4" s="1"/>
  <c r="F125" i="4"/>
  <c r="L125" i="4"/>
  <c r="N125" i="4" s="1"/>
  <c r="M125" i="4"/>
  <c r="S125" i="4"/>
  <c r="T125" i="4" s="1" a="1"/>
  <c r="T125" i="4" s="1"/>
  <c r="F126" i="4"/>
  <c r="L126" i="4"/>
  <c r="N126" i="4" s="1"/>
  <c r="M126" i="4"/>
  <c r="S126" i="4"/>
  <c r="T126" i="4" s="1" a="1"/>
  <c r="T126" i="4" s="1"/>
  <c r="F127" i="4"/>
  <c r="L127" i="4"/>
  <c r="N127" i="4" s="1"/>
  <c r="M127" i="4"/>
  <c r="S127" i="4"/>
  <c r="T127" i="4" s="1" a="1"/>
  <c r="T127" i="4" s="1"/>
  <c r="F128" i="4"/>
  <c r="L128" i="4"/>
  <c r="N128" i="4" s="1"/>
  <c r="M128" i="4"/>
  <c r="S128" i="4"/>
  <c r="T128" i="4" s="1" a="1"/>
  <c r="T128" i="4" s="1"/>
  <c r="F129" i="4"/>
  <c r="L129" i="4"/>
  <c r="N129" i="4" s="1"/>
  <c r="M129" i="4"/>
  <c r="S129" i="4"/>
  <c r="T129" i="4" s="1" a="1"/>
  <c r="T129" i="4" s="1"/>
  <c r="F130" i="4"/>
  <c r="L130" i="4"/>
  <c r="N130" i="4" s="1"/>
  <c r="M130" i="4"/>
  <c r="S130" i="4"/>
  <c r="T130" i="4" s="1" a="1"/>
  <c r="T130" i="4" s="1"/>
  <c r="F131" i="4"/>
  <c r="L131" i="4"/>
  <c r="N131" i="4" s="1"/>
  <c r="M131" i="4"/>
  <c r="S131" i="4"/>
  <c r="T131" i="4" s="1" a="1"/>
  <c r="T131" i="4" s="1"/>
  <c r="F132" i="4"/>
  <c r="L132" i="4"/>
  <c r="N132" i="4" s="1"/>
  <c r="M132" i="4"/>
  <c r="S132" i="4"/>
  <c r="T132" i="4" s="1" a="1"/>
  <c r="T132" i="4" s="1"/>
  <c r="F133" i="4"/>
  <c r="L133" i="4"/>
  <c r="N133" i="4" s="1"/>
  <c r="M133" i="4"/>
  <c r="S133" i="4"/>
  <c r="T133" i="4" s="1" a="1"/>
  <c r="T133" i="4" s="1"/>
  <c r="F134" i="4"/>
  <c r="L134" i="4"/>
  <c r="N134" i="4" s="1"/>
  <c r="M134" i="4"/>
  <c r="S134" i="4"/>
  <c r="T134" i="4" s="1" a="1"/>
  <c r="T134" i="4" s="1"/>
  <c r="F135" i="4"/>
  <c r="L135" i="4"/>
  <c r="N135" i="4" s="1"/>
  <c r="M135" i="4"/>
  <c r="S135" i="4"/>
  <c r="T135" i="4" s="1" a="1"/>
  <c r="T135" i="4" s="1"/>
  <c r="F136" i="4"/>
  <c r="L136" i="4"/>
  <c r="N136" i="4" s="1"/>
  <c r="M136" i="4"/>
  <c r="S136" i="4"/>
  <c r="T136" i="4" s="1" a="1"/>
  <c r="T136" i="4" s="1"/>
  <c r="F137" i="4"/>
  <c r="L137" i="4"/>
  <c r="N137" i="4" s="1"/>
  <c r="M137" i="4"/>
  <c r="S137" i="4"/>
  <c r="T137" i="4" s="1" a="1"/>
  <c r="T137" i="4" s="1"/>
  <c r="F138" i="4"/>
  <c r="L138" i="4"/>
  <c r="N138" i="4" s="1"/>
  <c r="M138" i="4"/>
  <c r="S138" i="4"/>
  <c r="T138" i="4" s="1" a="1"/>
  <c r="T138" i="4" s="1"/>
  <c r="F139" i="4"/>
  <c r="L139" i="4"/>
  <c r="N139" i="4" s="1"/>
  <c r="M139" i="4"/>
  <c r="S139" i="4"/>
  <c r="T139" i="4" s="1" a="1"/>
  <c r="T139" i="4" s="1"/>
  <c r="F140" i="4"/>
  <c r="L140" i="4"/>
  <c r="N140" i="4" s="1"/>
  <c r="M140" i="4"/>
  <c r="S140" i="4"/>
  <c r="T140" i="4" s="1" a="1"/>
  <c r="T140" i="4" s="1"/>
  <c r="F141" i="4"/>
  <c r="L141" i="4"/>
  <c r="N141" i="4" s="1"/>
  <c r="M141" i="4"/>
  <c r="S141" i="4"/>
  <c r="T141" i="4" s="1" a="1"/>
  <c r="T141" i="4" s="1"/>
  <c r="F142" i="4"/>
  <c r="L142" i="4"/>
  <c r="N142" i="4" s="1"/>
  <c r="M142" i="4"/>
  <c r="S142" i="4"/>
  <c r="T142" i="4" s="1" a="1"/>
  <c r="T142" i="4" s="1"/>
  <c r="F143" i="4"/>
  <c r="L143" i="4"/>
  <c r="N143" i="4" s="1"/>
  <c r="M143" i="4"/>
  <c r="S143" i="4"/>
  <c r="T143" i="4" s="1" a="1"/>
  <c r="T143" i="4" s="1"/>
  <c r="F144" i="4"/>
  <c r="L144" i="4"/>
  <c r="N144" i="4" s="1"/>
  <c r="M144" i="4"/>
  <c r="S144" i="4"/>
  <c r="T144" i="4" s="1" a="1"/>
  <c r="T144" i="4" s="1"/>
  <c r="F145" i="4"/>
  <c r="L145" i="4"/>
  <c r="N145" i="4" s="1"/>
  <c r="M145" i="4"/>
  <c r="S145" i="4"/>
  <c r="T145" i="4" s="1" a="1"/>
  <c r="T145" i="4" s="1"/>
  <c r="F146" i="4"/>
  <c r="L146" i="4"/>
  <c r="N146" i="4" s="1"/>
  <c r="M146" i="4"/>
  <c r="S146" i="4"/>
  <c r="T146" i="4" s="1" a="1"/>
  <c r="T146" i="4" s="1"/>
  <c r="F147" i="4"/>
  <c r="L147" i="4"/>
  <c r="N147" i="4" s="1"/>
  <c r="M147" i="4"/>
  <c r="S147" i="4"/>
  <c r="T147" i="4" s="1" a="1"/>
  <c r="T147" i="4" s="1"/>
  <c r="F148" i="4"/>
  <c r="L148" i="4"/>
  <c r="N148" i="4" s="1"/>
  <c r="M148" i="4"/>
  <c r="S148" i="4"/>
  <c r="T148" i="4" s="1" a="1"/>
  <c r="T148" i="4" s="1"/>
  <c r="F149" i="4"/>
  <c r="L149" i="4"/>
  <c r="N149" i="4" s="1"/>
  <c r="M149" i="4"/>
  <c r="S149" i="4"/>
  <c r="T149" i="4" s="1" a="1"/>
  <c r="T149" i="4" s="1"/>
  <c r="F150" i="4"/>
  <c r="L150" i="4"/>
  <c r="N150" i="4" s="1"/>
  <c r="M150" i="4"/>
  <c r="S150" i="4"/>
  <c r="T150" i="4" s="1" a="1"/>
  <c r="T150" i="4" s="1"/>
  <c r="F151" i="4"/>
  <c r="L151" i="4"/>
  <c r="N151" i="4" s="1"/>
  <c r="M151" i="4"/>
  <c r="S151" i="4"/>
  <c r="T151" i="4" s="1" a="1"/>
  <c r="T151" i="4" s="1"/>
  <c r="F152" i="4"/>
  <c r="L152" i="4"/>
  <c r="N152" i="4" s="1"/>
  <c r="M152" i="4"/>
  <c r="S152" i="4"/>
  <c r="T152" i="4" s="1" a="1"/>
  <c r="T152" i="4" s="1"/>
  <c r="F153" i="4"/>
  <c r="L153" i="4"/>
  <c r="N153" i="4" s="1"/>
  <c r="M153" i="4"/>
  <c r="S153" i="4"/>
  <c r="T153" i="4" s="1" a="1"/>
  <c r="T153" i="4" s="1"/>
  <c r="F154" i="4"/>
  <c r="L154" i="4"/>
  <c r="N154" i="4" s="1"/>
  <c r="M154" i="4"/>
  <c r="S154" i="4"/>
  <c r="T154" i="4" s="1" a="1"/>
  <c r="T154" i="4" s="1"/>
  <c r="F155" i="4"/>
  <c r="L155" i="4"/>
  <c r="N155" i="4" s="1"/>
  <c r="M155" i="4"/>
  <c r="S155" i="4"/>
  <c r="T155" i="4" s="1" a="1"/>
  <c r="T155" i="4" s="1"/>
  <c r="F156" i="4"/>
  <c r="L156" i="4"/>
  <c r="N156" i="4" s="1"/>
  <c r="M156" i="4"/>
  <c r="S156" i="4"/>
  <c r="T156" i="4" s="1" a="1"/>
  <c r="T156" i="4" s="1"/>
  <c r="F157" i="4"/>
  <c r="L157" i="4"/>
  <c r="N157" i="4" s="1"/>
  <c r="M157" i="4"/>
  <c r="S157" i="4"/>
  <c r="T157" i="4" s="1" a="1"/>
  <c r="T157" i="4" s="1"/>
  <c r="F158" i="4"/>
  <c r="L158" i="4"/>
  <c r="N158" i="4" s="1"/>
  <c r="M158" i="4"/>
  <c r="S158" i="4"/>
  <c r="T158" i="4" s="1" a="1"/>
  <c r="T158" i="4" s="1"/>
  <c r="F159" i="4"/>
  <c r="L159" i="4"/>
  <c r="N159" i="4" s="1"/>
  <c r="M159" i="4"/>
  <c r="S159" i="4"/>
  <c r="T159" i="4" s="1" a="1"/>
  <c r="T159" i="4" s="1"/>
  <c r="F160" i="4"/>
  <c r="L160" i="4"/>
  <c r="N160" i="4" s="1"/>
  <c r="M160" i="4"/>
  <c r="S160" i="4"/>
  <c r="T160" i="4" s="1" a="1"/>
  <c r="T160" i="4" s="1"/>
  <c r="F161" i="4"/>
  <c r="L161" i="4"/>
  <c r="N161" i="4" s="1"/>
  <c r="M161" i="4"/>
  <c r="S161" i="4"/>
  <c r="T161" i="4" s="1" a="1"/>
  <c r="T161" i="4" s="1"/>
  <c r="F162" i="4"/>
  <c r="L162" i="4"/>
  <c r="N162" i="4" s="1"/>
  <c r="M162" i="4"/>
  <c r="S162" i="4"/>
  <c r="T162" i="4" s="1" a="1"/>
  <c r="T162" i="4" s="1"/>
  <c r="F163" i="4"/>
  <c r="L163" i="4"/>
  <c r="N163" i="4" s="1"/>
  <c r="M163" i="4"/>
  <c r="S163" i="4"/>
  <c r="T163" i="4" s="1" a="1"/>
  <c r="T163" i="4" s="1"/>
  <c r="F164" i="4"/>
  <c r="L164" i="4"/>
  <c r="N164" i="4" s="1"/>
  <c r="M164" i="4"/>
  <c r="S164" i="4"/>
  <c r="T164" i="4" s="1" a="1"/>
  <c r="T164" i="4" s="1"/>
  <c r="F165" i="4"/>
  <c r="L165" i="4"/>
  <c r="N165" i="4" s="1"/>
  <c r="M165" i="4"/>
  <c r="S165" i="4"/>
  <c r="T165" i="4" s="1" a="1"/>
  <c r="T165" i="4" s="1"/>
  <c r="F166" i="4"/>
  <c r="L166" i="4"/>
  <c r="N166" i="4" s="1"/>
  <c r="M166" i="4"/>
  <c r="S166" i="4"/>
  <c r="T166" i="4" s="1" a="1"/>
  <c r="T166" i="4" s="1"/>
  <c r="F167" i="4"/>
  <c r="L167" i="4"/>
  <c r="N167" i="4" s="1"/>
  <c r="M167" i="4"/>
  <c r="S167" i="4"/>
  <c r="T167" i="4" s="1" a="1"/>
  <c r="T167" i="4" s="1"/>
  <c r="F168" i="4"/>
  <c r="L168" i="4"/>
  <c r="N168" i="4" s="1"/>
  <c r="M168" i="4"/>
  <c r="S168" i="4"/>
  <c r="T168" i="4" s="1" a="1"/>
  <c r="T168" i="4" s="1"/>
  <c r="F169" i="4"/>
  <c r="L169" i="4"/>
  <c r="N169" i="4" s="1"/>
  <c r="M169" i="4"/>
  <c r="S169" i="4"/>
  <c r="T169" i="4" s="1" a="1"/>
  <c r="T169" i="4" s="1"/>
  <c r="F170" i="4"/>
  <c r="L170" i="4"/>
  <c r="N170" i="4" s="1"/>
  <c r="M170" i="4"/>
  <c r="S170" i="4"/>
  <c r="T170" i="4" s="1" a="1"/>
  <c r="T170" i="4" s="1"/>
  <c r="F171" i="4"/>
  <c r="L171" i="4"/>
  <c r="N171" i="4" s="1"/>
  <c r="M171" i="4"/>
  <c r="S171" i="4"/>
  <c r="T171" i="4" s="1" a="1"/>
  <c r="T171" i="4" s="1"/>
  <c r="F172" i="4"/>
  <c r="L172" i="4"/>
  <c r="N172" i="4" s="1"/>
  <c r="M172" i="4"/>
  <c r="S172" i="4"/>
  <c r="T172" i="4" s="1" a="1"/>
  <c r="T172" i="4" s="1"/>
  <c r="F173" i="4"/>
  <c r="L173" i="4"/>
  <c r="N173" i="4" s="1"/>
  <c r="M173" i="4"/>
  <c r="S173" i="4"/>
  <c r="T173" i="4" s="1" a="1"/>
  <c r="T173" i="4" s="1"/>
  <c r="F174" i="4"/>
  <c r="L174" i="4"/>
  <c r="N174" i="4" s="1"/>
  <c r="M174" i="4"/>
  <c r="S174" i="4"/>
  <c r="T174" i="4" s="1" a="1"/>
  <c r="T174" i="4" s="1"/>
  <c r="F175" i="4"/>
  <c r="L175" i="4"/>
  <c r="N175" i="4" s="1"/>
  <c r="M175" i="4"/>
  <c r="S175" i="4"/>
  <c r="T175" i="4" s="1" a="1"/>
  <c r="T175" i="4" s="1"/>
  <c r="F176" i="4"/>
  <c r="L176" i="4"/>
  <c r="N176" i="4" s="1"/>
  <c r="M176" i="4"/>
  <c r="S176" i="4"/>
  <c r="T176" i="4" s="1" a="1"/>
  <c r="T176" i="4" s="1"/>
  <c r="F177" i="4"/>
  <c r="L177" i="4"/>
  <c r="N177" i="4" s="1"/>
  <c r="M177" i="4"/>
  <c r="S177" i="4"/>
  <c r="T177" i="4" s="1" a="1"/>
  <c r="T177" i="4" s="1"/>
  <c r="F178" i="4"/>
  <c r="L178" i="4"/>
  <c r="N178" i="4" s="1"/>
  <c r="M178" i="4"/>
  <c r="S178" i="4"/>
  <c r="T178" i="4" s="1" a="1"/>
  <c r="T178" i="4" s="1"/>
  <c r="F179" i="4"/>
  <c r="L179" i="4"/>
  <c r="N179" i="4" s="1"/>
  <c r="M179" i="4"/>
  <c r="S179" i="4"/>
  <c r="T179" i="4" s="1" a="1"/>
  <c r="T179" i="4" s="1"/>
  <c r="F180" i="4"/>
  <c r="L180" i="4"/>
  <c r="N180" i="4" s="1"/>
  <c r="M180" i="4"/>
  <c r="S180" i="4"/>
  <c r="T180" i="4" s="1" a="1"/>
  <c r="T180" i="4" s="1"/>
  <c r="F181" i="4"/>
  <c r="L181" i="4"/>
  <c r="N181" i="4" s="1"/>
  <c r="M181" i="4"/>
  <c r="S181" i="4"/>
  <c r="T181" i="4" s="1" a="1"/>
  <c r="T181" i="4" s="1"/>
  <c r="F182" i="4"/>
  <c r="L182" i="4"/>
  <c r="N182" i="4" s="1"/>
  <c r="M182" i="4"/>
  <c r="S182" i="4"/>
  <c r="T182" i="4" s="1" a="1"/>
  <c r="T182" i="4" s="1"/>
  <c r="F183" i="4"/>
  <c r="L183" i="4"/>
  <c r="N183" i="4" s="1"/>
  <c r="M183" i="4"/>
  <c r="S183" i="4"/>
  <c r="T183" i="4" s="1" a="1"/>
  <c r="T183" i="4" s="1"/>
  <c r="F184" i="4"/>
  <c r="L184" i="4"/>
  <c r="N184" i="4" s="1"/>
  <c r="M184" i="4"/>
  <c r="S184" i="4"/>
  <c r="T184" i="4" s="1" a="1"/>
  <c r="T184" i="4" s="1"/>
  <c r="F185" i="4"/>
  <c r="L185" i="4"/>
  <c r="N185" i="4" s="1"/>
  <c r="M185" i="4"/>
  <c r="S185" i="4"/>
  <c r="T185" i="4" s="1" a="1"/>
  <c r="T185" i="4" s="1"/>
  <c r="F186" i="4"/>
  <c r="L186" i="4"/>
  <c r="N186" i="4" s="1"/>
  <c r="M186" i="4"/>
  <c r="S186" i="4"/>
  <c r="T186" i="4" s="1" a="1"/>
  <c r="T186" i="4" s="1"/>
  <c r="F187" i="4"/>
  <c r="L187" i="4"/>
  <c r="N187" i="4" s="1"/>
  <c r="M187" i="4"/>
  <c r="S187" i="4"/>
  <c r="T187" i="4" s="1" a="1"/>
  <c r="T187" i="4" s="1"/>
  <c r="F188" i="4"/>
  <c r="L188" i="4"/>
  <c r="N188" i="4" s="1"/>
  <c r="M188" i="4"/>
  <c r="S188" i="4"/>
  <c r="T188" i="4" s="1" a="1"/>
  <c r="T188" i="4" s="1"/>
  <c r="F189" i="4"/>
  <c r="L189" i="4"/>
  <c r="N189" i="4" s="1"/>
  <c r="M189" i="4"/>
  <c r="S189" i="4"/>
  <c r="T189" i="4" s="1" a="1"/>
  <c r="T189" i="4" s="1"/>
  <c r="F190" i="4"/>
  <c r="L190" i="4"/>
  <c r="N190" i="4" s="1"/>
  <c r="M190" i="4"/>
  <c r="S190" i="4"/>
  <c r="T190" i="4" s="1" a="1"/>
  <c r="T190" i="4" s="1"/>
  <c r="F191" i="4"/>
  <c r="L191" i="4"/>
  <c r="N191" i="4" s="1"/>
  <c r="M191" i="4"/>
  <c r="S191" i="4"/>
  <c r="T191" i="4" s="1" a="1"/>
  <c r="T191" i="4" s="1"/>
  <c r="F192" i="4"/>
  <c r="L192" i="4"/>
  <c r="N192" i="4" s="1"/>
  <c r="M192" i="4"/>
  <c r="S192" i="4"/>
  <c r="T192" i="4" s="1" a="1"/>
  <c r="T192" i="4" s="1"/>
  <c r="F193" i="4"/>
  <c r="L193" i="4"/>
  <c r="N193" i="4" s="1"/>
  <c r="M193" i="4"/>
  <c r="S193" i="4"/>
  <c r="T193" i="4" s="1" a="1"/>
  <c r="T193" i="4" s="1"/>
  <c r="F194" i="4"/>
  <c r="L194" i="4"/>
  <c r="N194" i="4" s="1"/>
  <c r="M194" i="4"/>
  <c r="S194" i="4"/>
  <c r="T194" i="4" s="1" a="1"/>
  <c r="T194" i="4" s="1"/>
  <c r="F195" i="4"/>
  <c r="L195" i="4"/>
  <c r="N195" i="4" s="1"/>
  <c r="M195" i="4"/>
  <c r="S195" i="4"/>
  <c r="T195" i="4" s="1" a="1"/>
  <c r="T195" i="4" s="1"/>
  <c r="F196" i="4"/>
  <c r="L196" i="4"/>
  <c r="N196" i="4" s="1"/>
  <c r="M196" i="4"/>
  <c r="S196" i="4"/>
  <c r="T196" i="4" s="1" a="1"/>
  <c r="T196" i="4" s="1"/>
  <c r="F197" i="4"/>
  <c r="L197" i="4"/>
  <c r="N197" i="4" s="1"/>
  <c r="M197" i="4"/>
  <c r="S197" i="4"/>
  <c r="T197" i="4" s="1" a="1"/>
  <c r="T197" i="4" s="1"/>
  <c r="F198" i="4"/>
  <c r="L198" i="4"/>
  <c r="N198" i="4" s="1"/>
  <c r="M198" i="4"/>
  <c r="S198" i="4"/>
  <c r="T198" i="4" s="1" a="1"/>
  <c r="T198" i="4" s="1"/>
  <c r="F199" i="4"/>
  <c r="L199" i="4"/>
  <c r="N199" i="4" s="1"/>
  <c r="M199" i="4"/>
  <c r="S199" i="4"/>
  <c r="T199" i="4" s="1" a="1"/>
  <c r="T199" i="4" s="1"/>
  <c r="F200" i="4"/>
  <c r="L200" i="4"/>
  <c r="N200" i="4" s="1"/>
  <c r="M200" i="4"/>
  <c r="S200" i="4"/>
  <c r="T200" i="4" s="1" a="1"/>
  <c r="T200" i="4" s="1"/>
  <c r="F201" i="4"/>
  <c r="L201" i="4"/>
  <c r="N201" i="4" s="1"/>
  <c r="M201" i="4"/>
  <c r="S201" i="4"/>
  <c r="T201" i="4" s="1" a="1"/>
  <c r="T201" i="4" s="1"/>
  <c r="F202" i="4"/>
  <c r="L202" i="4"/>
  <c r="N202" i="4" s="1"/>
  <c r="M202" i="4"/>
  <c r="S202" i="4"/>
  <c r="T202" i="4" s="1" a="1"/>
  <c r="T202" i="4" s="1"/>
  <c r="F203" i="4"/>
  <c r="L203" i="4"/>
  <c r="N203" i="4" s="1"/>
  <c r="M203" i="4"/>
  <c r="S203" i="4"/>
  <c r="T203" i="4" s="1" a="1"/>
  <c r="T203" i="4" s="1"/>
  <c r="F204" i="4"/>
  <c r="L204" i="4"/>
  <c r="N204" i="4" s="1"/>
  <c r="M204" i="4"/>
  <c r="S204" i="4"/>
  <c r="T204" i="4" s="1" a="1"/>
  <c r="T204" i="4" s="1"/>
  <c r="F205" i="4"/>
  <c r="L205" i="4"/>
  <c r="N205" i="4" s="1"/>
  <c r="M205" i="4"/>
  <c r="S205" i="4"/>
  <c r="T205" i="4" s="1" a="1"/>
  <c r="T205" i="4" s="1"/>
  <c r="F206" i="4"/>
  <c r="L206" i="4"/>
  <c r="N206" i="4" s="1"/>
  <c r="M206" i="4"/>
  <c r="S206" i="4"/>
  <c r="T206" i="4" s="1" a="1"/>
  <c r="T206" i="4" s="1"/>
  <c r="F207" i="4"/>
  <c r="L207" i="4"/>
  <c r="N207" i="4" s="1"/>
  <c r="M207" i="4"/>
  <c r="S207" i="4"/>
  <c r="T207" i="4" s="1" a="1"/>
  <c r="T207" i="4" s="1"/>
  <c r="F208" i="4"/>
  <c r="L208" i="4"/>
  <c r="N208" i="4" s="1"/>
  <c r="M208" i="4"/>
  <c r="S208" i="4"/>
  <c r="T208" i="4" s="1" a="1"/>
  <c r="T208" i="4" s="1"/>
  <c r="F209" i="4"/>
  <c r="L209" i="4"/>
  <c r="N209" i="4" s="1"/>
  <c r="M209" i="4"/>
  <c r="S209" i="4"/>
  <c r="T209" i="4" s="1" a="1"/>
  <c r="T209" i="4" s="1"/>
  <c r="F210" i="4"/>
  <c r="L210" i="4"/>
  <c r="N210" i="4" s="1"/>
  <c r="M210" i="4"/>
  <c r="S210" i="4"/>
  <c r="T210" i="4" s="1" a="1"/>
  <c r="T210" i="4" s="1"/>
  <c r="F211" i="4"/>
  <c r="L211" i="4"/>
  <c r="N211" i="4" s="1"/>
  <c r="M211" i="4"/>
  <c r="S211" i="4"/>
  <c r="T211" i="4" s="1" a="1"/>
  <c r="T211" i="4" s="1"/>
  <c r="F212" i="4"/>
  <c r="L212" i="4"/>
  <c r="N212" i="4" s="1"/>
  <c r="M212" i="4"/>
  <c r="S212" i="4"/>
  <c r="T212" i="4" s="1" a="1"/>
  <c r="T212" i="4" s="1"/>
  <c r="F213" i="4"/>
  <c r="L213" i="4"/>
  <c r="N213" i="4" s="1"/>
  <c r="M213" i="4"/>
  <c r="S213" i="4"/>
  <c r="T213" i="4" s="1" a="1"/>
  <c r="T213" i="4" s="1"/>
  <c r="F214" i="4"/>
  <c r="L214" i="4"/>
  <c r="N214" i="4" s="1"/>
  <c r="M214" i="4"/>
  <c r="S214" i="4"/>
  <c r="T214" i="4" s="1" a="1"/>
  <c r="T214" i="4" s="1"/>
  <c r="F215" i="4"/>
  <c r="L215" i="4"/>
  <c r="N215" i="4" s="1"/>
  <c r="M215" i="4"/>
  <c r="S215" i="4"/>
  <c r="T215" i="4" s="1" a="1"/>
  <c r="T215" i="4" s="1"/>
  <c r="F216" i="4"/>
  <c r="L216" i="4"/>
  <c r="N216" i="4" s="1"/>
  <c r="M216" i="4"/>
  <c r="S216" i="4"/>
  <c r="T216" i="4" s="1" a="1"/>
  <c r="T216" i="4" s="1"/>
  <c r="F217" i="4"/>
  <c r="L217" i="4"/>
  <c r="N217" i="4" s="1"/>
  <c r="M217" i="4"/>
  <c r="S217" i="4"/>
  <c r="T217" i="4" s="1" a="1"/>
  <c r="T217" i="4" s="1"/>
  <c r="F218" i="4"/>
  <c r="L218" i="4"/>
  <c r="N218" i="4" s="1"/>
  <c r="M218" i="4"/>
  <c r="S218" i="4"/>
  <c r="T218" i="4" s="1" a="1"/>
  <c r="T218" i="4" s="1"/>
  <c r="F219" i="4"/>
  <c r="L219" i="4"/>
  <c r="N219" i="4" s="1"/>
  <c r="M219" i="4"/>
  <c r="S219" i="4"/>
  <c r="T219" i="4" s="1" a="1"/>
  <c r="T219" i="4" s="1"/>
  <c r="F220" i="4"/>
  <c r="L220" i="4"/>
  <c r="N220" i="4" s="1"/>
  <c r="M220" i="4"/>
  <c r="S220" i="4"/>
  <c r="T220" i="4" s="1" a="1"/>
  <c r="T220" i="4" s="1"/>
  <c r="F221" i="4"/>
  <c r="L221" i="4"/>
  <c r="N221" i="4" s="1"/>
  <c r="M221" i="4"/>
  <c r="S221" i="4"/>
  <c r="T221" i="4" s="1" a="1"/>
  <c r="T221" i="4" s="1"/>
  <c r="F222" i="4"/>
  <c r="L222" i="4"/>
  <c r="N222" i="4" s="1"/>
  <c r="M222" i="4"/>
  <c r="S222" i="4"/>
  <c r="T222" i="4" s="1" a="1"/>
  <c r="T222" i="4" s="1"/>
  <c r="F223" i="4"/>
  <c r="L223" i="4"/>
  <c r="N223" i="4" s="1"/>
  <c r="M223" i="4"/>
  <c r="S223" i="4"/>
  <c r="T223" i="4" s="1" a="1"/>
  <c r="T223" i="4" s="1"/>
  <c r="F224" i="4"/>
  <c r="L224" i="4"/>
  <c r="N224" i="4" s="1"/>
  <c r="M224" i="4"/>
  <c r="S224" i="4"/>
  <c r="T224" i="4" s="1" a="1"/>
  <c r="T224" i="4" s="1"/>
  <c r="F225" i="4"/>
  <c r="L225" i="4"/>
  <c r="N225" i="4" s="1"/>
  <c r="M225" i="4"/>
  <c r="S225" i="4"/>
  <c r="T225" i="4" s="1" a="1"/>
  <c r="T225" i="4" s="1"/>
  <c r="F226" i="4"/>
  <c r="L226" i="4"/>
  <c r="N226" i="4" s="1"/>
  <c r="M226" i="4"/>
  <c r="S226" i="4"/>
  <c r="T226" i="4" s="1" a="1"/>
  <c r="T226" i="4" s="1"/>
  <c r="F227" i="4"/>
  <c r="L227" i="4"/>
  <c r="N227" i="4" s="1"/>
  <c r="M227" i="4"/>
  <c r="S227" i="4"/>
  <c r="T227" i="4" s="1" a="1"/>
  <c r="T227" i="4" s="1"/>
  <c r="F228" i="4"/>
  <c r="L228" i="4"/>
  <c r="N228" i="4" s="1"/>
  <c r="M228" i="4"/>
  <c r="S228" i="4"/>
  <c r="T228" i="4" s="1" a="1"/>
  <c r="T228" i="4" s="1"/>
  <c r="F229" i="4"/>
  <c r="L229" i="4"/>
  <c r="N229" i="4" s="1"/>
  <c r="M229" i="4"/>
  <c r="S229" i="4"/>
  <c r="T229" i="4" s="1" a="1"/>
  <c r="T229" i="4" s="1"/>
  <c r="F230" i="4"/>
  <c r="L230" i="4"/>
  <c r="N230" i="4" s="1"/>
  <c r="M230" i="4"/>
  <c r="S230" i="4"/>
  <c r="T230" i="4" s="1" a="1"/>
  <c r="T230" i="4" s="1"/>
  <c r="F231" i="4"/>
  <c r="L231" i="4"/>
  <c r="N231" i="4" s="1"/>
  <c r="M231" i="4"/>
  <c r="S231" i="4"/>
  <c r="T231" i="4" s="1" a="1"/>
  <c r="T231" i="4" s="1"/>
  <c r="F232" i="4"/>
  <c r="L232" i="4"/>
  <c r="N232" i="4" s="1"/>
  <c r="M232" i="4"/>
  <c r="S232" i="4"/>
  <c r="T232" i="4" s="1" a="1"/>
  <c r="T232" i="4" s="1"/>
  <c r="F233" i="4"/>
  <c r="L233" i="4"/>
  <c r="N233" i="4" s="1"/>
  <c r="M233" i="4"/>
  <c r="S233" i="4"/>
  <c r="T233" i="4" s="1" a="1"/>
  <c r="T233" i="4" s="1"/>
  <c r="F234" i="4"/>
  <c r="L234" i="4"/>
  <c r="N234" i="4" s="1"/>
  <c r="M234" i="4"/>
  <c r="S234" i="4"/>
  <c r="T234" i="4" s="1" a="1"/>
  <c r="T234" i="4" s="1"/>
  <c r="F235" i="4"/>
  <c r="L235" i="4"/>
  <c r="N235" i="4" s="1"/>
  <c r="M235" i="4"/>
  <c r="S235" i="4"/>
  <c r="T235" i="4" s="1" a="1"/>
  <c r="T235" i="4" s="1"/>
  <c r="F236" i="4"/>
  <c r="L236" i="4"/>
  <c r="N236" i="4" s="1"/>
  <c r="M236" i="4"/>
  <c r="S236" i="4"/>
  <c r="T236" i="4" s="1" a="1"/>
  <c r="T236" i="4" s="1"/>
  <c r="F237" i="4"/>
  <c r="L237" i="4"/>
  <c r="N237" i="4" s="1"/>
  <c r="M237" i="4"/>
  <c r="S237" i="4"/>
  <c r="T237" i="4" s="1" a="1"/>
  <c r="T237" i="4" s="1"/>
  <c r="F238" i="4"/>
  <c r="L238" i="4"/>
  <c r="N238" i="4" s="1"/>
  <c r="M238" i="4"/>
  <c r="S238" i="4"/>
  <c r="T238" i="4" s="1" a="1"/>
  <c r="T238" i="4" s="1"/>
  <c r="F239" i="4"/>
  <c r="L239" i="4"/>
  <c r="N239" i="4" s="1"/>
  <c r="M239" i="4"/>
  <c r="S239" i="4"/>
  <c r="T239" i="4" s="1" a="1"/>
  <c r="T239" i="4" s="1"/>
  <c r="F240" i="4"/>
  <c r="L240" i="4"/>
  <c r="N240" i="4" s="1"/>
  <c r="M240" i="4"/>
  <c r="S240" i="4"/>
  <c r="T240" i="4" s="1" a="1"/>
  <c r="T240" i="4" s="1"/>
  <c r="F241" i="4"/>
  <c r="L241" i="4"/>
  <c r="N241" i="4" s="1"/>
  <c r="M241" i="4"/>
  <c r="S241" i="4"/>
  <c r="T241" i="4" s="1" a="1"/>
  <c r="T241" i="4" s="1"/>
  <c r="F242" i="4"/>
  <c r="L242" i="4"/>
  <c r="N242" i="4" s="1"/>
  <c r="M242" i="4"/>
  <c r="S242" i="4"/>
  <c r="T242" i="4" s="1" a="1"/>
  <c r="T242" i="4" s="1"/>
  <c r="F243" i="4"/>
  <c r="L243" i="4"/>
  <c r="N243" i="4" s="1"/>
  <c r="M243" i="4"/>
  <c r="S243" i="4"/>
  <c r="T243" i="4" s="1" a="1"/>
  <c r="T243" i="4" s="1"/>
  <c r="F244" i="4"/>
  <c r="L244" i="4"/>
  <c r="N244" i="4" s="1"/>
  <c r="M244" i="4"/>
  <c r="S244" i="4"/>
  <c r="T244" i="4" s="1" a="1"/>
  <c r="T244" i="4" s="1"/>
  <c r="F245" i="4"/>
  <c r="L245" i="4"/>
  <c r="N245" i="4" s="1"/>
  <c r="M245" i="4"/>
  <c r="S245" i="4"/>
  <c r="T245" i="4" s="1" a="1"/>
  <c r="T245" i="4" s="1"/>
  <c r="F246" i="4"/>
  <c r="L246" i="4"/>
  <c r="N246" i="4" s="1"/>
  <c r="M246" i="4"/>
  <c r="S246" i="4"/>
  <c r="T246" i="4" s="1" a="1"/>
  <c r="T246" i="4" s="1"/>
  <c r="F247" i="4"/>
  <c r="L247" i="4"/>
  <c r="N247" i="4" s="1"/>
  <c r="M247" i="4"/>
  <c r="S247" i="4"/>
  <c r="T247" i="4" s="1" a="1"/>
  <c r="T247" i="4" s="1"/>
  <c r="F248" i="4"/>
  <c r="L248" i="4"/>
  <c r="N248" i="4" s="1"/>
  <c r="M248" i="4"/>
  <c r="S248" i="4"/>
  <c r="T248" i="4" s="1" a="1"/>
  <c r="T248" i="4" s="1"/>
  <c r="F249" i="4"/>
  <c r="L249" i="4"/>
  <c r="N249" i="4" s="1"/>
  <c r="M249" i="4"/>
  <c r="S249" i="4"/>
  <c r="T249" i="4" s="1" a="1"/>
  <c r="T249" i="4" s="1"/>
  <c r="F250" i="4"/>
  <c r="L250" i="4"/>
  <c r="N250" i="4" s="1"/>
  <c r="M250" i="4"/>
  <c r="S250" i="4"/>
  <c r="T250" i="4" s="1" a="1"/>
  <c r="T250" i="4" s="1"/>
  <c r="F251" i="4"/>
  <c r="L251" i="4"/>
  <c r="N251" i="4" s="1"/>
  <c r="M251" i="4"/>
  <c r="S251" i="4"/>
  <c r="T251" i="4" s="1" a="1"/>
  <c r="T251" i="4" s="1"/>
  <c r="U251" i="4" a="1"/>
  <c r="U251" i="4" s="1"/>
  <c r="F252" i="4"/>
  <c r="L252" i="4"/>
  <c r="N252" i="4" s="1"/>
  <c r="M252" i="4"/>
  <c r="S252" i="4"/>
  <c r="T252" i="4" s="1" a="1"/>
  <c r="T252" i="4" s="1"/>
  <c r="U252" i="4" a="1"/>
  <c r="U252" i="4" s="1"/>
  <c r="L253" i="4"/>
  <c r="N253" i="4" s="1"/>
  <c r="M253" i="4"/>
  <c r="L254" i="4"/>
  <c r="N254" i="4" s="1"/>
  <c r="M254" i="4"/>
  <c r="A1" i="10" a="1"/>
  <c r="A1" i="10" s="1"/>
  <c r="F253" i="4"/>
  <c r="F254" i="4"/>
  <c r="S253" i="4"/>
  <c r="T253" i="4" s="1" a="1"/>
  <c r="T253" i="4" s="1"/>
  <c r="S254" i="4"/>
  <c r="T254" i="4" s="1" a="1"/>
  <c r="T254" i="4" s="1"/>
  <c r="S255" i="4"/>
  <c r="T255" i="4" s="1" a="1"/>
  <c r="T255" i="4" s="1"/>
  <c r="S256" i="4"/>
  <c r="T256" i="4" s="1" a="1"/>
  <c r="T256" i="4" s="1"/>
  <c r="S257" i="4"/>
  <c r="T257" i="4" s="1" a="1"/>
  <c r="T257" i="4" s="1"/>
  <c r="S258" i="4"/>
  <c r="T258" i="4" s="1" a="1"/>
  <c r="T258" i="4" s="1"/>
  <c r="S259" i="4"/>
  <c r="T259" i="4" s="1" a="1"/>
  <c r="T259" i="4" s="1"/>
  <c r="S260" i="4"/>
  <c r="T260" i="4" s="1" a="1"/>
  <c r="T260" i="4" s="1"/>
  <c r="U253" i="4" a="1"/>
  <c r="U253" i="4" s="1"/>
  <c r="U254" i="4" a="1"/>
  <c r="U254" i="4" s="1"/>
  <c r="U255" i="4" a="1"/>
  <c r="U255" i="4" s="1"/>
  <c r="U256" i="4" a="1"/>
  <c r="U256" i="4" s="1"/>
  <c r="U257" i="4" a="1"/>
  <c r="U257" i="4" s="1"/>
  <c r="U258" i="4" a="1"/>
  <c r="U258" i="4" s="1"/>
  <c r="U259" i="4" a="1"/>
  <c r="U259" i="4" s="1"/>
  <c r="G2" i="12" a="1"/>
  <c r="G2" i="12" s="1"/>
  <c r="A3" i="3" a="1"/>
  <c r="C3" i="6" s="1"/>
  <c r="A4" i="3" a="1"/>
  <c r="A4" i="3" s="1"/>
  <c r="A4" i="6" s="1"/>
  <c r="A5" i="3" a="1"/>
  <c r="C5" i="6" s="1"/>
  <c r="A6" i="3" a="1"/>
  <c r="C6" i="6" s="1"/>
  <c r="A7" i="3" a="1"/>
  <c r="C7" i="6" s="1"/>
  <c r="A8" i="3" a="1"/>
  <c r="C8" i="6" s="1"/>
  <c r="A9" i="3" a="1"/>
  <c r="C9" i="6" s="1"/>
  <c r="A10" i="3" a="1"/>
  <c r="A11" i="3" a="1"/>
  <c r="A12" i="3" a="1"/>
  <c r="A13" i="3" a="1"/>
  <c r="A13" i="3" s="1"/>
  <c r="A13" i="6" s="1"/>
  <c r="A14" i="3" a="1"/>
  <c r="A14" i="3" s="1"/>
  <c r="A14" i="6" s="1"/>
  <c r="A15" i="3" a="1"/>
  <c r="A15" i="3" s="1"/>
  <c r="A15" i="6" s="1"/>
  <c r="A16" i="3" a="1"/>
  <c r="A16" i="3" s="1"/>
  <c r="A16" i="6" s="1"/>
  <c r="A17" i="3" a="1"/>
  <c r="A18" i="3" a="1"/>
  <c r="A19" i="3" a="1"/>
  <c r="A19" i="3" s="1"/>
  <c r="A19" i="6" s="1"/>
  <c r="A20" i="3" a="1"/>
  <c r="A20" i="3" s="1"/>
  <c r="A20" i="6" s="1"/>
  <c r="A21" i="3" a="1"/>
  <c r="A21" i="3" s="1"/>
  <c r="A21" i="6" s="1"/>
  <c r="A22" i="3" a="1"/>
  <c r="A23" i="3" a="1"/>
  <c r="A24" i="3" a="1"/>
  <c r="A24" i="3" s="1"/>
  <c r="A24" i="6" s="1"/>
  <c r="A25" i="3" a="1"/>
  <c r="A25" i="3" s="1"/>
  <c r="A25" i="6" s="1"/>
  <c r="A26" i="3" a="1"/>
  <c r="A26" i="3" s="1"/>
  <c r="A26" i="6" s="1"/>
  <c r="A27" i="3" a="1"/>
  <c r="A27" i="3" s="1"/>
  <c r="A27" i="6" s="1"/>
  <c r="A28" i="3" a="1"/>
  <c r="A28" i="3" s="1"/>
  <c r="A28" i="6" s="1"/>
  <c r="A29" i="3" a="1"/>
  <c r="A29" i="3" s="1"/>
  <c r="A29" i="6" s="1"/>
  <c r="A30" i="3" a="1"/>
  <c r="A30" i="3" s="1"/>
  <c r="A30" i="6" s="1"/>
  <c r="A31" i="3" a="1"/>
  <c r="A31" i="3" s="1"/>
  <c r="A31" i="6" s="1"/>
  <c r="A32" i="3" a="1"/>
  <c r="A32" i="3" s="1"/>
  <c r="A32" i="6" s="1"/>
  <c r="A33" i="3" a="1"/>
  <c r="A33" i="3" s="1"/>
  <c r="A33" i="6" s="1"/>
  <c r="A34" i="3" a="1"/>
  <c r="A34" i="3" s="1"/>
  <c r="A34" i="6" s="1"/>
  <c r="A2" i="3" a="1"/>
  <c r="C2" i="6" s="1"/>
  <c r="Q26" i="3"/>
  <c r="Q27" i="3"/>
  <c r="Q28" i="3"/>
  <c r="Q29" i="3"/>
  <c r="Q30" i="3"/>
  <c r="Q31" i="3"/>
  <c r="Q32" i="3"/>
  <c r="Q33" i="3"/>
  <c r="Q34" i="3"/>
  <c r="A22" i="3" l="1"/>
  <c r="A22" i="6" s="1"/>
  <c r="Q22" i="3"/>
  <c r="A10" i="3"/>
  <c r="A10" i="6" s="1"/>
  <c r="Q10" i="3"/>
  <c r="A18" i="3"/>
  <c r="A18" i="6" s="1"/>
  <c r="Q18" i="3"/>
  <c r="A12" i="3"/>
  <c r="A12" i="6" s="1"/>
  <c r="Q12" i="3"/>
  <c r="A23" i="3"/>
  <c r="A23" i="6" s="1"/>
  <c r="Q23" i="3"/>
  <c r="A17" i="3"/>
  <c r="A17" i="6" s="1"/>
  <c r="Q17" i="3"/>
  <c r="A11" i="3"/>
  <c r="A11" i="6" s="1"/>
  <c r="Q11" i="3"/>
  <c r="R16" i="6"/>
  <c r="Q16" i="3"/>
  <c r="Q13" i="3"/>
  <c r="Q20" i="3"/>
  <c r="Q25" i="3"/>
  <c r="Q24" i="3"/>
  <c r="B21" i="6"/>
  <c r="B14" i="6"/>
  <c r="C22" i="6"/>
  <c r="C15" i="6"/>
  <c r="Q25" i="6"/>
  <c r="L25" i="6"/>
  <c r="P24" i="6"/>
  <c r="K24" i="6"/>
  <c r="O23" i="6"/>
  <c r="G22" i="6"/>
  <c r="N21" i="6" a="1"/>
  <c r="N21" i="6" s="1"/>
  <c r="R20" i="6"/>
  <c r="M20" i="6" a="1"/>
  <c r="M20" i="6" s="1"/>
  <c r="Q19" i="6"/>
  <c r="L19" i="6"/>
  <c r="P18" i="6"/>
  <c r="K18" i="6"/>
  <c r="O17" i="6"/>
  <c r="G16" i="6"/>
  <c r="N15" i="6" a="1"/>
  <c r="N15" i="6" s="1"/>
  <c r="R14" i="6"/>
  <c r="M14" i="6" a="1"/>
  <c r="M14" i="6" s="1"/>
  <c r="Q13" i="6"/>
  <c r="L13" i="6"/>
  <c r="P12" i="6"/>
  <c r="K12" i="6"/>
  <c r="O11" i="6"/>
  <c r="N10" i="6" a="1"/>
  <c r="N10" i="6" s="1"/>
  <c r="E5" i="1"/>
  <c r="B20" i="6"/>
  <c r="B13" i="6"/>
  <c r="C21" i="6"/>
  <c r="C14" i="6"/>
  <c r="P25" i="6"/>
  <c r="K25" i="6"/>
  <c r="O24" i="6"/>
  <c r="G23" i="6"/>
  <c r="N22" i="6" a="1"/>
  <c r="N22" i="6" s="1"/>
  <c r="R21" i="6"/>
  <c r="M21" i="6" a="1"/>
  <c r="M21" i="6" s="1"/>
  <c r="Q20" i="6"/>
  <c r="L20" i="6"/>
  <c r="P19" i="6"/>
  <c r="K19" i="6"/>
  <c r="O18" i="6"/>
  <c r="G17" i="6"/>
  <c r="N16" i="6" a="1"/>
  <c r="N16" i="6" s="1"/>
  <c r="R15" i="6"/>
  <c r="M15" i="6" a="1"/>
  <c r="M15" i="6" s="1"/>
  <c r="Q14" i="6"/>
  <c r="AB14" i="6" s="1"/>
  <c r="L14" i="6"/>
  <c r="P13" i="6"/>
  <c r="K13" i="6"/>
  <c r="O12" i="6"/>
  <c r="G11" i="6"/>
  <c r="M10" i="6" a="1"/>
  <c r="M10" i="6" s="1"/>
  <c r="B25" i="6"/>
  <c r="B18" i="6"/>
  <c r="B12" i="6"/>
  <c r="C20" i="6"/>
  <c r="C13" i="6"/>
  <c r="O25" i="6"/>
  <c r="G24" i="6"/>
  <c r="N23" i="6" a="1"/>
  <c r="N23" i="6" s="1"/>
  <c r="R22" i="6"/>
  <c r="M22" i="6" a="1"/>
  <c r="M22" i="6" s="1"/>
  <c r="Q21" i="6"/>
  <c r="AB21" i="6" s="1"/>
  <c r="L21" i="6"/>
  <c r="P20" i="6"/>
  <c r="K20" i="6"/>
  <c r="O19" i="6"/>
  <c r="G18" i="6"/>
  <c r="H18" i="6" s="1"/>
  <c r="N17" i="6" a="1"/>
  <c r="N17" i="6" s="1"/>
  <c r="M16" i="6" a="1"/>
  <c r="M16" i="6" s="1"/>
  <c r="Q15" i="6"/>
  <c r="L15" i="6"/>
  <c r="P14" i="6"/>
  <c r="K14" i="6"/>
  <c r="O13" i="6"/>
  <c r="G12" i="6"/>
  <c r="N11" i="6" a="1"/>
  <c r="N11" i="6" s="1"/>
  <c r="R10" i="6"/>
  <c r="L10" i="6"/>
  <c r="B24" i="6"/>
  <c r="B17" i="6"/>
  <c r="B11" i="6"/>
  <c r="C25" i="6"/>
  <c r="C18" i="6"/>
  <c r="C12" i="6"/>
  <c r="G25" i="6"/>
  <c r="H25" i="6" s="1"/>
  <c r="N24" i="6" a="1"/>
  <c r="N24" i="6" s="1"/>
  <c r="R23" i="6"/>
  <c r="M23" i="6" a="1"/>
  <c r="M23" i="6" s="1"/>
  <c r="Q22" i="6"/>
  <c r="AB22" i="6" s="1"/>
  <c r="L22" i="6"/>
  <c r="P21" i="6"/>
  <c r="K21" i="6"/>
  <c r="O20" i="6"/>
  <c r="G19" i="6"/>
  <c r="N18" i="6" a="1"/>
  <c r="N18" i="6" s="1"/>
  <c r="R17" i="6"/>
  <c r="M17" i="6" a="1"/>
  <c r="M17" i="6" s="1"/>
  <c r="Q16" i="6"/>
  <c r="AB16" i="6" s="1"/>
  <c r="L16" i="6"/>
  <c r="P15" i="6"/>
  <c r="K15" i="6"/>
  <c r="O14" i="6"/>
  <c r="G13" i="6"/>
  <c r="N12" i="6" a="1"/>
  <c r="N12" i="6" s="1"/>
  <c r="R11" i="6"/>
  <c r="M11" i="6" a="1"/>
  <c r="M11" i="6" s="1"/>
  <c r="Q10" i="6"/>
  <c r="AB10" i="6" s="1"/>
  <c r="K10" i="6"/>
  <c r="E62" i="1"/>
  <c r="E56" i="1"/>
  <c r="E50" i="1"/>
  <c r="E44" i="1"/>
  <c r="E32" i="1"/>
  <c r="E26" i="1"/>
  <c r="E20" i="1"/>
  <c r="E14" i="1"/>
  <c r="E8" i="1"/>
  <c r="B23" i="6"/>
  <c r="B16" i="6"/>
  <c r="B10" i="6"/>
  <c r="C24" i="6"/>
  <c r="C17" i="6"/>
  <c r="C11" i="6"/>
  <c r="N25" i="6" a="1"/>
  <c r="N25" i="6" s="1"/>
  <c r="R24" i="6"/>
  <c r="M24" i="6" a="1"/>
  <c r="M24" i="6" s="1"/>
  <c r="Q23" i="6"/>
  <c r="L23" i="6"/>
  <c r="P22" i="6"/>
  <c r="K22" i="6"/>
  <c r="O21" i="6"/>
  <c r="G20" i="6"/>
  <c r="N19" i="6" a="1"/>
  <c r="N19" i="6" s="1"/>
  <c r="R18" i="6"/>
  <c r="M18" i="6" a="1"/>
  <c r="M18" i="6" s="1"/>
  <c r="Q17" i="6"/>
  <c r="AB17" i="6" s="1"/>
  <c r="L17" i="6"/>
  <c r="P16" i="6"/>
  <c r="K16" i="6"/>
  <c r="O15" i="6"/>
  <c r="G14" i="6"/>
  <c r="N13" i="6" a="1"/>
  <c r="N13" i="6" s="1"/>
  <c r="R12" i="6"/>
  <c r="M12" i="6" a="1"/>
  <c r="M12" i="6" s="1"/>
  <c r="Q11" i="6"/>
  <c r="AB11" i="6" s="1"/>
  <c r="L11" i="6"/>
  <c r="P10" i="6"/>
  <c r="Q15" i="3"/>
  <c r="Q21" i="3"/>
  <c r="Q14" i="3"/>
  <c r="B22" i="6"/>
  <c r="B15" i="6"/>
  <c r="C23" i="6"/>
  <c r="C16" i="6"/>
  <c r="C10" i="6"/>
  <c r="C4" i="6"/>
  <c r="R25" i="6"/>
  <c r="M25" i="6" a="1"/>
  <c r="M25" i="6" s="1"/>
  <c r="Q24" i="6"/>
  <c r="L24" i="6"/>
  <c r="P23" i="6"/>
  <c r="K23" i="6"/>
  <c r="O22" i="6"/>
  <c r="G21" i="6"/>
  <c r="I21" i="6" s="1"/>
  <c r="N20" i="6" a="1"/>
  <c r="N20" i="6" s="1"/>
  <c r="R19" i="6"/>
  <c r="M19" i="6" a="1"/>
  <c r="M19" i="6" s="1"/>
  <c r="Q18" i="6"/>
  <c r="L18" i="6"/>
  <c r="P17" i="6"/>
  <c r="K17" i="6"/>
  <c r="O16" i="6"/>
  <c r="G15" i="6"/>
  <c r="N14" i="6" a="1"/>
  <c r="N14" i="6" s="1"/>
  <c r="R13" i="6"/>
  <c r="M13" i="6" a="1"/>
  <c r="M13" i="6" s="1"/>
  <c r="Q12" i="6"/>
  <c r="L12" i="6"/>
  <c r="P11" i="6"/>
  <c r="K11" i="6"/>
  <c r="O10" i="6"/>
  <c r="G10" i="6"/>
  <c r="H24" i="6"/>
  <c r="I24" i="6"/>
  <c r="H23" i="6"/>
  <c r="I23" i="6"/>
  <c r="H22" i="6"/>
  <c r="I22" i="6"/>
  <c r="H21" i="6"/>
  <c r="H20" i="6"/>
  <c r="I20" i="6"/>
  <c r="H19" i="6"/>
  <c r="I19" i="6"/>
  <c r="I18" i="6"/>
  <c r="H17" i="6"/>
  <c r="I17" i="6"/>
  <c r="H16" i="6"/>
  <c r="I16" i="6"/>
  <c r="H15" i="6"/>
  <c r="I15" i="6"/>
  <c r="H14" i="6"/>
  <c r="I14" i="6"/>
  <c r="J10" i="6"/>
  <c r="I13" i="6"/>
  <c r="I12" i="6"/>
  <c r="I11" i="6"/>
  <c r="C19" i="6"/>
  <c r="B19" i="6"/>
  <c r="F19" i="6" s="1"/>
  <c r="Q19" i="3"/>
  <c r="E30" i="1"/>
  <c r="E24" i="1"/>
  <c r="E18" i="1"/>
  <c r="E12" i="1"/>
  <c r="E6" i="1"/>
  <c r="E145" i="1"/>
  <c r="E139" i="1"/>
  <c r="E127" i="1"/>
  <c r="E121" i="1"/>
  <c r="E109" i="1"/>
  <c r="E103" i="1"/>
  <c r="E91" i="1"/>
  <c r="E85" i="1"/>
  <c r="E73" i="1"/>
  <c r="E67" i="1"/>
  <c r="E61" i="1"/>
  <c r="E55" i="1"/>
  <c r="E49" i="1"/>
  <c r="E43" i="1"/>
  <c r="E31" i="1"/>
  <c r="E19" i="1"/>
  <c r="E7" i="1"/>
  <c r="E66" i="1"/>
  <c r="E60" i="1"/>
  <c r="E54" i="1"/>
  <c r="E48" i="1"/>
  <c r="E42" i="1"/>
  <c r="E25" i="1"/>
  <c r="E13" i="1"/>
  <c r="E148" i="1"/>
  <c r="E142" i="1"/>
  <c r="E136" i="1"/>
  <c r="E130" i="1"/>
  <c r="E118" i="1"/>
  <c r="E112" i="1"/>
  <c r="E106" i="1"/>
  <c r="E100" i="1"/>
  <c r="E94" i="1"/>
  <c r="E88" i="1"/>
  <c r="E82" i="1"/>
  <c r="E76" i="1"/>
  <c r="E70" i="1"/>
  <c r="E64" i="1"/>
  <c r="E58" i="1"/>
  <c r="E52" i="1"/>
  <c r="E46" i="1"/>
  <c r="E40" i="1"/>
  <c r="E34" i="1"/>
  <c r="E28" i="1"/>
  <c r="E22" i="1"/>
  <c r="E16" i="1"/>
  <c r="E10" i="1"/>
  <c r="E4" i="1"/>
  <c r="E23" i="1"/>
  <c r="E124" i="1"/>
  <c r="E63" i="1"/>
  <c r="E57" i="1"/>
  <c r="E51" i="1"/>
  <c r="E45" i="1"/>
  <c r="E39" i="1"/>
  <c r="E33" i="1"/>
  <c r="E27" i="1"/>
  <c r="E21" i="1"/>
  <c r="E15" i="1"/>
  <c r="E9" i="1"/>
  <c r="E3" i="1"/>
  <c r="E115" i="1"/>
  <c r="E65" i="1"/>
  <c r="E47" i="1"/>
  <c r="E147" i="1"/>
  <c r="E141" i="1"/>
  <c r="E135" i="1"/>
  <c r="E129" i="1"/>
  <c r="E123" i="1"/>
  <c r="E117" i="1"/>
  <c r="E111" i="1"/>
  <c r="E105" i="1"/>
  <c r="E99" i="1"/>
  <c r="E93" i="1"/>
  <c r="E87" i="1"/>
  <c r="E81" i="1"/>
  <c r="E75" i="1"/>
  <c r="E69" i="1"/>
  <c r="E133" i="1"/>
  <c r="E79" i="1"/>
  <c r="E53" i="1"/>
  <c r="E35" i="1"/>
  <c r="E11" i="1"/>
  <c r="E140" i="1"/>
  <c r="E134" i="1"/>
  <c r="E128" i="1"/>
  <c r="E122" i="1"/>
  <c r="E116" i="1"/>
  <c r="E110" i="1"/>
  <c r="E104" i="1"/>
  <c r="E98" i="1"/>
  <c r="E92" i="1"/>
  <c r="E86" i="1"/>
  <c r="E80" i="1"/>
  <c r="E74" i="1"/>
  <c r="E68" i="1"/>
  <c r="E97" i="1"/>
  <c r="E59" i="1"/>
  <c r="E41" i="1"/>
  <c r="E17" i="1"/>
  <c r="E146" i="1"/>
  <c r="E38" i="1"/>
  <c r="E29" i="1"/>
  <c r="E144" i="1"/>
  <c r="E138" i="1"/>
  <c r="E132" i="1"/>
  <c r="E126" i="1"/>
  <c r="E120" i="1"/>
  <c r="E114" i="1"/>
  <c r="E108" i="1"/>
  <c r="E102" i="1"/>
  <c r="E96" i="1"/>
  <c r="E90" i="1"/>
  <c r="E84" i="1"/>
  <c r="E78" i="1"/>
  <c r="E72" i="1"/>
  <c r="E37" i="1"/>
  <c r="E149" i="1"/>
  <c r="E143" i="1"/>
  <c r="E137" i="1"/>
  <c r="E131" i="1"/>
  <c r="E125" i="1"/>
  <c r="E119" i="1"/>
  <c r="E113" i="1"/>
  <c r="E107" i="1"/>
  <c r="E101" i="1"/>
  <c r="E95" i="1"/>
  <c r="E89" i="1"/>
  <c r="E83" i="1"/>
  <c r="E77" i="1"/>
  <c r="E71" i="1"/>
  <c r="E36" i="1"/>
  <c r="F32" i="6"/>
  <c r="F811" i="6"/>
  <c r="F793" i="6"/>
  <c r="F739" i="6"/>
  <c r="F775" i="6"/>
  <c r="F757" i="6"/>
  <c r="F703" i="6"/>
  <c r="F631" i="6"/>
  <c r="F577" i="6"/>
  <c r="F326" i="6"/>
  <c r="F806" i="6"/>
  <c r="F788" i="6"/>
  <c r="F770" i="6"/>
  <c r="F752" i="6"/>
  <c r="F734" i="6"/>
  <c r="F716" i="6"/>
  <c r="F698" i="6"/>
  <c r="F680" i="6"/>
  <c r="F662" i="6"/>
  <c r="F644" i="6"/>
  <c r="F626" i="6"/>
  <c r="F608" i="6"/>
  <c r="F590" i="6"/>
  <c r="F572" i="6"/>
  <c r="F554" i="6"/>
  <c r="F536" i="6"/>
  <c r="F518" i="6"/>
  <c r="F497" i="6"/>
  <c r="F471" i="6"/>
  <c r="F398" i="6"/>
  <c r="F308" i="6"/>
  <c r="F147" i="6"/>
  <c r="F685" i="6"/>
  <c r="F559" i="6"/>
  <c r="F541" i="6"/>
  <c r="F416" i="6"/>
  <c r="F805" i="6"/>
  <c r="F787" i="6"/>
  <c r="F769" i="6"/>
  <c r="F751" i="6"/>
  <c r="F733" i="6"/>
  <c r="F715" i="6"/>
  <c r="F697" i="6"/>
  <c r="F679" i="6"/>
  <c r="F661" i="6"/>
  <c r="F643" i="6"/>
  <c r="F625" i="6"/>
  <c r="F607" i="6"/>
  <c r="F589" i="6"/>
  <c r="F571" i="6"/>
  <c r="F553" i="6"/>
  <c r="F535" i="6"/>
  <c r="F517" i="6"/>
  <c r="F496" i="6"/>
  <c r="F470" i="6"/>
  <c r="F380" i="6"/>
  <c r="F290" i="6"/>
  <c r="F111" i="6"/>
  <c r="F800" i="6"/>
  <c r="F782" i="6"/>
  <c r="F764" i="6"/>
  <c r="F746" i="6"/>
  <c r="F728" i="6"/>
  <c r="F710" i="6"/>
  <c r="F692" i="6"/>
  <c r="F674" i="6"/>
  <c r="F656" i="6"/>
  <c r="F638" i="6"/>
  <c r="F620" i="6"/>
  <c r="F602" i="6"/>
  <c r="F584" i="6"/>
  <c r="F566" i="6"/>
  <c r="F548" i="6"/>
  <c r="F530" i="6"/>
  <c r="F512" i="6"/>
  <c r="F489" i="6"/>
  <c r="F460" i="6"/>
  <c r="F375" i="6"/>
  <c r="F272" i="6"/>
  <c r="F80" i="6"/>
  <c r="F721" i="6"/>
  <c r="F649" i="6"/>
  <c r="F595" i="6"/>
  <c r="F503" i="6"/>
  <c r="F183" i="6"/>
  <c r="F799" i="6"/>
  <c r="F781" i="6"/>
  <c r="F763" i="6"/>
  <c r="F745" i="6"/>
  <c r="F727" i="6"/>
  <c r="F709" i="6"/>
  <c r="F691" i="6"/>
  <c r="F673" i="6"/>
  <c r="F655" i="6"/>
  <c r="F637" i="6"/>
  <c r="F619" i="6"/>
  <c r="F601" i="6"/>
  <c r="F583" i="6"/>
  <c r="F565" i="6"/>
  <c r="F547" i="6"/>
  <c r="F529" i="6"/>
  <c r="F510" i="6"/>
  <c r="F488" i="6"/>
  <c r="F448" i="6"/>
  <c r="F362" i="6"/>
  <c r="F254" i="6"/>
  <c r="F44" i="6"/>
  <c r="F667" i="6"/>
  <c r="F613" i="6"/>
  <c r="F523" i="6"/>
  <c r="F478" i="6"/>
  <c r="F812" i="6"/>
  <c r="F794" i="6"/>
  <c r="F776" i="6"/>
  <c r="F758" i="6"/>
  <c r="F740" i="6"/>
  <c r="F722" i="6"/>
  <c r="F704" i="6"/>
  <c r="F686" i="6"/>
  <c r="F668" i="6"/>
  <c r="F650" i="6"/>
  <c r="F632" i="6"/>
  <c r="F614" i="6"/>
  <c r="F596" i="6"/>
  <c r="F578" i="6"/>
  <c r="F560" i="6"/>
  <c r="F542" i="6"/>
  <c r="F524" i="6"/>
  <c r="F504" i="6"/>
  <c r="F479" i="6"/>
  <c r="F434" i="6"/>
  <c r="F344" i="6"/>
  <c r="F219" i="6"/>
  <c r="F8" i="6"/>
  <c r="F321" i="6"/>
  <c r="F267" i="6"/>
  <c r="F177" i="6"/>
  <c r="F38" i="6"/>
  <c r="F810" i="6"/>
  <c r="F804" i="6"/>
  <c r="F798" i="6"/>
  <c r="F792" i="6"/>
  <c r="F786" i="6"/>
  <c r="F780" i="6"/>
  <c r="F774" i="6"/>
  <c r="F768" i="6"/>
  <c r="F762" i="6"/>
  <c r="F756" i="6"/>
  <c r="F750" i="6"/>
  <c r="F744" i="6"/>
  <c r="F738" i="6"/>
  <c r="F732" i="6"/>
  <c r="F726" i="6"/>
  <c r="F720" i="6"/>
  <c r="F714" i="6"/>
  <c r="F708" i="6"/>
  <c r="F702" i="6"/>
  <c r="F696" i="6"/>
  <c r="F690" i="6"/>
  <c r="F684" i="6"/>
  <c r="F678" i="6"/>
  <c r="F672" i="6"/>
  <c r="F666" i="6"/>
  <c r="F660" i="6"/>
  <c r="F654" i="6"/>
  <c r="F648" i="6"/>
  <c r="F642" i="6"/>
  <c r="F636" i="6"/>
  <c r="F630" i="6"/>
  <c r="F624" i="6"/>
  <c r="F618" i="6"/>
  <c r="F612" i="6"/>
  <c r="F606" i="6"/>
  <c r="F600" i="6"/>
  <c r="F594" i="6"/>
  <c r="F588" i="6"/>
  <c r="F582" i="6"/>
  <c r="F576" i="6"/>
  <c r="F570" i="6"/>
  <c r="F564" i="6"/>
  <c r="F558" i="6"/>
  <c r="F552" i="6"/>
  <c r="F546" i="6"/>
  <c r="F540" i="6"/>
  <c r="F534" i="6"/>
  <c r="F528" i="6"/>
  <c r="F522" i="6"/>
  <c r="F516" i="6"/>
  <c r="F509" i="6"/>
  <c r="F502" i="6"/>
  <c r="F495" i="6"/>
  <c r="F485" i="6"/>
  <c r="F477" i="6"/>
  <c r="F467" i="6"/>
  <c r="F458" i="6"/>
  <c r="F446" i="6"/>
  <c r="F428" i="6"/>
  <c r="F410" i="6"/>
  <c r="F392" i="6"/>
  <c r="F374" i="6"/>
  <c r="F356" i="6"/>
  <c r="F338" i="6"/>
  <c r="F320" i="6"/>
  <c r="F302" i="6"/>
  <c r="F284" i="6"/>
  <c r="F266" i="6"/>
  <c r="F243" i="6"/>
  <c r="F207" i="6"/>
  <c r="F171" i="6"/>
  <c r="F135" i="6"/>
  <c r="F99" i="6"/>
  <c r="F68" i="6"/>
  <c r="F15" i="6"/>
  <c r="F21" i="6"/>
  <c r="F27" i="6"/>
  <c r="F33" i="6"/>
  <c r="F39" i="6"/>
  <c r="F45" i="6"/>
  <c r="F51" i="6"/>
  <c r="F57" i="6"/>
  <c r="F63" i="6"/>
  <c r="F69" i="6"/>
  <c r="F75" i="6"/>
  <c r="F81" i="6"/>
  <c r="F87" i="6"/>
  <c r="F93" i="6"/>
  <c r="F100" i="6"/>
  <c r="F106" i="6"/>
  <c r="F112" i="6"/>
  <c r="F118" i="6"/>
  <c r="F124" i="6"/>
  <c r="F130" i="6"/>
  <c r="F136" i="6"/>
  <c r="F142" i="6"/>
  <c r="F148" i="6"/>
  <c r="F154" i="6"/>
  <c r="F160" i="6"/>
  <c r="F166" i="6"/>
  <c r="F172" i="6"/>
  <c r="F178" i="6"/>
  <c r="F184" i="6"/>
  <c r="F190" i="6"/>
  <c r="F196" i="6"/>
  <c r="F202" i="6"/>
  <c r="F208" i="6"/>
  <c r="F214" i="6"/>
  <c r="F220" i="6"/>
  <c r="F226" i="6"/>
  <c r="F232" i="6"/>
  <c r="F238" i="6"/>
  <c r="F244" i="6"/>
  <c r="F250" i="6"/>
  <c r="F256" i="6"/>
  <c r="F262" i="6"/>
  <c r="F268" i="6"/>
  <c r="F274" i="6"/>
  <c r="F280" i="6"/>
  <c r="F286" i="6"/>
  <c r="F292" i="6"/>
  <c r="F298" i="6"/>
  <c r="F304" i="6"/>
  <c r="F310" i="6"/>
  <c r="F316" i="6"/>
  <c r="F322" i="6"/>
  <c r="F328" i="6"/>
  <c r="F334" i="6"/>
  <c r="F340" i="6"/>
  <c r="F346" i="6"/>
  <c r="F352" i="6"/>
  <c r="F358" i="6"/>
  <c r="F364" i="6"/>
  <c r="F370" i="6"/>
  <c r="F376" i="6"/>
  <c r="F382" i="6"/>
  <c r="F388" i="6"/>
  <c r="F394" i="6"/>
  <c r="F400" i="6"/>
  <c r="F406" i="6"/>
  <c r="F412" i="6"/>
  <c r="F418" i="6"/>
  <c r="F424" i="6"/>
  <c r="F430" i="6"/>
  <c r="F436" i="6"/>
  <c r="F442" i="6"/>
  <c r="F10" i="6"/>
  <c r="F16" i="6"/>
  <c r="F22" i="6"/>
  <c r="F28" i="6"/>
  <c r="F34" i="6"/>
  <c r="F40" i="6"/>
  <c r="F46" i="6"/>
  <c r="F52" i="6"/>
  <c r="F58" i="6"/>
  <c r="F64" i="6"/>
  <c r="F70" i="6"/>
  <c r="F76" i="6"/>
  <c r="F82" i="6"/>
  <c r="F88" i="6"/>
  <c r="F94" i="6"/>
  <c r="F101" i="6"/>
  <c r="F107" i="6"/>
  <c r="F113" i="6"/>
  <c r="F119" i="6"/>
  <c r="F125" i="6"/>
  <c r="F131" i="6"/>
  <c r="F137" i="6"/>
  <c r="F143" i="6"/>
  <c r="F149" i="6"/>
  <c r="F155" i="6"/>
  <c r="F161" i="6"/>
  <c r="F167" i="6"/>
  <c r="F173" i="6"/>
  <c r="F179" i="6"/>
  <c r="F185" i="6"/>
  <c r="F191" i="6"/>
  <c r="F197" i="6"/>
  <c r="F203" i="6"/>
  <c r="F209" i="6"/>
  <c r="F215" i="6"/>
  <c r="F221" i="6"/>
  <c r="F227" i="6"/>
  <c r="F233" i="6"/>
  <c r="F239" i="6"/>
  <c r="F245" i="6"/>
  <c r="F251" i="6"/>
  <c r="F257" i="6"/>
  <c r="F263" i="6"/>
  <c r="F269" i="6"/>
  <c r="F275" i="6"/>
  <c r="F281" i="6"/>
  <c r="F287" i="6"/>
  <c r="F293" i="6"/>
  <c r="F299" i="6"/>
  <c r="F305" i="6"/>
  <c r="F311" i="6"/>
  <c r="F317" i="6"/>
  <c r="F323" i="6"/>
  <c r="F329" i="6"/>
  <c r="F335" i="6"/>
  <c r="F341" i="6"/>
  <c r="F347" i="6"/>
  <c r="F353" i="6"/>
  <c r="F359" i="6"/>
  <c r="F365" i="6"/>
  <c r="F371" i="6"/>
  <c r="F377" i="6"/>
  <c r="F383" i="6"/>
  <c r="F389" i="6"/>
  <c r="F395" i="6"/>
  <c r="F401" i="6"/>
  <c r="F407" i="6"/>
  <c r="F413" i="6"/>
  <c r="F419" i="6"/>
  <c r="F425" i="6"/>
  <c r="F431" i="6"/>
  <c r="F437" i="6"/>
  <c r="F443" i="6"/>
  <c r="F449" i="6"/>
  <c r="F455" i="6"/>
  <c r="F461" i="6"/>
  <c r="F11" i="6"/>
  <c r="F17" i="6"/>
  <c r="F23" i="6"/>
  <c r="F29" i="6"/>
  <c r="F35" i="6"/>
  <c r="F41" i="6"/>
  <c r="F47" i="6"/>
  <c r="F53" i="6"/>
  <c r="F59" i="6"/>
  <c r="F65" i="6"/>
  <c r="F71" i="6"/>
  <c r="F77" i="6"/>
  <c r="F83" i="6"/>
  <c r="F89" i="6"/>
  <c r="F95" i="6"/>
  <c r="F102" i="6"/>
  <c r="F108" i="6"/>
  <c r="F114" i="6"/>
  <c r="F120" i="6"/>
  <c r="F126" i="6"/>
  <c r="F132" i="6"/>
  <c r="F138" i="6"/>
  <c r="F144" i="6"/>
  <c r="F150" i="6"/>
  <c r="F156" i="6"/>
  <c r="F162" i="6"/>
  <c r="F168" i="6"/>
  <c r="F174" i="6"/>
  <c r="F180" i="6"/>
  <c r="F186" i="6"/>
  <c r="F192" i="6"/>
  <c r="F198" i="6"/>
  <c r="F204" i="6"/>
  <c r="F210" i="6"/>
  <c r="F216" i="6"/>
  <c r="F222" i="6"/>
  <c r="F228" i="6"/>
  <c r="F234" i="6"/>
  <c r="F240" i="6"/>
  <c r="F246" i="6"/>
  <c r="F252" i="6"/>
  <c r="F258" i="6"/>
  <c r="F264" i="6"/>
  <c r="F270" i="6"/>
  <c r="F276" i="6"/>
  <c r="F282" i="6"/>
  <c r="F288" i="6"/>
  <c r="F294" i="6"/>
  <c r="F300" i="6"/>
  <c r="F306" i="6"/>
  <c r="F312" i="6"/>
  <c r="F318" i="6"/>
  <c r="F324" i="6"/>
  <c r="F330" i="6"/>
  <c r="F336" i="6"/>
  <c r="F342" i="6"/>
  <c r="F348" i="6"/>
  <c r="F354" i="6"/>
  <c r="F360" i="6"/>
  <c r="F366" i="6"/>
  <c r="F372" i="6"/>
  <c r="F378" i="6"/>
  <c r="F384" i="6"/>
  <c r="F390" i="6"/>
  <c r="F396" i="6"/>
  <c r="F402" i="6"/>
  <c r="F408" i="6"/>
  <c r="F414" i="6"/>
  <c r="F420" i="6"/>
  <c r="F426" i="6"/>
  <c r="F432" i="6"/>
  <c r="F438" i="6"/>
  <c r="F444" i="6"/>
  <c r="F450" i="6"/>
  <c r="F456" i="6"/>
  <c r="F462" i="6"/>
  <c r="F468" i="6"/>
  <c r="F474" i="6"/>
  <c r="F480" i="6"/>
  <c r="F486" i="6"/>
  <c r="F492" i="6"/>
  <c r="F12" i="6"/>
  <c r="F18" i="6"/>
  <c r="F24" i="6"/>
  <c r="F30" i="6"/>
  <c r="F36" i="6"/>
  <c r="F42" i="6"/>
  <c r="F48" i="6"/>
  <c r="F54" i="6"/>
  <c r="F60" i="6"/>
  <c r="F66" i="6"/>
  <c r="F72" i="6"/>
  <c r="F78" i="6"/>
  <c r="F84" i="6"/>
  <c r="F90" i="6"/>
  <c r="F96" i="6"/>
  <c r="F103" i="6"/>
  <c r="F109" i="6"/>
  <c r="F115" i="6"/>
  <c r="F121" i="6"/>
  <c r="F127" i="6"/>
  <c r="F133" i="6"/>
  <c r="F139" i="6"/>
  <c r="F145" i="6"/>
  <c r="F151" i="6"/>
  <c r="F157" i="6"/>
  <c r="F163" i="6"/>
  <c r="F169" i="6"/>
  <c r="F175" i="6"/>
  <c r="F181" i="6"/>
  <c r="F187" i="6"/>
  <c r="F193" i="6"/>
  <c r="F199" i="6"/>
  <c r="F205" i="6"/>
  <c r="F211" i="6"/>
  <c r="F217" i="6"/>
  <c r="F223" i="6"/>
  <c r="F229" i="6"/>
  <c r="F235" i="6"/>
  <c r="F241" i="6"/>
  <c r="F247" i="6"/>
  <c r="F253" i="6"/>
  <c r="F259" i="6"/>
  <c r="F265" i="6"/>
  <c r="F271" i="6"/>
  <c r="F277" i="6"/>
  <c r="F283" i="6"/>
  <c r="F289" i="6"/>
  <c r="F295" i="6"/>
  <c r="F301" i="6"/>
  <c r="F307" i="6"/>
  <c r="F313" i="6"/>
  <c r="F319" i="6"/>
  <c r="F325" i="6"/>
  <c r="F331" i="6"/>
  <c r="F337" i="6"/>
  <c r="F343" i="6"/>
  <c r="F349" i="6"/>
  <c r="F355" i="6"/>
  <c r="F361" i="6"/>
  <c r="F367" i="6"/>
  <c r="F373" i="6"/>
  <c r="F379" i="6"/>
  <c r="F385" i="6"/>
  <c r="F391" i="6"/>
  <c r="F397" i="6"/>
  <c r="F403" i="6"/>
  <c r="F409" i="6"/>
  <c r="F415" i="6"/>
  <c r="F421" i="6"/>
  <c r="F427" i="6"/>
  <c r="F433" i="6"/>
  <c r="F439" i="6"/>
  <c r="F445" i="6"/>
  <c r="F451" i="6"/>
  <c r="F457" i="6"/>
  <c r="F463" i="6"/>
  <c r="F469" i="6"/>
  <c r="F475" i="6"/>
  <c r="F481" i="6"/>
  <c r="F487" i="6"/>
  <c r="F493" i="6"/>
  <c r="F499" i="6"/>
  <c r="F505" i="6"/>
  <c r="F511" i="6"/>
  <c r="F13" i="6"/>
  <c r="F25" i="6"/>
  <c r="F31" i="6"/>
  <c r="F37" i="6"/>
  <c r="F43" i="6"/>
  <c r="F49" i="6"/>
  <c r="F55" i="6"/>
  <c r="F61" i="6"/>
  <c r="F67" i="6"/>
  <c r="F73" i="6"/>
  <c r="F79" i="6"/>
  <c r="F85" i="6"/>
  <c r="F91" i="6"/>
  <c r="F97" i="6"/>
  <c r="F98" i="6"/>
  <c r="F104" i="6"/>
  <c r="F110" i="6"/>
  <c r="F116" i="6"/>
  <c r="F122" i="6"/>
  <c r="F128" i="6"/>
  <c r="F134" i="6"/>
  <c r="F140" i="6"/>
  <c r="F146" i="6"/>
  <c r="F152" i="6"/>
  <c r="F158" i="6"/>
  <c r="F164" i="6"/>
  <c r="F170" i="6"/>
  <c r="F176" i="6"/>
  <c r="F182" i="6"/>
  <c r="F188" i="6"/>
  <c r="F194" i="6"/>
  <c r="F200" i="6"/>
  <c r="F206" i="6"/>
  <c r="F212" i="6"/>
  <c r="F218" i="6"/>
  <c r="F224" i="6"/>
  <c r="F230" i="6"/>
  <c r="F236" i="6"/>
  <c r="F242" i="6"/>
  <c r="F248" i="6"/>
  <c r="F809" i="6"/>
  <c r="F803" i="6"/>
  <c r="F797" i="6"/>
  <c r="F791" i="6"/>
  <c r="F785" i="6"/>
  <c r="F779" i="6"/>
  <c r="F773" i="6"/>
  <c r="F767" i="6"/>
  <c r="F761" i="6"/>
  <c r="F755" i="6"/>
  <c r="F749" i="6"/>
  <c r="F743" i="6"/>
  <c r="F737" i="6"/>
  <c r="F731" i="6"/>
  <c r="F725" i="6"/>
  <c r="F719" i="6"/>
  <c r="F713" i="6"/>
  <c r="F707" i="6"/>
  <c r="F701" i="6"/>
  <c r="F695" i="6"/>
  <c r="F689" i="6"/>
  <c r="F683" i="6"/>
  <c r="F677" i="6"/>
  <c r="F671" i="6"/>
  <c r="F665" i="6"/>
  <c r="F659" i="6"/>
  <c r="F653" i="6"/>
  <c r="F647" i="6"/>
  <c r="F641" i="6"/>
  <c r="F635" i="6"/>
  <c r="F629" i="6"/>
  <c r="F623" i="6"/>
  <c r="F617" i="6"/>
  <c r="F611" i="6"/>
  <c r="F605" i="6"/>
  <c r="F599" i="6"/>
  <c r="F593" i="6"/>
  <c r="F587" i="6"/>
  <c r="F581" i="6"/>
  <c r="F575" i="6"/>
  <c r="F569" i="6"/>
  <c r="F563" i="6"/>
  <c r="F557" i="6"/>
  <c r="F551" i="6"/>
  <c r="F545" i="6"/>
  <c r="F539" i="6"/>
  <c r="F533" i="6"/>
  <c r="F527" i="6"/>
  <c r="F521" i="6"/>
  <c r="F515" i="6"/>
  <c r="F508" i="6"/>
  <c r="F501" i="6"/>
  <c r="F494" i="6"/>
  <c r="F484" i="6"/>
  <c r="F476" i="6"/>
  <c r="F466" i="6"/>
  <c r="F454" i="6"/>
  <c r="F441" i="6"/>
  <c r="F423" i="6"/>
  <c r="F405" i="6"/>
  <c r="F387" i="6"/>
  <c r="F369" i="6"/>
  <c r="F351" i="6"/>
  <c r="F333" i="6"/>
  <c r="F315" i="6"/>
  <c r="F297" i="6"/>
  <c r="F279" i="6"/>
  <c r="F261" i="6"/>
  <c r="F237" i="6"/>
  <c r="F201" i="6"/>
  <c r="F165" i="6"/>
  <c r="F129" i="6"/>
  <c r="F62" i="6"/>
  <c r="F26" i="6"/>
  <c r="F459" i="6"/>
  <c r="F429" i="6"/>
  <c r="F393" i="6"/>
  <c r="F339" i="6"/>
  <c r="F303" i="6"/>
  <c r="F213" i="6"/>
  <c r="F105" i="6"/>
  <c r="F808" i="6"/>
  <c r="F802" i="6"/>
  <c r="F796" i="6"/>
  <c r="F790" i="6"/>
  <c r="F784" i="6"/>
  <c r="F778" i="6"/>
  <c r="F772" i="6"/>
  <c r="F766" i="6"/>
  <c r="F760" i="6"/>
  <c r="F754" i="6"/>
  <c r="F748" i="6"/>
  <c r="F742" i="6"/>
  <c r="F736" i="6"/>
  <c r="F730" i="6"/>
  <c r="F724" i="6"/>
  <c r="F718" i="6"/>
  <c r="F712" i="6"/>
  <c r="F706" i="6"/>
  <c r="F700" i="6"/>
  <c r="F694" i="6"/>
  <c r="F688" i="6"/>
  <c r="F682" i="6"/>
  <c r="F676" i="6"/>
  <c r="F670" i="6"/>
  <c r="F664" i="6"/>
  <c r="F658" i="6"/>
  <c r="F652" i="6"/>
  <c r="F646" i="6"/>
  <c r="F640" i="6"/>
  <c r="F634" i="6"/>
  <c r="F628" i="6"/>
  <c r="F622" i="6"/>
  <c r="F616" i="6"/>
  <c r="F610" i="6"/>
  <c r="F604" i="6"/>
  <c r="F598" i="6"/>
  <c r="F592" i="6"/>
  <c r="F586" i="6"/>
  <c r="F580" i="6"/>
  <c r="F574" i="6"/>
  <c r="F568" i="6"/>
  <c r="F562" i="6"/>
  <c r="F556" i="6"/>
  <c r="F550" i="6"/>
  <c r="F544" i="6"/>
  <c r="F538" i="6"/>
  <c r="F532" i="6"/>
  <c r="F526" i="6"/>
  <c r="F520" i="6"/>
  <c r="F514" i="6"/>
  <c r="F507" i="6"/>
  <c r="F500" i="6"/>
  <c r="F491" i="6"/>
  <c r="F483" i="6"/>
  <c r="F473" i="6"/>
  <c r="F465" i="6"/>
  <c r="F453" i="6"/>
  <c r="F440" i="6"/>
  <c r="F422" i="6"/>
  <c r="F404" i="6"/>
  <c r="F386" i="6"/>
  <c r="F368" i="6"/>
  <c r="F350" i="6"/>
  <c r="F332" i="6"/>
  <c r="F314" i="6"/>
  <c r="F296" i="6"/>
  <c r="F278" i="6"/>
  <c r="F260" i="6"/>
  <c r="F231" i="6"/>
  <c r="F195" i="6"/>
  <c r="F159" i="6"/>
  <c r="F123" i="6"/>
  <c r="F92" i="6"/>
  <c r="F56" i="6"/>
  <c r="F20" i="6"/>
  <c r="F447" i="6"/>
  <c r="F411" i="6"/>
  <c r="F357" i="6"/>
  <c r="F285" i="6"/>
  <c r="F249" i="6"/>
  <c r="F141" i="6"/>
  <c r="F74" i="6"/>
  <c r="F807" i="6"/>
  <c r="F801" i="6"/>
  <c r="F795" i="6"/>
  <c r="F789" i="6"/>
  <c r="F783" i="6"/>
  <c r="F777" i="6"/>
  <c r="F771" i="6"/>
  <c r="F765" i="6"/>
  <c r="F759" i="6"/>
  <c r="F753" i="6"/>
  <c r="F747" i="6"/>
  <c r="F741" i="6"/>
  <c r="F735" i="6"/>
  <c r="F729" i="6"/>
  <c r="F723" i="6"/>
  <c r="F717" i="6"/>
  <c r="F711" i="6"/>
  <c r="F705" i="6"/>
  <c r="F699" i="6"/>
  <c r="F693" i="6"/>
  <c r="F687" i="6"/>
  <c r="F681" i="6"/>
  <c r="F675" i="6"/>
  <c r="F669" i="6"/>
  <c r="F663" i="6"/>
  <c r="F657" i="6"/>
  <c r="F651" i="6"/>
  <c r="F645" i="6"/>
  <c r="F639" i="6"/>
  <c r="F633" i="6"/>
  <c r="F627" i="6"/>
  <c r="F621" i="6"/>
  <c r="F615" i="6"/>
  <c r="F609" i="6"/>
  <c r="F603" i="6"/>
  <c r="F597" i="6"/>
  <c r="F591" i="6"/>
  <c r="F585" i="6"/>
  <c r="F579" i="6"/>
  <c r="F573" i="6"/>
  <c r="F567" i="6"/>
  <c r="F561" i="6"/>
  <c r="F555" i="6"/>
  <c r="F549" i="6"/>
  <c r="F543" i="6"/>
  <c r="F537" i="6"/>
  <c r="F531" i="6"/>
  <c r="F525" i="6"/>
  <c r="F519" i="6"/>
  <c r="F513" i="6"/>
  <c r="F506" i="6"/>
  <c r="F498" i="6"/>
  <c r="F490" i="6"/>
  <c r="F482" i="6"/>
  <c r="F472" i="6"/>
  <c r="F464" i="6"/>
  <c r="F452" i="6"/>
  <c r="F435" i="6"/>
  <c r="F417" i="6"/>
  <c r="F399" i="6"/>
  <c r="F381" i="6"/>
  <c r="F363" i="6"/>
  <c r="F345" i="6"/>
  <c r="F327" i="6"/>
  <c r="F309" i="6"/>
  <c r="F291" i="6"/>
  <c r="F273" i="6"/>
  <c r="F255" i="6"/>
  <c r="F225" i="6"/>
  <c r="F189" i="6"/>
  <c r="F153" i="6"/>
  <c r="F117" i="6"/>
  <c r="F86" i="6"/>
  <c r="F50" i="6"/>
  <c r="F14" i="6"/>
  <c r="A3" i="3"/>
  <c r="A3" i="6" s="1"/>
  <c r="R3" i="6"/>
  <c r="N3" i="6" a="1"/>
  <c r="N3" i="6" s="1"/>
  <c r="K3" i="6"/>
  <c r="Q3" i="6"/>
  <c r="P3" i="6"/>
  <c r="A7" i="3"/>
  <c r="A7" i="6" s="1"/>
  <c r="Q7" i="6"/>
  <c r="AB7" i="6" s="1"/>
  <c r="P7" i="6"/>
  <c r="L7" i="6"/>
  <c r="Q7" i="3"/>
  <c r="R7" i="6"/>
  <c r="G7" i="6"/>
  <c r="J7" i="6" s="1"/>
  <c r="K7" i="6"/>
  <c r="B7" i="6"/>
  <c r="F7" i="6" s="1"/>
  <c r="N7" i="6" a="1"/>
  <c r="N7" i="6" s="1"/>
  <c r="O7" i="6"/>
  <c r="M7" i="6" a="1"/>
  <c r="M7" i="6" s="1"/>
  <c r="A6" i="3"/>
  <c r="A6" i="6" s="1"/>
  <c r="Q6" i="3"/>
  <c r="R6" i="6"/>
  <c r="A5" i="3"/>
  <c r="A5" i="6" s="1"/>
  <c r="G5" i="6"/>
  <c r="H5" i="6" s="1"/>
  <c r="N5" i="6" a="1"/>
  <c r="N5" i="6" s="1"/>
  <c r="Q5" i="6"/>
  <c r="AB5" i="6" s="1"/>
  <c r="Q5" i="3"/>
  <c r="R5" i="6"/>
  <c r="P5" i="6"/>
  <c r="L5" i="6"/>
  <c r="A9" i="3"/>
  <c r="A9" i="6" s="1"/>
  <c r="R9" i="6"/>
  <c r="A2" i="3"/>
  <c r="A2" i="6" s="1"/>
  <c r="X40" i="1" s="1"/>
  <c r="N2" i="6" a="1"/>
  <c r="N2" i="6" s="1"/>
  <c r="Q2" i="3"/>
  <c r="R2" i="6"/>
  <c r="A8" i="3"/>
  <c r="A8" i="6" s="1"/>
  <c r="N8" i="6" a="1"/>
  <c r="N8" i="6" s="1"/>
  <c r="G8" i="6"/>
  <c r="H8" i="6" s="1"/>
  <c r="M8" i="6" a="1"/>
  <c r="M8" i="6" s="1"/>
  <c r="K8" i="6"/>
  <c r="B8" i="6"/>
  <c r="Q8" i="6"/>
  <c r="AB8" i="6" s="1"/>
  <c r="P8" i="6"/>
  <c r="L8" i="6"/>
  <c r="O8" i="6"/>
  <c r="B2" i="4" a="1"/>
  <c r="Q6" i="6"/>
  <c r="AB6" i="6" s="1"/>
  <c r="N6" i="6" a="1"/>
  <c r="N6" i="6" s="1"/>
  <c r="M5" i="6" a="1"/>
  <c r="M5" i="6" s="1"/>
  <c r="Q9" i="6"/>
  <c r="AB9" i="6" s="1"/>
  <c r="R8" i="6"/>
  <c r="Q8" i="3"/>
  <c r="N4" i="6" a="1"/>
  <c r="N4" i="6" s="1"/>
  <c r="B5" i="6"/>
  <c r="F5" i="6" s="1"/>
  <c r="K5" i="6"/>
  <c r="O5" i="6"/>
  <c r="E165" i="1"/>
  <c r="E159" i="1"/>
  <c r="E153" i="1"/>
  <c r="E169" i="1"/>
  <c r="E163" i="1"/>
  <c r="E157" i="1"/>
  <c r="E151" i="1"/>
  <c r="E168" i="1"/>
  <c r="E162" i="1"/>
  <c r="E156" i="1"/>
  <c r="E150" i="1"/>
  <c r="E167" i="1"/>
  <c r="E161" i="1"/>
  <c r="E155" i="1"/>
  <c r="E166" i="1"/>
  <c r="E160" i="1"/>
  <c r="E154" i="1"/>
  <c r="E164" i="1"/>
  <c r="E158" i="1"/>
  <c r="E152" i="1"/>
  <c r="AE99" i="10"/>
  <c r="AE93" i="10"/>
  <c r="AE51" i="10"/>
  <c r="AE98" i="10"/>
  <c r="AE92" i="10"/>
  <c r="AE86" i="10"/>
  <c r="AE80" i="10"/>
  <c r="AE74" i="10"/>
  <c r="AE68" i="10"/>
  <c r="AE62" i="10"/>
  <c r="AE56" i="10"/>
  <c r="AE50" i="10"/>
  <c r="AE44" i="10"/>
  <c r="AE38" i="10"/>
  <c r="AE32" i="10"/>
  <c r="AE26" i="10"/>
  <c r="AE20" i="10"/>
  <c r="AE14" i="10"/>
  <c r="AE8" i="10"/>
  <c r="AE97" i="10"/>
  <c r="AE91" i="10"/>
  <c r="AE85" i="10"/>
  <c r="AE79" i="10"/>
  <c r="AE73" i="10"/>
  <c r="AE67" i="10"/>
  <c r="AE61" i="10"/>
  <c r="AE55" i="10"/>
  <c r="AE49" i="10"/>
  <c r="AE43" i="10"/>
  <c r="AE37" i="10"/>
  <c r="AE31" i="10"/>
  <c r="AE25" i="10"/>
  <c r="AE19" i="10"/>
  <c r="AE13" i="10"/>
  <c r="AE7" i="10"/>
  <c r="AE2" i="10"/>
  <c r="AE81" i="10"/>
  <c r="AE69" i="10"/>
  <c r="AE63" i="10"/>
  <c r="AE57" i="10"/>
  <c r="AE45" i="10"/>
  <c r="AE39" i="10"/>
  <c r="AE27" i="10"/>
  <c r="AE21" i="10"/>
  <c r="AE15" i="10"/>
  <c r="AE9" i="10"/>
  <c r="AE3" i="10"/>
  <c r="AE96" i="10"/>
  <c r="AE90" i="10"/>
  <c r="AE84" i="10"/>
  <c r="AE78" i="10"/>
  <c r="AE72" i="10"/>
  <c r="AE66" i="10"/>
  <c r="AE60" i="10"/>
  <c r="AE54" i="10"/>
  <c r="AE48" i="10"/>
  <c r="AE42" i="10"/>
  <c r="AE36" i="10"/>
  <c r="AE30" i="10"/>
  <c r="AE24" i="10"/>
  <c r="AE18" i="10"/>
  <c r="AE12" i="10"/>
  <c r="AE6" i="10"/>
  <c r="AE87" i="10"/>
  <c r="AE75" i="10"/>
  <c r="AE33" i="10"/>
  <c r="AE95" i="10"/>
  <c r="AE89" i="10"/>
  <c r="AE83" i="10"/>
  <c r="AE77" i="10"/>
  <c r="AE71" i="10"/>
  <c r="AE65" i="10"/>
  <c r="AE59" i="10"/>
  <c r="AE53" i="10"/>
  <c r="AE47" i="10"/>
  <c r="AE41" i="10"/>
  <c r="AE35" i="10"/>
  <c r="AE29" i="10"/>
  <c r="AE23" i="10"/>
  <c r="AE17" i="10"/>
  <c r="AE11" i="10"/>
  <c r="AE5" i="10"/>
  <c r="AE94" i="10"/>
  <c r="AE88" i="10"/>
  <c r="AE82" i="10"/>
  <c r="AE76" i="10"/>
  <c r="AE70" i="10"/>
  <c r="AE64" i="10"/>
  <c r="AE58" i="10"/>
  <c r="AE52" i="10"/>
  <c r="AE46" i="10"/>
  <c r="AE40" i="10"/>
  <c r="AE34" i="10"/>
  <c r="AE28" i="10"/>
  <c r="AE22" i="10"/>
  <c r="AE16" i="10"/>
  <c r="AE10" i="10"/>
  <c r="AE4" i="10"/>
  <c r="Q9" i="3"/>
  <c r="Q3" i="3"/>
  <c r="G4" i="6"/>
  <c r="I4" i="6" s="1"/>
  <c r="M3" i="6" a="1"/>
  <c r="M3" i="6" s="1"/>
  <c r="Q4" i="3"/>
  <c r="G3" i="6"/>
  <c r="B3" i="6"/>
  <c r="F3" i="6" s="1"/>
  <c r="L3" i="6"/>
  <c r="O3" i="6"/>
  <c r="Q4" i="6"/>
  <c r="R4" i="6"/>
  <c r="M2" i="6" a="1"/>
  <c r="M2" i="6" s="1"/>
  <c r="L2" i="6"/>
  <c r="G2" i="6"/>
  <c r="H2" i="6" s="1"/>
  <c r="K2" i="6"/>
  <c r="B2" i="6"/>
  <c r="F2" i="6" s="1"/>
  <c r="O2" i="6"/>
  <c r="Q2" i="6"/>
  <c r="AB2" i="6" s="1"/>
  <c r="P2" i="6"/>
  <c r="O9" i="6"/>
  <c r="L9" i="6"/>
  <c r="N9" i="6" a="1"/>
  <c r="N9" i="6" s="1"/>
  <c r="P9" i="6"/>
  <c r="M9" i="6" a="1"/>
  <c r="M9" i="6" s="1"/>
  <c r="K9" i="6"/>
  <c r="B9" i="6"/>
  <c r="F9" i="6" s="1"/>
  <c r="G9" i="6"/>
  <c r="O4" i="6"/>
  <c r="K4" i="6"/>
  <c r="B4" i="6"/>
  <c r="F4" i="6" s="1"/>
  <c r="L4" i="6"/>
  <c r="M4" i="6" a="1"/>
  <c r="M4" i="6" s="1"/>
  <c r="P4" i="6"/>
  <c r="P6" i="6"/>
  <c r="L6" i="6"/>
  <c r="O6" i="6"/>
  <c r="K6" i="6"/>
  <c r="B6" i="6"/>
  <c r="F6" i="6" s="1"/>
  <c r="G6" i="6"/>
  <c r="M6" i="6" a="1"/>
  <c r="M6" i="6" s="1"/>
  <c r="S23" i="6" l="1"/>
  <c r="AB23" i="6"/>
  <c r="X99" i="1"/>
  <c r="X51" i="1"/>
  <c r="X87" i="1"/>
  <c r="X45" i="1"/>
  <c r="X29" i="1"/>
  <c r="X65" i="1"/>
  <c r="X101" i="1"/>
  <c r="X137" i="1"/>
  <c r="X6" i="1"/>
  <c r="X42" i="1"/>
  <c r="X78" i="1"/>
  <c r="X114" i="1"/>
  <c r="X150" i="1"/>
  <c r="X25" i="1"/>
  <c r="X61" i="1"/>
  <c r="X133" i="1"/>
  <c r="X142" i="1"/>
  <c r="X44" i="1"/>
  <c r="X92" i="1"/>
  <c r="X21" i="1"/>
  <c r="X57" i="1"/>
  <c r="X129" i="1"/>
  <c r="X165" i="1"/>
  <c r="AB18" i="6"/>
  <c r="AB20" i="6"/>
  <c r="AB13" i="6"/>
  <c r="AB25" i="6"/>
  <c r="X69" i="1"/>
  <c r="X94" i="1"/>
  <c r="X63" i="1"/>
  <c r="X97" i="1"/>
  <c r="X35" i="1"/>
  <c r="X71" i="1"/>
  <c r="X107" i="1"/>
  <c r="X143" i="1"/>
  <c r="X12" i="1"/>
  <c r="X48" i="1"/>
  <c r="X84" i="1"/>
  <c r="X120" i="1"/>
  <c r="X156" i="1"/>
  <c r="X136" i="1"/>
  <c r="X31" i="1"/>
  <c r="X67" i="1"/>
  <c r="X103" i="1"/>
  <c r="X139" i="1"/>
  <c r="X166" i="1"/>
  <c r="X50" i="1"/>
  <c r="X98" i="1"/>
  <c r="X106" i="1"/>
  <c r="X135" i="1"/>
  <c r="X93" i="1"/>
  <c r="X16" i="1"/>
  <c r="X81" i="1"/>
  <c r="X5" i="1"/>
  <c r="X41" i="1"/>
  <c r="X77" i="1"/>
  <c r="X113" i="1"/>
  <c r="X149" i="1"/>
  <c r="X18" i="1"/>
  <c r="X54" i="1"/>
  <c r="X126" i="1"/>
  <c r="X162" i="1"/>
  <c r="X160" i="1"/>
  <c r="X37" i="1"/>
  <c r="X73" i="1"/>
  <c r="X109" i="1"/>
  <c r="X145" i="1"/>
  <c r="X8" i="1"/>
  <c r="X62" i="1"/>
  <c r="X124" i="1"/>
  <c r="X105" i="1"/>
  <c r="X141" i="1"/>
  <c r="X56" i="1"/>
  <c r="X110" i="1"/>
  <c r="X146" i="1"/>
  <c r="X140" i="1"/>
  <c r="X10" i="1"/>
  <c r="X64" i="1"/>
  <c r="X116" i="1"/>
  <c r="X152" i="1"/>
  <c r="X20" i="1"/>
  <c r="X74" i="1"/>
  <c r="X122" i="1"/>
  <c r="X158" i="1"/>
  <c r="X28" i="1"/>
  <c r="X82" i="1"/>
  <c r="X128" i="1"/>
  <c r="X164" i="1"/>
  <c r="X104" i="1"/>
  <c r="X38" i="1"/>
  <c r="X90" i="1"/>
  <c r="X134" i="1"/>
  <c r="X46" i="1"/>
  <c r="AB3" i="6"/>
  <c r="AB4" i="6"/>
  <c r="I25" i="6"/>
  <c r="AB15" i="6"/>
  <c r="X100" i="1"/>
  <c r="X34" i="1"/>
  <c r="X88" i="1"/>
  <c r="X11" i="1"/>
  <c r="X47" i="1"/>
  <c r="X83" i="1"/>
  <c r="X119" i="1"/>
  <c r="X155" i="1"/>
  <c r="X112" i="1"/>
  <c r="X24" i="1"/>
  <c r="X60" i="1"/>
  <c r="X132" i="1"/>
  <c r="X7" i="1"/>
  <c r="X43" i="1"/>
  <c r="X79" i="1"/>
  <c r="X115" i="1"/>
  <c r="X151" i="1"/>
  <c r="X76" i="1"/>
  <c r="X14" i="1"/>
  <c r="X68" i="1"/>
  <c r="X3" i="1"/>
  <c r="X39" i="1"/>
  <c r="X75" i="1"/>
  <c r="X111" i="1"/>
  <c r="X147" i="1"/>
  <c r="X154" i="1"/>
  <c r="AB12" i="6"/>
  <c r="AB24" i="6"/>
  <c r="AB19" i="6"/>
  <c r="X15" i="1"/>
  <c r="X2" i="1"/>
  <c r="X52" i="1"/>
  <c r="X9" i="1"/>
  <c r="X96" i="1"/>
  <c r="X17" i="1"/>
  <c r="X53" i="1"/>
  <c r="X89" i="1"/>
  <c r="X125" i="1"/>
  <c r="X161" i="1"/>
  <c r="X130" i="1"/>
  <c r="X30" i="1"/>
  <c r="X66" i="1"/>
  <c r="X102" i="1"/>
  <c r="X138" i="1"/>
  <c r="X13" i="1"/>
  <c r="X49" i="1"/>
  <c r="X85" i="1"/>
  <c r="X121" i="1"/>
  <c r="X157" i="1"/>
  <c r="X26" i="1"/>
  <c r="X80" i="1"/>
  <c r="X22" i="1"/>
  <c r="X117" i="1"/>
  <c r="X153" i="1"/>
  <c r="X33" i="1"/>
  <c r="X70" i="1"/>
  <c r="X27" i="1"/>
  <c r="X23" i="1"/>
  <c r="X59" i="1"/>
  <c r="X95" i="1"/>
  <c r="X131" i="1"/>
  <c r="X4" i="1"/>
  <c r="X148" i="1"/>
  <c r="X36" i="1"/>
  <c r="X72" i="1"/>
  <c r="X108" i="1"/>
  <c r="X144" i="1"/>
  <c r="X19" i="1"/>
  <c r="X55" i="1"/>
  <c r="X91" i="1"/>
  <c r="X127" i="1"/>
  <c r="X163" i="1"/>
  <c r="X118" i="1"/>
  <c r="X32" i="1"/>
  <c r="X86" i="1"/>
  <c r="X58" i="1"/>
  <c r="X123" i="1"/>
  <c r="X159" i="1"/>
  <c r="S12" i="6"/>
  <c r="S17" i="6"/>
  <c r="J8" i="6"/>
  <c r="E7" i="6"/>
  <c r="E8" i="6"/>
  <c r="H7" i="6"/>
  <c r="S7" i="6"/>
  <c r="S11" i="6"/>
  <c r="S18" i="6"/>
  <c r="J20" i="6"/>
  <c r="E20" i="6"/>
  <c r="E18" i="6"/>
  <c r="J18" i="6"/>
  <c r="J15" i="6"/>
  <c r="E15" i="6"/>
  <c r="S10" i="6"/>
  <c r="S22" i="6"/>
  <c r="S20" i="6"/>
  <c r="S13" i="6"/>
  <c r="S25" i="6"/>
  <c r="I5" i="6"/>
  <c r="E5" i="6"/>
  <c r="J5" i="6"/>
  <c r="E19" i="6"/>
  <c r="J19" i="6"/>
  <c r="S15" i="6"/>
  <c r="E17" i="6"/>
  <c r="J17" i="6"/>
  <c r="E22" i="6"/>
  <c r="J22" i="6"/>
  <c r="S24" i="6"/>
  <c r="J14" i="6"/>
  <c r="E14" i="6"/>
  <c r="H12" i="6"/>
  <c r="E12" i="6"/>
  <c r="J12" i="6"/>
  <c r="E24" i="6"/>
  <c r="J24" i="6"/>
  <c r="I10" i="6"/>
  <c r="E10" i="6"/>
  <c r="H10" i="6"/>
  <c r="J21" i="6"/>
  <c r="E21" i="6"/>
  <c r="S16" i="6"/>
  <c r="S14" i="6"/>
  <c r="S19" i="6"/>
  <c r="H13" i="6"/>
  <c r="E13" i="6"/>
  <c r="J13" i="6"/>
  <c r="E25" i="6"/>
  <c r="J25" i="6"/>
  <c r="S21" i="6"/>
  <c r="H11" i="6"/>
  <c r="E11" i="6"/>
  <c r="J11" i="6"/>
  <c r="E23" i="6"/>
  <c r="J23" i="6"/>
  <c r="E16" i="6"/>
  <c r="J16" i="6"/>
  <c r="U7" i="4" a="1"/>
  <c r="U7" i="4" s="1"/>
  <c r="U17" i="4" a="1"/>
  <c r="U17" i="4" s="1"/>
  <c r="U23" i="4" a="1"/>
  <c r="U23" i="4" s="1"/>
  <c r="U29" i="4" a="1"/>
  <c r="U29" i="4" s="1"/>
  <c r="U35" i="4" a="1"/>
  <c r="U35" i="4" s="1"/>
  <c r="U41" i="4" a="1"/>
  <c r="U41" i="4" s="1"/>
  <c r="U3" i="4" a="1"/>
  <c r="U3" i="4" s="1"/>
  <c r="U8" i="4" a="1"/>
  <c r="U8" i="4" s="1"/>
  <c r="U12" i="4" a="1"/>
  <c r="U12" i="4" s="1"/>
  <c r="U18" i="4" a="1"/>
  <c r="U18" i="4" s="1"/>
  <c r="U24" i="4" a="1"/>
  <c r="U24" i="4" s="1"/>
  <c r="U30" i="4" a="1"/>
  <c r="U30" i="4" s="1"/>
  <c r="U36" i="4" a="1"/>
  <c r="U36" i="4" s="1"/>
  <c r="U42" i="4" a="1"/>
  <c r="U42" i="4" s="1"/>
  <c r="U4" i="4" a="1"/>
  <c r="U4" i="4" s="1"/>
  <c r="U13" i="4" a="1"/>
  <c r="U13" i="4" s="1"/>
  <c r="U19" i="4" a="1"/>
  <c r="U19" i="4" s="1"/>
  <c r="U25" i="4" a="1"/>
  <c r="U25" i="4" s="1"/>
  <c r="U31" i="4" a="1"/>
  <c r="U31" i="4" s="1"/>
  <c r="U37" i="4" a="1"/>
  <c r="U37" i="4" s="1"/>
  <c r="U5" i="4" a="1"/>
  <c r="U5" i="4" s="1"/>
  <c r="U9" i="4" a="1"/>
  <c r="U9" i="4" s="1"/>
  <c r="U14" i="4" a="1"/>
  <c r="U14" i="4" s="1"/>
  <c r="U20" i="4" a="1"/>
  <c r="U20" i="4" s="1"/>
  <c r="U26" i="4" a="1"/>
  <c r="U26" i="4" s="1"/>
  <c r="U32" i="4" a="1"/>
  <c r="U32" i="4" s="1"/>
  <c r="U38" i="4" a="1"/>
  <c r="U38" i="4" s="1"/>
  <c r="U10" i="4" a="1"/>
  <c r="U10" i="4" s="1"/>
  <c r="U15" i="4" a="1"/>
  <c r="U15" i="4" s="1"/>
  <c r="U21" i="4" a="1"/>
  <c r="U21" i="4" s="1"/>
  <c r="U27" i="4" a="1"/>
  <c r="U27" i="4" s="1"/>
  <c r="U33" i="4" a="1"/>
  <c r="U33" i="4" s="1"/>
  <c r="U39" i="4" a="1"/>
  <c r="U39" i="4" s="1"/>
  <c r="L10" i="4"/>
  <c r="N10" i="4" s="1"/>
  <c r="U6" i="4" a="1"/>
  <c r="U6" i="4" s="1"/>
  <c r="U11" i="4" a="1"/>
  <c r="U11" i="4" s="1"/>
  <c r="U16" i="4" a="1"/>
  <c r="U16" i="4" s="1"/>
  <c r="U22" i="4" a="1"/>
  <c r="U22" i="4" s="1"/>
  <c r="U28" i="4" a="1"/>
  <c r="U28" i="4" s="1"/>
  <c r="U34" i="4" a="1"/>
  <c r="U34" i="4" s="1"/>
  <c r="U40" i="4" a="1"/>
  <c r="U40" i="4" s="1"/>
  <c r="L6" i="4"/>
  <c r="I8" i="6"/>
  <c r="I7" i="6"/>
  <c r="H4" i="6"/>
  <c r="S3" i="6"/>
  <c r="S8" i="6"/>
  <c r="S5" i="6"/>
  <c r="Q8" i="4" a="1"/>
  <c r="Q8" i="4" s="1"/>
  <c r="L3" i="4"/>
  <c r="N3" i="4" s="1"/>
  <c r="A4" i="4"/>
  <c r="L5" i="4"/>
  <c r="N5" i="4" s="1"/>
  <c r="M6" i="4"/>
  <c r="O6" i="4" s="1" a="1"/>
  <c r="O6" i="4" s="1"/>
  <c r="A7" i="4"/>
  <c r="S7" i="4"/>
  <c r="T7" i="4" s="1" a="1"/>
  <c r="T7" i="4" s="1"/>
  <c r="AA7" i="4" s="1"/>
  <c r="M9" i="4"/>
  <c r="O9" i="4" s="1" a="1"/>
  <c r="O9" i="4" s="1"/>
  <c r="A10" i="4"/>
  <c r="G11" i="4"/>
  <c r="H11" i="4" s="1"/>
  <c r="F11" i="4" s="1"/>
  <c r="L12" i="4"/>
  <c r="N12" i="4" s="1"/>
  <c r="Q13" i="4" a="1"/>
  <c r="Q13" i="4" s="1"/>
  <c r="Q3" i="4" a="1"/>
  <c r="Q3" i="4" s="1"/>
  <c r="Q9" i="4" a="1"/>
  <c r="Q9" i="4" s="1"/>
  <c r="M3" i="4"/>
  <c r="O3" i="4" s="1" a="1"/>
  <c r="O3" i="4" s="1"/>
  <c r="C4" i="4"/>
  <c r="D4" i="4" s="1"/>
  <c r="M5" i="4"/>
  <c r="O5" i="4" s="1" a="1"/>
  <c r="O5" i="4" s="1"/>
  <c r="A6" i="4"/>
  <c r="C7" i="4"/>
  <c r="D7" i="4" s="1"/>
  <c r="G8" i="4"/>
  <c r="H8" i="4" s="1"/>
  <c r="F8" i="4" s="1"/>
  <c r="C10" i="4"/>
  <c r="D10" i="4" s="1"/>
  <c r="L11" i="4"/>
  <c r="N11" i="4" s="1"/>
  <c r="M12" i="4"/>
  <c r="O12" i="4" s="1" a="1"/>
  <c r="O12" i="4" s="1"/>
  <c r="G13" i="4"/>
  <c r="H13" i="4" s="1"/>
  <c r="F13" i="4" s="1"/>
  <c r="S13" i="4"/>
  <c r="T13" i="4" s="1" a="1"/>
  <c r="T13" i="4" s="1"/>
  <c r="AA13" i="4" s="1"/>
  <c r="A15" i="4"/>
  <c r="S15" i="4"/>
  <c r="T15" i="4" s="1" a="1"/>
  <c r="T15" i="4" s="1"/>
  <c r="AA15" i="4" s="1"/>
  <c r="C16" i="4"/>
  <c r="D16" i="4" s="1"/>
  <c r="Q16" i="4" a="1"/>
  <c r="Q16" i="4" s="1"/>
  <c r="L17" i="4"/>
  <c r="N17" i="4" s="1"/>
  <c r="L18" i="4"/>
  <c r="N18" i="4" s="1"/>
  <c r="M19" i="4"/>
  <c r="O19" i="4" s="1" a="1"/>
  <c r="O19" i="4" s="1"/>
  <c r="L20" i="4"/>
  <c r="N20" i="4" s="1"/>
  <c r="L21" i="4"/>
  <c r="N21" i="4" s="1"/>
  <c r="M22" i="4"/>
  <c r="O22" i="4" s="1" a="1"/>
  <c r="O22" i="4" s="1"/>
  <c r="A23" i="4"/>
  <c r="A24" i="4"/>
  <c r="M25" i="4"/>
  <c r="O25" i="4" s="1" a="1"/>
  <c r="O25" i="4" s="1"/>
  <c r="A26" i="4"/>
  <c r="M26" i="4"/>
  <c r="O26" i="4" s="1" a="1"/>
  <c r="O26" i="4" s="1"/>
  <c r="A27" i="4"/>
  <c r="S27" i="4"/>
  <c r="T27" i="4" s="1" a="1"/>
  <c r="T27" i="4" s="1"/>
  <c r="AA27" i="4" s="1"/>
  <c r="C28" i="4"/>
  <c r="D28" i="4" s="1"/>
  <c r="Q28" i="4" a="1"/>
  <c r="Q28" i="4" s="1"/>
  <c r="Q4" i="4" a="1"/>
  <c r="Q4" i="4" s="1"/>
  <c r="Q10" i="4" a="1"/>
  <c r="Q10" i="4" s="1"/>
  <c r="S3" i="4"/>
  <c r="T3" i="4" s="1" a="1"/>
  <c r="T3" i="4" s="1"/>
  <c r="G4" i="4"/>
  <c r="H4" i="4" s="1"/>
  <c r="F4" i="4" s="1"/>
  <c r="C6" i="4"/>
  <c r="D6" i="4" s="1"/>
  <c r="S6" i="4"/>
  <c r="T6" i="4" s="1" a="1"/>
  <c r="T6" i="4" s="1"/>
  <c r="AA6" i="4" s="1"/>
  <c r="G7" i="4"/>
  <c r="H7" i="4" s="1"/>
  <c r="F7" i="4" s="1"/>
  <c r="L8" i="4"/>
  <c r="N8" i="4" s="1"/>
  <c r="A9" i="4"/>
  <c r="S9" i="4"/>
  <c r="T9" i="4" s="1" a="1"/>
  <c r="T9" i="4" s="1"/>
  <c r="AA9" i="4" s="1"/>
  <c r="G10" i="4"/>
  <c r="H10" i="4" s="1"/>
  <c r="F10" i="4" s="1"/>
  <c r="M11" i="4"/>
  <c r="O11" i="4" s="1" a="1"/>
  <c r="O11" i="4" s="1"/>
  <c r="L13" i="4"/>
  <c r="N13" i="4" s="1"/>
  <c r="G14" i="4"/>
  <c r="H14" i="4" s="1"/>
  <c r="F14" i="4" s="1"/>
  <c r="Q14" i="4" a="1"/>
  <c r="Q14" i="4" s="1"/>
  <c r="Q5" i="4" a="1"/>
  <c r="Q5" i="4" s="1"/>
  <c r="A3" i="4"/>
  <c r="L4" i="4"/>
  <c r="N4" i="4" s="1"/>
  <c r="A5" i="4"/>
  <c r="S5" i="4"/>
  <c r="T5" i="4" s="1" a="1"/>
  <c r="T5" i="4" s="1"/>
  <c r="AA5" i="4" s="1"/>
  <c r="L7" i="4"/>
  <c r="N7" i="4" s="1"/>
  <c r="M8" i="4"/>
  <c r="O8" i="4" s="1" a="1"/>
  <c r="O8" i="4" s="1"/>
  <c r="C9" i="4"/>
  <c r="D9" i="4" s="1"/>
  <c r="A11" i="4"/>
  <c r="A12" i="4"/>
  <c r="M13" i="4"/>
  <c r="O13" i="4" s="1" a="1"/>
  <c r="O13" i="4" s="1"/>
  <c r="S14" i="4"/>
  <c r="T14" i="4" s="1" a="1"/>
  <c r="T14" i="4" s="1"/>
  <c r="AA14" i="4" s="1"/>
  <c r="G15" i="4"/>
  <c r="H15" i="4" s="1"/>
  <c r="F15" i="4" s="1"/>
  <c r="G16" i="4"/>
  <c r="H16" i="4" s="1"/>
  <c r="F16" i="4" s="1"/>
  <c r="S16" i="4"/>
  <c r="T16" i="4" s="1" a="1"/>
  <c r="T16" i="4" s="1"/>
  <c r="AA16" i="4" s="1"/>
  <c r="C17" i="4"/>
  <c r="D17" i="4" s="1"/>
  <c r="A18" i="4"/>
  <c r="Q18" i="4" a="1"/>
  <c r="Q18" i="4" s="1"/>
  <c r="A19" i="4"/>
  <c r="Q19" i="4" a="1"/>
  <c r="Q19" i="4" s="1"/>
  <c r="A22" i="4"/>
  <c r="S22" i="4"/>
  <c r="T22" i="4" s="1" a="1"/>
  <c r="T22" i="4" s="1"/>
  <c r="AA22" i="4" s="1"/>
  <c r="S23" i="4"/>
  <c r="T23" i="4" s="1" a="1"/>
  <c r="T23" i="4" s="1"/>
  <c r="AA23" i="4" s="1"/>
  <c r="G24" i="4"/>
  <c r="H24" i="4" s="1"/>
  <c r="F24" i="4" s="1"/>
  <c r="S24" i="4"/>
  <c r="T24" i="4" s="1" a="1"/>
  <c r="T24" i="4" s="1"/>
  <c r="AA24" i="4" s="1"/>
  <c r="C25" i="4"/>
  <c r="D25" i="4" s="1"/>
  <c r="S25" i="4"/>
  <c r="T25" i="4" s="1" a="1"/>
  <c r="T25" i="4" s="1"/>
  <c r="AA25" i="4" s="1"/>
  <c r="S26" i="4"/>
  <c r="T26" i="4" s="1" a="1"/>
  <c r="T26" i="4" s="1"/>
  <c r="AA26" i="4" s="1"/>
  <c r="G27" i="4"/>
  <c r="H27" i="4" s="1"/>
  <c r="F27" i="4" s="1"/>
  <c r="G28" i="4"/>
  <c r="H28" i="4" s="1"/>
  <c r="F28" i="4" s="1"/>
  <c r="S28" i="4"/>
  <c r="T28" i="4" s="1" a="1"/>
  <c r="T28" i="4" s="1"/>
  <c r="AA28" i="4" s="1"/>
  <c r="C29" i="4"/>
  <c r="D29" i="4" s="1"/>
  <c r="A30" i="4"/>
  <c r="Q30" i="4" a="1"/>
  <c r="Q30" i="4" s="1"/>
  <c r="A31" i="4"/>
  <c r="Q31" i="4" a="1"/>
  <c r="Q31" i="4" s="1"/>
  <c r="Q6" i="4" a="1"/>
  <c r="Q6" i="4" s="1"/>
  <c r="C3" i="4"/>
  <c r="D3" i="4" s="1"/>
  <c r="M4" i="4"/>
  <c r="O4" i="4" s="1" a="1"/>
  <c r="O4" i="4" s="1"/>
  <c r="C5" i="4"/>
  <c r="D5" i="4" s="1"/>
  <c r="G6" i="4"/>
  <c r="H6" i="4" s="1"/>
  <c r="F6" i="4" s="1"/>
  <c r="M7" i="4"/>
  <c r="O7" i="4" s="1" a="1"/>
  <c r="O7" i="4" s="1"/>
  <c r="A8" i="4"/>
  <c r="S8" i="4"/>
  <c r="T8" i="4" s="1" a="1"/>
  <c r="T8" i="4" s="1"/>
  <c r="AA8" i="4" s="1"/>
  <c r="G9" i="4"/>
  <c r="H9" i="4" s="1"/>
  <c r="F9" i="4" s="1"/>
  <c r="M10" i="4"/>
  <c r="O10" i="4" s="1" a="1"/>
  <c r="O10" i="4" s="1"/>
  <c r="C11" i="4"/>
  <c r="D11" i="4" s="1"/>
  <c r="Q11" i="4" a="1"/>
  <c r="Q11" i="4" s="1"/>
  <c r="C12" i="4"/>
  <c r="D12" i="4" s="1"/>
  <c r="Q12" i="4" a="1"/>
  <c r="Q12" i="4" s="1"/>
  <c r="A13" i="4"/>
  <c r="L14" i="4"/>
  <c r="N14" i="4" s="1"/>
  <c r="L15" i="4"/>
  <c r="N15" i="4" s="1"/>
  <c r="Q17" i="4" a="1"/>
  <c r="Q17" i="4" s="1"/>
  <c r="C18" i="4"/>
  <c r="D18" i="4" s="1"/>
  <c r="C19" i="4"/>
  <c r="D19" i="4" s="1"/>
  <c r="A20" i="4"/>
  <c r="Q20" i="4" a="1"/>
  <c r="Q20" i="4" s="1"/>
  <c r="Q7" i="4" a="1"/>
  <c r="Q7" i="4" s="1"/>
  <c r="G3" i="4"/>
  <c r="H3" i="4" s="1"/>
  <c r="F3" i="4" s="1"/>
  <c r="S4" i="4"/>
  <c r="T4" i="4" s="1" a="1"/>
  <c r="T4" i="4" s="1"/>
  <c r="AA4" i="4" s="1"/>
  <c r="G5" i="4"/>
  <c r="H5" i="4" s="1"/>
  <c r="F5" i="4" s="1"/>
  <c r="N6" i="4"/>
  <c r="C8" i="4"/>
  <c r="D8" i="4" s="1"/>
  <c r="L9" i="4"/>
  <c r="N9" i="4" s="1"/>
  <c r="S10" i="4"/>
  <c r="T10" i="4" s="1" a="1"/>
  <c r="T10" i="4" s="1"/>
  <c r="S11" i="4"/>
  <c r="T11" i="4" s="1" a="1"/>
  <c r="T11" i="4" s="1"/>
  <c r="AA11" i="4" s="1"/>
  <c r="G12" i="4"/>
  <c r="H12" i="4" s="1"/>
  <c r="F12" i="4" s="1"/>
  <c r="S12" i="4"/>
  <c r="T12" i="4" s="1" a="1"/>
  <c r="T12" i="4" s="1"/>
  <c r="AA12" i="4" s="1"/>
  <c r="C13" i="4"/>
  <c r="D13" i="4" s="1"/>
  <c r="A14" i="4"/>
  <c r="M14" i="4"/>
  <c r="O14" i="4" s="1" a="1"/>
  <c r="O14" i="4" s="1"/>
  <c r="M15" i="4"/>
  <c r="O15" i="4" s="1" a="1"/>
  <c r="O15" i="4" s="1"/>
  <c r="L16" i="4"/>
  <c r="N16" i="4" s="1"/>
  <c r="G17" i="4"/>
  <c r="H17" i="4" s="1"/>
  <c r="F17" i="4" s="1"/>
  <c r="S17" i="4"/>
  <c r="T17" i="4" s="1" a="1"/>
  <c r="T17" i="4" s="1"/>
  <c r="AA17" i="4" s="1"/>
  <c r="S18" i="4"/>
  <c r="T18" i="4" s="1" a="1"/>
  <c r="T18" i="4" s="1"/>
  <c r="AA18" i="4" s="1"/>
  <c r="G19" i="4"/>
  <c r="H19" i="4" s="1"/>
  <c r="F19" i="4" s="1"/>
  <c r="S19" i="4"/>
  <c r="T19" i="4" s="1" a="1"/>
  <c r="T19" i="4" s="1"/>
  <c r="AA19" i="4" s="1"/>
  <c r="C20" i="4"/>
  <c r="D20" i="4" s="1"/>
  <c r="C21" i="4"/>
  <c r="D21" i="4" s="1"/>
  <c r="S21" i="4"/>
  <c r="T21" i="4" s="1" a="1"/>
  <c r="T21" i="4" s="1"/>
  <c r="AA21" i="4" s="1"/>
  <c r="G22" i="4"/>
  <c r="H22" i="4" s="1"/>
  <c r="F22" i="4" s="1"/>
  <c r="L23" i="4"/>
  <c r="N23" i="4" s="1"/>
  <c r="M24" i="4"/>
  <c r="O24" i="4" s="1" a="1"/>
  <c r="O24" i="4" s="1"/>
  <c r="G25" i="4"/>
  <c r="H25" i="4" s="1"/>
  <c r="F25" i="4" s="1"/>
  <c r="M27" i="4"/>
  <c r="O27" i="4" s="1" a="1"/>
  <c r="O27" i="4" s="1"/>
  <c r="L28" i="4"/>
  <c r="N28" i="4" s="1"/>
  <c r="G29" i="4"/>
  <c r="H29" i="4" s="1"/>
  <c r="F29" i="4" s="1"/>
  <c r="S29" i="4"/>
  <c r="T29" i="4" s="1" a="1"/>
  <c r="T29" i="4" s="1"/>
  <c r="AA29" i="4" s="1"/>
  <c r="S30" i="4"/>
  <c r="T30" i="4" s="1" a="1"/>
  <c r="T30" i="4" s="1"/>
  <c r="AA30" i="4" s="1"/>
  <c r="G31" i="4"/>
  <c r="H31" i="4" s="1"/>
  <c r="F31" i="4" s="1"/>
  <c r="S31" i="4"/>
  <c r="T31" i="4" s="1" a="1"/>
  <c r="T31" i="4" s="1"/>
  <c r="AA31" i="4" s="1"/>
  <c r="C32" i="4"/>
  <c r="D32" i="4" s="1"/>
  <c r="C33" i="4"/>
  <c r="D33" i="4" s="1"/>
  <c r="S33" i="4"/>
  <c r="T33" i="4" s="1" a="1"/>
  <c r="T33" i="4" s="1"/>
  <c r="AA33" i="4" s="1"/>
  <c r="G34" i="4"/>
  <c r="H34" i="4" s="1"/>
  <c r="F34" i="4" s="1"/>
  <c r="L35" i="4"/>
  <c r="N35" i="4" s="1"/>
  <c r="M39" i="4"/>
  <c r="O39" i="4" s="1" a="1"/>
  <c r="O39" i="4" s="1"/>
  <c r="Q41" i="4" a="1"/>
  <c r="Q41" i="4" s="1"/>
  <c r="C42" i="4"/>
  <c r="D42" i="4" s="1"/>
  <c r="Q42" i="4" a="1"/>
  <c r="Q42" i="4" s="1"/>
  <c r="C14" i="4"/>
  <c r="D14" i="4" s="1"/>
  <c r="A16" i="4"/>
  <c r="G20" i="4"/>
  <c r="H20" i="4" s="1"/>
  <c r="F20" i="4" s="1"/>
  <c r="M21" i="4"/>
  <c r="O21" i="4" s="1" a="1"/>
  <c r="O21" i="4" s="1"/>
  <c r="Q22" i="4" a="1"/>
  <c r="Q22" i="4" s="1"/>
  <c r="Q23" i="4" a="1"/>
  <c r="Q23" i="4" s="1"/>
  <c r="Q24" i="4" a="1"/>
  <c r="Q24" i="4" s="1"/>
  <c r="Q25" i="4" a="1"/>
  <c r="Q25" i="4" s="1"/>
  <c r="Q26" i="4" a="1"/>
  <c r="Q26" i="4" s="1"/>
  <c r="A32" i="4"/>
  <c r="S32" i="4"/>
  <c r="T32" i="4" s="1" a="1"/>
  <c r="T32" i="4" s="1"/>
  <c r="AA32" i="4" s="1"/>
  <c r="L33" i="4"/>
  <c r="N33" i="4" s="1"/>
  <c r="S34" i="4"/>
  <c r="T34" i="4" s="1" a="1"/>
  <c r="T34" i="4" s="1"/>
  <c r="G35" i="4"/>
  <c r="H35" i="4" s="1"/>
  <c r="F35" i="4" s="1"/>
  <c r="A36" i="4"/>
  <c r="Q36" i="4" a="1"/>
  <c r="Q36" i="4" s="1"/>
  <c r="C37" i="4"/>
  <c r="D37" i="4" s="1"/>
  <c r="S37" i="4"/>
  <c r="T37" i="4" s="1" a="1"/>
  <c r="T37" i="4" s="1"/>
  <c r="AA37" i="4" s="1"/>
  <c r="G38" i="4"/>
  <c r="H38" i="4" s="1"/>
  <c r="F38" i="4" s="1"/>
  <c r="Q39" i="4" a="1"/>
  <c r="Q39" i="4" s="1"/>
  <c r="C40" i="4"/>
  <c r="D40" i="4" s="1"/>
  <c r="C41" i="4"/>
  <c r="D41" i="4" s="1"/>
  <c r="S41" i="4"/>
  <c r="T41" i="4" s="1" a="1"/>
  <c r="T41" i="4" s="1"/>
  <c r="AA41" i="4" s="1"/>
  <c r="G42" i="4"/>
  <c r="H42" i="4" s="1"/>
  <c r="F42" i="4" s="1"/>
  <c r="M17" i="4"/>
  <c r="O17" i="4" s="1" a="1"/>
  <c r="O17" i="4" s="1"/>
  <c r="M20" i="4"/>
  <c r="O20" i="4" s="1" a="1"/>
  <c r="O20" i="4" s="1"/>
  <c r="Q21" i="4" a="1"/>
  <c r="Q21" i="4" s="1"/>
  <c r="L29" i="4"/>
  <c r="N29" i="4" s="1"/>
  <c r="C30" i="4"/>
  <c r="D30" i="4" s="1"/>
  <c r="G32" i="4"/>
  <c r="H32" i="4" s="1"/>
  <c r="F32" i="4" s="1"/>
  <c r="M33" i="4"/>
  <c r="O33" i="4" s="1" a="1"/>
  <c r="O33" i="4" s="1"/>
  <c r="A34" i="4"/>
  <c r="M35" i="4"/>
  <c r="O35" i="4" s="1" a="1"/>
  <c r="O35" i="4" s="1"/>
  <c r="C36" i="4"/>
  <c r="D36" i="4" s="1"/>
  <c r="S36" i="4"/>
  <c r="T36" i="4" s="1" a="1"/>
  <c r="T36" i="4" s="1"/>
  <c r="AA36" i="4" s="1"/>
  <c r="L38" i="4"/>
  <c r="N38" i="4" s="1"/>
  <c r="A39" i="4"/>
  <c r="S39" i="4"/>
  <c r="T39" i="4" s="1" a="1"/>
  <c r="T39" i="4" s="1"/>
  <c r="AA39" i="4" s="1"/>
  <c r="S40" i="4"/>
  <c r="T40" i="4" s="1" a="1"/>
  <c r="T40" i="4" s="1"/>
  <c r="AA40" i="4" s="1"/>
  <c r="G41" i="4"/>
  <c r="H41" i="4" s="1"/>
  <c r="F41" i="4" s="1"/>
  <c r="L42" i="4"/>
  <c r="N42" i="4" s="1"/>
  <c r="P42" i="4" s="1"/>
  <c r="M16" i="4"/>
  <c r="O16" i="4" s="1" a="1"/>
  <c r="O16" i="4" s="1"/>
  <c r="L19" i="4"/>
  <c r="N19" i="4" s="1"/>
  <c r="S20" i="4"/>
  <c r="T20" i="4" s="1" a="1"/>
  <c r="T20" i="4" s="1"/>
  <c r="AA20" i="4" s="1"/>
  <c r="A28" i="4"/>
  <c r="M29" i="4"/>
  <c r="O29" i="4" s="1" a="1"/>
  <c r="O29" i="4" s="1"/>
  <c r="G30" i="4"/>
  <c r="H30" i="4" s="1"/>
  <c r="F30" i="4" s="1"/>
  <c r="L32" i="4"/>
  <c r="N32" i="4" s="1"/>
  <c r="C34" i="4"/>
  <c r="D34" i="4" s="1"/>
  <c r="Q35" i="4" a="1"/>
  <c r="Q35" i="4" s="1"/>
  <c r="G36" i="4"/>
  <c r="H36" i="4" s="1"/>
  <c r="F36" i="4" s="1"/>
  <c r="G37" i="4"/>
  <c r="H37" i="4" s="1"/>
  <c r="F37" i="4" s="1"/>
  <c r="M38" i="4"/>
  <c r="O38" i="4" s="1" a="1"/>
  <c r="O38" i="4" s="1"/>
  <c r="C39" i="4"/>
  <c r="D39" i="4" s="1"/>
  <c r="G40" i="4"/>
  <c r="H40" i="4" s="1"/>
  <c r="F40" i="4" s="1"/>
  <c r="M42" i="4"/>
  <c r="O42" i="4" s="1" a="1"/>
  <c r="O42" i="4" s="1"/>
  <c r="C15" i="4"/>
  <c r="D15" i="4" s="1"/>
  <c r="C23" i="4"/>
  <c r="D23" i="4" s="1"/>
  <c r="C24" i="4"/>
  <c r="D24" i="4" s="1"/>
  <c r="A25" i="4"/>
  <c r="C26" i="4"/>
  <c r="D26" i="4" s="1"/>
  <c r="C27" i="4"/>
  <c r="D27" i="4" s="1"/>
  <c r="Q29" i="4" a="1"/>
  <c r="Q29" i="4" s="1"/>
  <c r="L30" i="4"/>
  <c r="N30" i="4" s="1"/>
  <c r="C31" i="4"/>
  <c r="D31" i="4" s="1"/>
  <c r="M32" i="4"/>
  <c r="O32" i="4" s="1" a="1"/>
  <c r="O32" i="4" s="1"/>
  <c r="Q33" i="4" a="1"/>
  <c r="Q33" i="4" s="1"/>
  <c r="L34" i="4"/>
  <c r="N34" i="4" s="1"/>
  <c r="A35" i="4"/>
  <c r="S35" i="4"/>
  <c r="T35" i="4" s="1" a="1"/>
  <c r="T35" i="4" s="1"/>
  <c r="AA35" i="4" s="1"/>
  <c r="L36" i="4"/>
  <c r="N36" i="4" s="1"/>
  <c r="L37" i="4"/>
  <c r="N37" i="4" s="1"/>
  <c r="A38" i="4"/>
  <c r="Q38" i="4" a="1"/>
  <c r="Q38" i="4" s="1"/>
  <c r="G39" i="4"/>
  <c r="H39" i="4" s="1"/>
  <c r="F39" i="4" s="1"/>
  <c r="L40" i="4"/>
  <c r="N40" i="4" s="1"/>
  <c r="L41" i="4"/>
  <c r="N41" i="4" s="1"/>
  <c r="Q15" i="4" a="1"/>
  <c r="Q15" i="4" s="1"/>
  <c r="G18" i="4"/>
  <c r="H18" i="4" s="1"/>
  <c r="F18" i="4" s="1"/>
  <c r="A21" i="4"/>
  <c r="C22" i="4"/>
  <c r="D22" i="4" s="1"/>
  <c r="G23" i="4"/>
  <c r="H23" i="4" s="1"/>
  <c r="F23" i="4" s="1"/>
  <c r="L24" i="4"/>
  <c r="N24" i="4" s="1"/>
  <c r="G26" i="4"/>
  <c r="H26" i="4" s="1"/>
  <c r="F26" i="4" s="1"/>
  <c r="L27" i="4"/>
  <c r="N27" i="4" s="1"/>
  <c r="P27" i="4" s="1"/>
  <c r="A29" i="4"/>
  <c r="M30" i="4"/>
  <c r="O30" i="4" s="1" a="1"/>
  <c r="O30" i="4" s="1"/>
  <c r="L31" i="4"/>
  <c r="N31" i="4" s="1"/>
  <c r="A33" i="4"/>
  <c r="M34" i="4"/>
  <c r="O34" i="4" s="1" a="1"/>
  <c r="O34" i="4" s="1"/>
  <c r="C35" i="4"/>
  <c r="D35" i="4" s="1"/>
  <c r="M36" i="4"/>
  <c r="O36" i="4" s="1" a="1"/>
  <c r="O36" i="4" s="1"/>
  <c r="M37" i="4"/>
  <c r="O37" i="4" s="1" a="1"/>
  <c r="O37" i="4" s="1"/>
  <c r="C38" i="4"/>
  <c r="D38" i="4" s="1"/>
  <c r="S38" i="4"/>
  <c r="T38" i="4" s="1" a="1"/>
  <c r="T38" i="4" s="1"/>
  <c r="AA38" i="4" s="1"/>
  <c r="L39" i="4"/>
  <c r="N39" i="4" s="1"/>
  <c r="M40" i="4"/>
  <c r="O40" i="4" s="1" a="1"/>
  <c r="O40" i="4" s="1"/>
  <c r="M41" i="4"/>
  <c r="O41" i="4" s="1" a="1"/>
  <c r="O41" i="4" s="1"/>
  <c r="A42" i="4"/>
  <c r="S42" i="4"/>
  <c r="T42" i="4" s="1" a="1"/>
  <c r="T42" i="4" s="1"/>
  <c r="AA42" i="4" s="1"/>
  <c r="A17" i="4"/>
  <c r="M18" i="4"/>
  <c r="O18" i="4" s="1" a="1"/>
  <c r="O18" i="4" s="1"/>
  <c r="G21" i="4"/>
  <c r="H21" i="4" s="1"/>
  <c r="F21" i="4" s="1"/>
  <c r="L22" i="4"/>
  <c r="N22" i="4" s="1"/>
  <c r="P22" i="4" s="1"/>
  <c r="M23" i="4"/>
  <c r="O23" i="4" s="1" a="1"/>
  <c r="O23" i="4" s="1"/>
  <c r="L25" i="4"/>
  <c r="N25" i="4" s="1"/>
  <c r="P25" i="4" s="1"/>
  <c r="L26" i="4"/>
  <c r="N26" i="4" s="1"/>
  <c r="Q27" i="4" a="1"/>
  <c r="Q27" i="4" s="1"/>
  <c r="M28" i="4"/>
  <c r="O28" i="4" s="1" a="1"/>
  <c r="O28" i="4" s="1"/>
  <c r="M31" i="4"/>
  <c r="O31" i="4" s="1" a="1"/>
  <c r="O31" i="4" s="1"/>
  <c r="Q32" i="4" a="1"/>
  <c r="Q32" i="4" s="1"/>
  <c r="G33" i="4"/>
  <c r="H33" i="4" s="1"/>
  <c r="F33" i="4" s="1"/>
  <c r="Q34" i="4" a="1"/>
  <c r="Q34" i="4" s="1"/>
  <c r="A37" i="4"/>
  <c r="Q37" i="4" a="1"/>
  <c r="Q37" i="4" s="1"/>
  <c r="A40" i="4"/>
  <c r="Q40" i="4" a="1"/>
  <c r="Q40" i="4" s="1"/>
  <c r="A41" i="4"/>
  <c r="B2" i="4"/>
  <c r="I7" i="1"/>
  <c r="I9" i="1"/>
  <c r="I4" i="1"/>
  <c r="I17" i="1"/>
  <c r="I23" i="1"/>
  <c r="I29" i="1"/>
  <c r="I35" i="1"/>
  <c r="I41" i="1"/>
  <c r="I47" i="1"/>
  <c r="I53" i="1"/>
  <c r="I59" i="1"/>
  <c r="I65" i="1"/>
  <c r="I71" i="1"/>
  <c r="I77" i="1"/>
  <c r="I83" i="1"/>
  <c r="I89" i="1"/>
  <c r="I95" i="1"/>
  <c r="I101" i="1"/>
  <c r="I107" i="1"/>
  <c r="I113" i="1"/>
  <c r="I119" i="1"/>
  <c r="I125" i="1"/>
  <c r="I131" i="1"/>
  <c r="I137" i="1"/>
  <c r="I143" i="1"/>
  <c r="I149" i="1"/>
  <c r="I155" i="1"/>
  <c r="I161" i="1"/>
  <c r="I167" i="1"/>
  <c r="I22" i="1"/>
  <c r="I46" i="1"/>
  <c r="I64" i="1"/>
  <c r="I82" i="1"/>
  <c r="I100" i="1"/>
  <c r="I124" i="1"/>
  <c r="I142" i="1"/>
  <c r="I160" i="1"/>
  <c r="I12" i="1"/>
  <c r="I18" i="1"/>
  <c r="I24" i="1"/>
  <c r="I30" i="1"/>
  <c r="I36" i="1"/>
  <c r="I42" i="1"/>
  <c r="I48" i="1"/>
  <c r="I54" i="1"/>
  <c r="I60" i="1"/>
  <c r="I66" i="1"/>
  <c r="I72" i="1"/>
  <c r="I78" i="1"/>
  <c r="I84" i="1"/>
  <c r="I90" i="1"/>
  <c r="I96" i="1"/>
  <c r="I102" i="1"/>
  <c r="I108" i="1"/>
  <c r="I114" i="1"/>
  <c r="I120" i="1"/>
  <c r="I126" i="1"/>
  <c r="I132" i="1"/>
  <c r="I138" i="1"/>
  <c r="I144" i="1"/>
  <c r="I150" i="1"/>
  <c r="I156" i="1"/>
  <c r="I162" i="1"/>
  <c r="I168" i="1"/>
  <c r="I16" i="1"/>
  <c r="I34" i="1"/>
  <c r="I52" i="1"/>
  <c r="I70" i="1"/>
  <c r="I88" i="1"/>
  <c r="I106" i="1"/>
  <c r="I130" i="1"/>
  <c r="I148" i="1"/>
  <c r="I166" i="1"/>
  <c r="I13" i="1"/>
  <c r="I19" i="1"/>
  <c r="I25" i="1"/>
  <c r="I31" i="1"/>
  <c r="I37" i="1"/>
  <c r="I43" i="1"/>
  <c r="I49" i="1"/>
  <c r="I55" i="1"/>
  <c r="I61" i="1"/>
  <c r="I67" i="1"/>
  <c r="I73" i="1"/>
  <c r="I79" i="1"/>
  <c r="I85" i="1"/>
  <c r="I91" i="1"/>
  <c r="I97" i="1"/>
  <c r="I103" i="1"/>
  <c r="I109" i="1"/>
  <c r="I115" i="1"/>
  <c r="I121" i="1"/>
  <c r="I127" i="1"/>
  <c r="I133" i="1"/>
  <c r="I139" i="1"/>
  <c r="I145" i="1"/>
  <c r="I151" i="1"/>
  <c r="I157" i="1"/>
  <c r="I163" i="1"/>
  <c r="I169" i="1"/>
  <c r="I28" i="1"/>
  <c r="I40" i="1"/>
  <c r="I58" i="1"/>
  <c r="I76" i="1"/>
  <c r="I94" i="1"/>
  <c r="I118" i="1"/>
  <c r="I136" i="1"/>
  <c r="I154" i="1"/>
  <c r="I14" i="1"/>
  <c r="I20" i="1"/>
  <c r="I26" i="1"/>
  <c r="I32" i="1"/>
  <c r="I38" i="1"/>
  <c r="I44" i="1"/>
  <c r="I50" i="1"/>
  <c r="I56" i="1"/>
  <c r="I62" i="1"/>
  <c r="I68" i="1"/>
  <c r="I74" i="1"/>
  <c r="I80" i="1"/>
  <c r="I86" i="1"/>
  <c r="I92" i="1"/>
  <c r="I98" i="1"/>
  <c r="I104" i="1"/>
  <c r="I110" i="1"/>
  <c r="I116" i="1"/>
  <c r="I122" i="1"/>
  <c r="I128" i="1"/>
  <c r="I134" i="1"/>
  <c r="I140" i="1"/>
  <c r="I146" i="1"/>
  <c r="I152" i="1"/>
  <c r="I158" i="1"/>
  <c r="I164" i="1"/>
  <c r="I170" i="1"/>
  <c r="I112" i="1"/>
  <c r="I15" i="1"/>
  <c r="I21" i="1"/>
  <c r="I27" i="1"/>
  <c r="I33" i="1"/>
  <c r="I39" i="1"/>
  <c r="I45" i="1"/>
  <c r="I51" i="1"/>
  <c r="I57" i="1"/>
  <c r="I63" i="1"/>
  <c r="I69" i="1"/>
  <c r="I75" i="1"/>
  <c r="I87" i="1"/>
  <c r="I93" i="1"/>
  <c r="I99" i="1"/>
  <c r="I105" i="1"/>
  <c r="I111" i="1"/>
  <c r="I117" i="1"/>
  <c r="I123" i="1"/>
  <c r="I129" i="1"/>
  <c r="I135" i="1"/>
  <c r="I141" i="1"/>
  <c r="I147" i="1"/>
  <c r="I153" i="1"/>
  <c r="I159" i="1"/>
  <c r="I165" i="1"/>
  <c r="S4" i="6"/>
  <c r="S9" i="6"/>
  <c r="A49" i="8"/>
  <c r="B49" i="8" s="1"/>
  <c r="A53" i="8"/>
  <c r="B53" i="8" s="1"/>
  <c r="A57" i="8"/>
  <c r="B57" i="8" s="1"/>
  <c r="A61" i="8"/>
  <c r="B61" i="8" s="1"/>
  <c r="A65" i="8"/>
  <c r="B65" i="8" s="1"/>
  <c r="A69" i="8"/>
  <c r="B69" i="8" s="1"/>
  <c r="A73" i="8"/>
  <c r="B73" i="8" s="1"/>
  <c r="A77" i="8"/>
  <c r="B77" i="8" s="1"/>
  <c r="A81" i="8"/>
  <c r="B81" i="8" s="1"/>
  <c r="A85" i="8"/>
  <c r="B85" i="8" s="1"/>
  <c r="A89" i="8"/>
  <c r="B89" i="8" s="1"/>
  <c r="A102" i="8"/>
  <c r="B102" i="8" s="1"/>
  <c r="A4" i="8"/>
  <c r="B4" i="8" s="1"/>
  <c r="A7" i="8"/>
  <c r="B7" i="8" s="1"/>
  <c r="A10" i="8"/>
  <c r="B10" i="8" s="1"/>
  <c r="A13" i="8"/>
  <c r="B13" i="8" s="1"/>
  <c r="A96" i="8"/>
  <c r="B96" i="8" s="1"/>
  <c r="A99" i="8"/>
  <c r="B99" i="8" s="1"/>
  <c r="A103" i="8"/>
  <c r="B103" i="8" s="1"/>
  <c r="A51" i="8"/>
  <c r="B51" i="8" s="1"/>
  <c r="A55" i="8"/>
  <c r="B55" i="8" s="1"/>
  <c r="A59" i="8"/>
  <c r="B59" i="8" s="1"/>
  <c r="A63" i="8"/>
  <c r="B63" i="8" s="1"/>
  <c r="A67" i="8"/>
  <c r="B67" i="8" s="1"/>
  <c r="A71" i="8"/>
  <c r="B71" i="8" s="1"/>
  <c r="A75" i="8"/>
  <c r="B75" i="8" s="1"/>
  <c r="A79" i="8"/>
  <c r="B79" i="8" s="1"/>
  <c r="A83" i="8"/>
  <c r="B83" i="8" s="1"/>
  <c r="A87" i="8"/>
  <c r="B87" i="8" s="1"/>
  <c r="A91" i="8"/>
  <c r="B91" i="8" s="1"/>
  <c r="A100" i="8"/>
  <c r="B100" i="8" s="1"/>
  <c r="A104" i="8"/>
  <c r="B104" i="8" s="1"/>
  <c r="A50" i="8"/>
  <c r="B50" i="8" s="1"/>
  <c r="A58" i="8"/>
  <c r="B58" i="8" s="1"/>
  <c r="A66" i="8"/>
  <c r="B66" i="8" s="1"/>
  <c r="A74" i="8"/>
  <c r="B74" i="8" s="1"/>
  <c r="A82" i="8"/>
  <c r="B82" i="8" s="1"/>
  <c r="A90" i="8"/>
  <c r="B90" i="8" s="1"/>
  <c r="A97" i="8"/>
  <c r="B97" i="8" s="1"/>
  <c r="A8" i="8"/>
  <c r="B8" i="8" s="1"/>
  <c r="A14" i="8"/>
  <c r="B14" i="8" s="1"/>
  <c r="A70" i="8"/>
  <c r="B70" i="8" s="1"/>
  <c r="A21" i="8"/>
  <c r="B21" i="8" s="1"/>
  <c r="A27" i="8"/>
  <c r="B27" i="8" s="1"/>
  <c r="A36" i="8"/>
  <c r="B36" i="8" s="1"/>
  <c r="A42" i="8"/>
  <c r="B42" i="8" s="1"/>
  <c r="A98" i="8"/>
  <c r="B98" i="8" s="1"/>
  <c r="A3" i="8"/>
  <c r="B3" i="8" s="1"/>
  <c r="A9" i="8"/>
  <c r="B9" i="8" s="1"/>
  <c r="A15" i="8"/>
  <c r="B15" i="8" s="1"/>
  <c r="A19" i="8"/>
  <c r="B19" i="8" s="1"/>
  <c r="A23" i="8"/>
  <c r="B23" i="8" s="1"/>
  <c r="A26" i="8"/>
  <c r="B26" i="8" s="1"/>
  <c r="A29" i="8"/>
  <c r="B29" i="8" s="1"/>
  <c r="A32" i="8"/>
  <c r="B32" i="8" s="1"/>
  <c r="A35" i="8"/>
  <c r="B35" i="8" s="1"/>
  <c r="A38" i="8"/>
  <c r="B38" i="8" s="1"/>
  <c r="A41" i="8"/>
  <c r="B41" i="8" s="1"/>
  <c r="A44" i="8"/>
  <c r="B44" i="8" s="1"/>
  <c r="A47" i="8"/>
  <c r="B47" i="8" s="1"/>
  <c r="A54" i="8"/>
  <c r="B54" i="8" s="1"/>
  <c r="A78" i="8"/>
  <c r="B78" i="8" s="1"/>
  <c r="A93" i="8"/>
  <c r="B93" i="8" s="1"/>
  <c r="A16" i="8"/>
  <c r="B16" i="8" s="1"/>
  <c r="A30" i="8"/>
  <c r="B30" i="8" s="1"/>
  <c r="A45" i="8"/>
  <c r="B45" i="8" s="1"/>
  <c r="A52" i="8"/>
  <c r="B52" i="8" s="1"/>
  <c r="A60" i="8"/>
  <c r="B60" i="8" s="1"/>
  <c r="A68" i="8"/>
  <c r="B68" i="8" s="1"/>
  <c r="A76" i="8"/>
  <c r="B76" i="8" s="1"/>
  <c r="A84" i="8"/>
  <c r="B84" i="8" s="1"/>
  <c r="A92" i="8"/>
  <c r="B92" i="8" s="1"/>
  <c r="A20" i="8"/>
  <c r="B20" i="8" s="1"/>
  <c r="A62" i="8"/>
  <c r="B62" i="8" s="1"/>
  <c r="A86" i="8"/>
  <c r="B86" i="8" s="1"/>
  <c r="A11" i="8"/>
  <c r="B11" i="8" s="1"/>
  <c r="A24" i="8"/>
  <c r="B24" i="8" s="1"/>
  <c r="A33" i="8"/>
  <c r="B33" i="8" s="1"/>
  <c r="A39" i="8"/>
  <c r="B39" i="8" s="1"/>
  <c r="A5" i="8"/>
  <c r="B5" i="8" s="1"/>
  <c r="A6" i="8"/>
  <c r="B6" i="8" s="1"/>
  <c r="A48" i="8"/>
  <c r="B48" i="8" s="1"/>
  <c r="A64" i="8"/>
  <c r="B64" i="8" s="1"/>
  <c r="A22" i="8"/>
  <c r="B22" i="8" s="1"/>
  <c r="A40" i="8"/>
  <c r="B40" i="8" s="1"/>
  <c r="A94" i="8"/>
  <c r="B94" i="8" s="1"/>
  <c r="A12" i="8"/>
  <c r="B12" i="8" s="1"/>
  <c r="A72" i="8"/>
  <c r="B72" i="8" s="1"/>
  <c r="A95" i="8"/>
  <c r="B95" i="8" s="1"/>
  <c r="A25" i="8"/>
  <c r="B25" i="8" s="1"/>
  <c r="A34" i="8"/>
  <c r="B34" i="8" s="1"/>
  <c r="A43" i="8"/>
  <c r="B43" i="8" s="1"/>
  <c r="A101" i="8"/>
  <c r="B101" i="8" s="1"/>
  <c r="A17" i="8"/>
  <c r="B17" i="8" s="1"/>
  <c r="A56" i="8"/>
  <c r="B56" i="8" s="1"/>
  <c r="A80" i="8"/>
  <c r="B80" i="8" s="1"/>
  <c r="A18" i="8"/>
  <c r="B18" i="8" s="1"/>
  <c r="A28" i="8"/>
  <c r="B28" i="8" s="1"/>
  <c r="A37" i="8"/>
  <c r="B37" i="8" s="1"/>
  <c r="A46" i="8"/>
  <c r="B46" i="8" s="1"/>
  <c r="A88" i="8"/>
  <c r="B88" i="8" s="1"/>
  <c r="A31" i="8"/>
  <c r="B31" i="8" s="1"/>
  <c r="I3" i="6"/>
  <c r="I5" i="1" s="1"/>
  <c r="E3" i="6"/>
  <c r="H3" i="6"/>
  <c r="J3" i="6"/>
  <c r="E2" i="6"/>
  <c r="S6" i="6"/>
  <c r="I6" i="6"/>
  <c r="I8" i="1" s="1"/>
  <c r="E6" i="6"/>
  <c r="I9" i="6"/>
  <c r="I11" i="1" s="1"/>
  <c r="E9" i="6"/>
  <c r="J4" i="6"/>
  <c r="E4" i="6"/>
  <c r="I2" i="6"/>
  <c r="I2" i="1" s="1"/>
  <c r="S2" i="6"/>
  <c r="J2" i="6"/>
  <c r="J9" i="6"/>
  <c r="H9" i="6"/>
  <c r="H6" i="6"/>
  <c r="J6" i="6"/>
  <c r="AA34" i="4" l="1"/>
  <c r="AA10" i="4"/>
  <c r="AA3" i="4"/>
  <c r="I6" i="1"/>
  <c r="I3" i="1"/>
  <c r="I10" i="1"/>
  <c r="I81" i="1"/>
  <c r="S2" i="4"/>
  <c r="T2" i="4" s="1" a="1"/>
  <c r="T2" i="4" s="1"/>
  <c r="U2" i="4" a="1"/>
  <c r="U2" i="4" s="1"/>
  <c r="P26" i="4"/>
  <c r="P24" i="4"/>
  <c r="P6" i="4"/>
  <c r="P28" i="4"/>
  <c r="P9" i="4"/>
  <c r="P19" i="4"/>
  <c r="P11" i="4"/>
  <c r="P15" i="4"/>
  <c r="P39" i="4"/>
  <c r="P36" i="4"/>
  <c r="P37" i="4"/>
  <c r="P32" i="4"/>
  <c r="P38" i="4"/>
  <c r="P29" i="4"/>
  <c r="P10" i="4"/>
  <c r="P8" i="4"/>
  <c r="P20" i="4"/>
  <c r="P17" i="4"/>
  <c r="P40" i="4"/>
  <c r="P33" i="4"/>
  <c r="P35" i="4"/>
  <c r="P5" i="4"/>
  <c r="P12" i="4"/>
  <c r="P31" i="4"/>
  <c r="P4" i="4"/>
  <c r="P23" i="4"/>
  <c r="P16" i="4"/>
  <c r="P13" i="4"/>
  <c r="P21" i="4"/>
  <c r="P18" i="4"/>
  <c r="P3" i="4"/>
  <c r="P41" i="4"/>
  <c r="P34" i="4"/>
  <c r="P30" i="4"/>
  <c r="P14" i="4"/>
  <c r="P7" i="4"/>
  <c r="Q2" i="4" a="1"/>
  <c r="Q2" i="4" s="1"/>
  <c r="L2" i="4"/>
  <c r="M2" i="4"/>
  <c r="O2" i="4" s="1" a="1"/>
  <c r="O2" i="4" s="1"/>
  <c r="C5" i="8"/>
  <c r="F5" i="8" s="1"/>
  <c r="D5" i="8"/>
  <c r="G5" i="8" s="1"/>
  <c r="E5" i="8"/>
  <c r="H5" i="8" s="1"/>
  <c r="C99" i="8"/>
  <c r="F99" i="8" s="1"/>
  <c r="D99" i="8"/>
  <c r="G99" i="8" s="1"/>
  <c r="E99" i="8"/>
  <c r="H99" i="8" s="1"/>
  <c r="D102" i="8"/>
  <c r="G102" i="8" s="1"/>
  <c r="C102" i="8"/>
  <c r="F102" i="8" s="1"/>
  <c r="E102" i="8"/>
  <c r="H102" i="8" s="1"/>
  <c r="C69" i="8"/>
  <c r="F69" i="8" s="1"/>
  <c r="E69" i="8"/>
  <c r="H69" i="8" s="1"/>
  <c r="D69" i="8"/>
  <c r="G69" i="8" s="1"/>
  <c r="C62" i="8"/>
  <c r="F62" i="8" s="1"/>
  <c r="D62" i="8"/>
  <c r="G62" i="8" s="1"/>
  <c r="E62" i="8"/>
  <c r="H62" i="8" s="1"/>
  <c r="D98" i="8"/>
  <c r="G98" i="8" s="1"/>
  <c r="E98" i="8"/>
  <c r="H98" i="8" s="1"/>
  <c r="C98" i="8"/>
  <c r="F98" i="8" s="1"/>
  <c r="C14" i="8"/>
  <c r="F14" i="8" s="1"/>
  <c r="D14" i="8"/>
  <c r="G14" i="8" s="1"/>
  <c r="E14" i="8"/>
  <c r="H14" i="8" s="1"/>
  <c r="D66" i="8"/>
  <c r="G66" i="8" s="1"/>
  <c r="C66" i="8"/>
  <c r="F66" i="8" s="1"/>
  <c r="E66" i="8"/>
  <c r="H66" i="8" s="1"/>
  <c r="E87" i="8"/>
  <c r="H87" i="8" s="1"/>
  <c r="C87" i="8"/>
  <c r="F87" i="8" s="1"/>
  <c r="D87" i="8"/>
  <c r="G87" i="8" s="1"/>
  <c r="E63" i="8"/>
  <c r="H63" i="8" s="1"/>
  <c r="C63" i="8"/>
  <c r="F63" i="8" s="1"/>
  <c r="D63" i="8"/>
  <c r="G63" i="8" s="1"/>
  <c r="D89" i="8"/>
  <c r="G89" i="8" s="1"/>
  <c r="E89" i="8"/>
  <c r="H89" i="8" s="1"/>
  <c r="C89" i="8"/>
  <c r="F89" i="8" s="1"/>
  <c r="C65" i="8"/>
  <c r="F65" i="8" s="1"/>
  <c r="D65" i="8"/>
  <c r="G65" i="8" s="1"/>
  <c r="E65" i="8"/>
  <c r="H65" i="8" s="1"/>
  <c r="A2" i="8"/>
  <c r="C37" i="8"/>
  <c r="F37" i="8" s="1"/>
  <c r="D37" i="8"/>
  <c r="G37" i="8" s="1"/>
  <c r="E37" i="8"/>
  <c r="H37" i="8" s="1"/>
  <c r="C28" i="8"/>
  <c r="F28" i="8" s="1"/>
  <c r="D28" i="8"/>
  <c r="G28" i="8" s="1"/>
  <c r="E28" i="8"/>
  <c r="H28" i="8" s="1"/>
  <c r="D60" i="8"/>
  <c r="G60" i="8" s="1"/>
  <c r="E60" i="8"/>
  <c r="H60" i="8" s="1"/>
  <c r="C60" i="8"/>
  <c r="F60" i="8" s="1"/>
  <c r="G2" i="4"/>
  <c r="H2" i="4" s="1"/>
  <c r="F2" i="4" s="1"/>
  <c r="D18" i="8"/>
  <c r="G18" i="8" s="1"/>
  <c r="C18" i="8"/>
  <c r="F18" i="8" s="1"/>
  <c r="E18" i="8"/>
  <c r="H18" i="8" s="1"/>
  <c r="C34" i="8"/>
  <c r="F34" i="8" s="1"/>
  <c r="D34" i="8"/>
  <c r="G34" i="8" s="1"/>
  <c r="E34" i="8"/>
  <c r="H34" i="8" s="1"/>
  <c r="C40" i="8"/>
  <c r="F40" i="8" s="1"/>
  <c r="D40" i="8"/>
  <c r="G40" i="8" s="1"/>
  <c r="E40" i="8"/>
  <c r="H40" i="8" s="1"/>
  <c r="E39" i="8"/>
  <c r="H39" i="8" s="1"/>
  <c r="C39" i="8"/>
  <c r="F39" i="8" s="1"/>
  <c r="D39" i="8"/>
  <c r="G39" i="8" s="1"/>
  <c r="C20" i="8"/>
  <c r="F20" i="8" s="1"/>
  <c r="D20" i="8"/>
  <c r="G20" i="8" s="1"/>
  <c r="E20" i="8"/>
  <c r="H20" i="8" s="1"/>
  <c r="C52" i="8"/>
  <c r="F52" i="8" s="1"/>
  <c r="D52" i="8"/>
  <c r="G52" i="8" s="1"/>
  <c r="E52" i="8"/>
  <c r="H52" i="8" s="1"/>
  <c r="D54" i="8"/>
  <c r="G54" i="8" s="1"/>
  <c r="C54" i="8"/>
  <c r="F54" i="8" s="1"/>
  <c r="E54" i="8"/>
  <c r="H54" i="8" s="1"/>
  <c r="C32" i="8"/>
  <c r="F32" i="8" s="1"/>
  <c r="D32" i="8"/>
  <c r="G32" i="8" s="1"/>
  <c r="E32" i="8"/>
  <c r="H32" i="8" s="1"/>
  <c r="C9" i="8"/>
  <c r="F9" i="8" s="1"/>
  <c r="E9" i="8"/>
  <c r="H9" i="8" s="1"/>
  <c r="D9" i="8"/>
  <c r="G9" i="8" s="1"/>
  <c r="C21" i="8"/>
  <c r="F21" i="8" s="1"/>
  <c r="E21" i="8"/>
  <c r="H21" i="8" s="1"/>
  <c r="D21" i="8"/>
  <c r="G21" i="8" s="1"/>
  <c r="D82" i="8"/>
  <c r="G82" i="8" s="1"/>
  <c r="E82" i="8"/>
  <c r="H82" i="8" s="1"/>
  <c r="C82" i="8"/>
  <c r="F82" i="8" s="1"/>
  <c r="C31" i="8"/>
  <c r="F31" i="8" s="1"/>
  <c r="D31" i="8"/>
  <c r="G31" i="8" s="1"/>
  <c r="E31" i="8"/>
  <c r="H31" i="8" s="1"/>
  <c r="C80" i="8"/>
  <c r="F80" i="8" s="1"/>
  <c r="D80" i="8"/>
  <c r="G80" i="8" s="1"/>
  <c r="E80" i="8"/>
  <c r="H80" i="8" s="1"/>
  <c r="C25" i="8"/>
  <c r="F25" i="8" s="1"/>
  <c r="D25" i="8"/>
  <c r="G25" i="8" s="1"/>
  <c r="E25" i="8"/>
  <c r="H25" i="8" s="1"/>
  <c r="C22" i="8"/>
  <c r="F22" i="8" s="1"/>
  <c r="D22" i="8"/>
  <c r="G22" i="8" s="1"/>
  <c r="E22" i="8"/>
  <c r="H22" i="8" s="1"/>
  <c r="C33" i="8"/>
  <c r="F33" i="8" s="1"/>
  <c r="E33" i="8"/>
  <c r="H33" i="8" s="1"/>
  <c r="D33" i="8"/>
  <c r="G33" i="8" s="1"/>
  <c r="D92" i="8"/>
  <c r="G92" i="8" s="1"/>
  <c r="C92" i="8"/>
  <c r="F92" i="8" s="1"/>
  <c r="E92" i="8"/>
  <c r="H92" i="8" s="1"/>
  <c r="C45" i="8"/>
  <c r="F45" i="8" s="1"/>
  <c r="E45" i="8"/>
  <c r="H45" i="8" s="1"/>
  <c r="D45" i="8"/>
  <c r="G45" i="8" s="1"/>
  <c r="C47" i="8"/>
  <c r="F47" i="8" s="1"/>
  <c r="D47" i="8"/>
  <c r="G47" i="8" s="1"/>
  <c r="E47" i="8"/>
  <c r="H47" i="8" s="1"/>
  <c r="C29" i="8"/>
  <c r="F29" i="8" s="1"/>
  <c r="D29" i="8"/>
  <c r="G29" i="8" s="1"/>
  <c r="E29" i="8"/>
  <c r="H29" i="8" s="1"/>
  <c r="E3" i="8"/>
  <c r="H3" i="8" s="1"/>
  <c r="C3" i="8"/>
  <c r="F3" i="8" s="1"/>
  <c r="D3" i="8"/>
  <c r="G3" i="8" s="1"/>
  <c r="C70" i="8"/>
  <c r="F70" i="8" s="1"/>
  <c r="D70" i="8"/>
  <c r="G70" i="8" s="1"/>
  <c r="E70" i="8"/>
  <c r="H70" i="8" s="1"/>
  <c r="E74" i="8"/>
  <c r="H74" i="8" s="1"/>
  <c r="D74" i="8"/>
  <c r="G74" i="8" s="1"/>
  <c r="C74" i="8"/>
  <c r="F74" i="8" s="1"/>
  <c r="C91" i="8"/>
  <c r="F91" i="8" s="1"/>
  <c r="D91" i="8"/>
  <c r="G91" i="8" s="1"/>
  <c r="E91" i="8"/>
  <c r="H91" i="8" s="1"/>
  <c r="C67" i="8"/>
  <c r="F67" i="8" s="1"/>
  <c r="D67" i="8"/>
  <c r="G67" i="8" s="1"/>
  <c r="E67" i="8"/>
  <c r="H67" i="8" s="1"/>
  <c r="D88" i="8"/>
  <c r="G88" i="8" s="1"/>
  <c r="C88" i="8"/>
  <c r="F88" i="8" s="1"/>
  <c r="E88" i="8"/>
  <c r="H88" i="8" s="1"/>
  <c r="C56" i="8"/>
  <c r="F56" i="8" s="1"/>
  <c r="D56" i="8"/>
  <c r="G56" i="8" s="1"/>
  <c r="E56" i="8"/>
  <c r="H56" i="8" s="1"/>
  <c r="C95" i="8"/>
  <c r="F95" i="8" s="1"/>
  <c r="D95" i="8"/>
  <c r="G95" i="8" s="1"/>
  <c r="E95" i="8"/>
  <c r="H95" i="8" s="1"/>
  <c r="C64" i="8"/>
  <c r="F64" i="8" s="1"/>
  <c r="D64" i="8"/>
  <c r="G64" i="8" s="1"/>
  <c r="E64" i="8"/>
  <c r="H64" i="8" s="1"/>
  <c r="D24" i="8"/>
  <c r="G24" i="8" s="1"/>
  <c r="E24" i="8"/>
  <c r="H24" i="8" s="1"/>
  <c r="C24" i="8"/>
  <c r="F24" i="8" s="1"/>
  <c r="C84" i="8"/>
  <c r="F84" i="8" s="1"/>
  <c r="D84" i="8"/>
  <c r="G84" i="8" s="1"/>
  <c r="E84" i="8"/>
  <c r="H84" i="8" s="1"/>
  <c r="D30" i="8"/>
  <c r="G30" i="8" s="1"/>
  <c r="C30" i="8"/>
  <c r="F30" i="8" s="1"/>
  <c r="E30" i="8"/>
  <c r="H30" i="8" s="1"/>
  <c r="C44" i="8"/>
  <c r="F44" i="8" s="1"/>
  <c r="D44" i="8"/>
  <c r="G44" i="8" s="1"/>
  <c r="E44" i="8"/>
  <c r="H44" i="8" s="1"/>
  <c r="C26" i="8"/>
  <c r="F26" i="8" s="1"/>
  <c r="D26" i="8"/>
  <c r="G26" i="8" s="1"/>
  <c r="E26" i="8"/>
  <c r="H26" i="8" s="1"/>
  <c r="D96" i="8"/>
  <c r="G96" i="8" s="1"/>
  <c r="E96" i="8"/>
  <c r="H96" i="8" s="1"/>
  <c r="C96" i="8"/>
  <c r="F96" i="8" s="1"/>
  <c r="C46" i="8"/>
  <c r="F46" i="8" s="1"/>
  <c r="D46" i="8"/>
  <c r="G46" i="8" s="1"/>
  <c r="E46" i="8"/>
  <c r="H46" i="8" s="1"/>
  <c r="C17" i="8"/>
  <c r="F17" i="8" s="1"/>
  <c r="D17" i="8"/>
  <c r="G17" i="8" s="1"/>
  <c r="E17" i="8"/>
  <c r="H17" i="8" s="1"/>
  <c r="D72" i="8"/>
  <c r="G72" i="8" s="1"/>
  <c r="E72" i="8"/>
  <c r="H72" i="8" s="1"/>
  <c r="C72" i="8"/>
  <c r="F72" i="8" s="1"/>
  <c r="D48" i="8"/>
  <c r="G48" i="8" s="1"/>
  <c r="E48" i="8"/>
  <c r="H48" i="8" s="1"/>
  <c r="C48" i="8"/>
  <c r="F48" i="8" s="1"/>
  <c r="C11" i="8"/>
  <c r="F11" i="8" s="1"/>
  <c r="D11" i="8"/>
  <c r="G11" i="8" s="1"/>
  <c r="E11" i="8"/>
  <c r="H11" i="8" s="1"/>
  <c r="C76" i="8"/>
  <c r="F76" i="8" s="1"/>
  <c r="D76" i="8"/>
  <c r="G76" i="8" s="1"/>
  <c r="E76" i="8"/>
  <c r="H76" i="8" s="1"/>
  <c r="C16" i="8"/>
  <c r="F16" i="8" s="1"/>
  <c r="D16" i="8"/>
  <c r="G16" i="8" s="1"/>
  <c r="E16" i="8"/>
  <c r="H16" i="8" s="1"/>
  <c r="C41" i="8"/>
  <c r="F41" i="8" s="1"/>
  <c r="D41" i="8"/>
  <c r="G41" i="8" s="1"/>
  <c r="E41" i="8"/>
  <c r="H41" i="8" s="1"/>
  <c r="C23" i="8"/>
  <c r="F23" i="8" s="1"/>
  <c r="D23" i="8"/>
  <c r="G23" i="8" s="1"/>
  <c r="E23" i="8"/>
  <c r="H23" i="8" s="1"/>
  <c r="D42" i="8"/>
  <c r="G42" i="8" s="1"/>
  <c r="C42" i="8"/>
  <c r="F42" i="8" s="1"/>
  <c r="E42" i="8"/>
  <c r="H42" i="8" s="1"/>
  <c r="C8" i="8"/>
  <c r="F8" i="8" s="1"/>
  <c r="D8" i="8"/>
  <c r="G8" i="8" s="1"/>
  <c r="E8" i="8"/>
  <c r="H8" i="8" s="1"/>
  <c r="C58" i="8"/>
  <c r="F58" i="8" s="1"/>
  <c r="D58" i="8"/>
  <c r="G58" i="8" s="1"/>
  <c r="E58" i="8"/>
  <c r="H58" i="8" s="1"/>
  <c r="D83" i="8"/>
  <c r="G83" i="8" s="1"/>
  <c r="C83" i="8"/>
  <c r="F83" i="8" s="1"/>
  <c r="E83" i="8"/>
  <c r="H83" i="8" s="1"/>
  <c r="C59" i="8"/>
  <c r="F59" i="8" s="1"/>
  <c r="D59" i="8"/>
  <c r="G59" i="8" s="1"/>
  <c r="E59" i="8"/>
  <c r="H59" i="8" s="1"/>
  <c r="C13" i="8"/>
  <c r="F13" i="8" s="1"/>
  <c r="D13" i="8"/>
  <c r="G13" i="8" s="1"/>
  <c r="E13" i="8"/>
  <c r="H13" i="8" s="1"/>
  <c r="D85" i="8"/>
  <c r="G85" i="8" s="1"/>
  <c r="E85" i="8"/>
  <c r="H85" i="8" s="1"/>
  <c r="C85" i="8"/>
  <c r="F85" i="8" s="1"/>
  <c r="C61" i="8"/>
  <c r="F61" i="8" s="1"/>
  <c r="D61" i="8"/>
  <c r="G61" i="8" s="1"/>
  <c r="E61" i="8"/>
  <c r="H61" i="8" s="1"/>
  <c r="C101" i="8"/>
  <c r="F101" i="8" s="1"/>
  <c r="D101" i="8"/>
  <c r="G101" i="8" s="1"/>
  <c r="E101" i="8"/>
  <c r="H101" i="8" s="1"/>
  <c r="D12" i="8"/>
  <c r="G12" i="8" s="1"/>
  <c r="E12" i="8"/>
  <c r="H12" i="8" s="1"/>
  <c r="C12" i="8"/>
  <c r="F12" i="8" s="1"/>
  <c r="D6" i="8"/>
  <c r="G6" i="8" s="1"/>
  <c r="C6" i="8"/>
  <c r="F6" i="8" s="1"/>
  <c r="E6" i="8"/>
  <c r="H6" i="8" s="1"/>
  <c r="D86" i="8"/>
  <c r="G86" i="8" s="1"/>
  <c r="E86" i="8"/>
  <c r="H86" i="8" s="1"/>
  <c r="C86" i="8"/>
  <c r="F86" i="8" s="1"/>
  <c r="C68" i="8"/>
  <c r="F68" i="8" s="1"/>
  <c r="D68" i="8"/>
  <c r="G68" i="8" s="1"/>
  <c r="E68" i="8"/>
  <c r="H68" i="8" s="1"/>
  <c r="C93" i="8"/>
  <c r="F93" i="8" s="1"/>
  <c r="D93" i="8"/>
  <c r="G93" i="8" s="1"/>
  <c r="E93" i="8"/>
  <c r="H93" i="8" s="1"/>
  <c r="C38" i="8"/>
  <c r="F38" i="8" s="1"/>
  <c r="D38" i="8"/>
  <c r="G38" i="8" s="1"/>
  <c r="E38" i="8"/>
  <c r="H38" i="8" s="1"/>
  <c r="C19" i="8"/>
  <c r="F19" i="8" s="1"/>
  <c r="D19" i="8"/>
  <c r="G19" i="8" s="1"/>
  <c r="E19" i="8"/>
  <c r="H19" i="8" s="1"/>
  <c r="D36" i="8"/>
  <c r="G36" i="8" s="1"/>
  <c r="E36" i="8"/>
  <c r="H36" i="8" s="1"/>
  <c r="C36" i="8"/>
  <c r="F36" i="8" s="1"/>
  <c r="D97" i="8"/>
  <c r="G97" i="8" s="1"/>
  <c r="E97" i="8"/>
  <c r="H97" i="8" s="1"/>
  <c r="C97" i="8"/>
  <c r="F97" i="8" s="1"/>
  <c r="C50" i="8"/>
  <c r="F50" i="8" s="1"/>
  <c r="D50" i="8"/>
  <c r="G50" i="8" s="1"/>
  <c r="E50" i="8"/>
  <c r="H50" i="8" s="1"/>
  <c r="C79" i="8"/>
  <c r="F79" i="8" s="1"/>
  <c r="D79" i="8"/>
  <c r="G79" i="8" s="1"/>
  <c r="E79" i="8"/>
  <c r="H79" i="8" s="1"/>
  <c r="C55" i="8"/>
  <c r="F55" i="8" s="1"/>
  <c r="D55" i="8"/>
  <c r="G55" i="8" s="1"/>
  <c r="E55" i="8"/>
  <c r="H55" i="8" s="1"/>
  <c r="C10" i="8"/>
  <c r="F10" i="8" s="1"/>
  <c r="D10" i="8"/>
  <c r="G10" i="8" s="1"/>
  <c r="E10" i="8"/>
  <c r="H10" i="8" s="1"/>
  <c r="D81" i="8"/>
  <c r="G81" i="8" s="1"/>
  <c r="C81" i="8"/>
  <c r="F81" i="8" s="1"/>
  <c r="E81" i="8"/>
  <c r="H81" i="8" s="1"/>
  <c r="C57" i="8"/>
  <c r="F57" i="8" s="1"/>
  <c r="E57" i="8"/>
  <c r="H57" i="8" s="1"/>
  <c r="D57" i="8"/>
  <c r="G57" i="8" s="1"/>
  <c r="D94" i="8"/>
  <c r="G94" i="8" s="1"/>
  <c r="E94" i="8"/>
  <c r="H94" i="8" s="1"/>
  <c r="C94" i="8"/>
  <c r="F94" i="8" s="1"/>
  <c r="E78" i="8"/>
  <c r="H78" i="8" s="1"/>
  <c r="C78" i="8"/>
  <c r="F78" i="8" s="1"/>
  <c r="D78" i="8"/>
  <c r="G78" i="8" s="1"/>
  <c r="C35" i="8"/>
  <c r="F35" i="8" s="1"/>
  <c r="D35" i="8"/>
  <c r="G35" i="8" s="1"/>
  <c r="E35" i="8"/>
  <c r="H35" i="8" s="1"/>
  <c r="E15" i="8"/>
  <c r="H15" i="8" s="1"/>
  <c r="C15" i="8"/>
  <c r="F15" i="8" s="1"/>
  <c r="D15" i="8"/>
  <c r="G15" i="8" s="1"/>
  <c r="E27" i="8"/>
  <c r="H27" i="8" s="1"/>
  <c r="C27" i="8"/>
  <c r="F27" i="8" s="1"/>
  <c r="D27" i="8"/>
  <c r="G27" i="8" s="1"/>
  <c r="D90" i="8"/>
  <c r="G90" i="8" s="1"/>
  <c r="E90" i="8"/>
  <c r="H90" i="8" s="1"/>
  <c r="C90" i="8"/>
  <c r="F90" i="8" s="1"/>
  <c r="D104" i="8"/>
  <c r="G104" i="8" s="1"/>
  <c r="E104" i="8"/>
  <c r="H104" i="8" s="1"/>
  <c r="C104" i="8"/>
  <c r="F104" i="8" s="1"/>
  <c r="C75" i="8"/>
  <c r="F75" i="8" s="1"/>
  <c r="D75" i="8"/>
  <c r="G75" i="8" s="1"/>
  <c r="E75" i="8"/>
  <c r="H75" i="8" s="1"/>
  <c r="E51" i="8"/>
  <c r="H51" i="8" s="1"/>
  <c r="C51" i="8"/>
  <c r="F51" i="8" s="1"/>
  <c r="D51" i="8"/>
  <c r="G51" i="8" s="1"/>
  <c r="C7" i="8"/>
  <c r="F7" i="8" s="1"/>
  <c r="D7" i="8"/>
  <c r="G7" i="8" s="1"/>
  <c r="E7" i="8"/>
  <c r="H7" i="8" s="1"/>
  <c r="C77" i="8"/>
  <c r="F77" i="8" s="1"/>
  <c r="D77" i="8"/>
  <c r="G77" i="8" s="1"/>
  <c r="E77" i="8"/>
  <c r="H77" i="8" s="1"/>
  <c r="C53" i="8"/>
  <c r="F53" i="8" s="1"/>
  <c r="D53" i="8"/>
  <c r="G53" i="8" s="1"/>
  <c r="E53" i="8"/>
  <c r="H53" i="8" s="1"/>
  <c r="C43" i="8"/>
  <c r="F43" i="8" s="1"/>
  <c r="D43" i="8"/>
  <c r="G43" i="8" s="1"/>
  <c r="E43" i="8"/>
  <c r="H43" i="8" s="1"/>
  <c r="D100" i="8"/>
  <c r="G100" i="8" s="1"/>
  <c r="C100" i="8"/>
  <c r="F100" i="8" s="1"/>
  <c r="E100" i="8"/>
  <c r="H100" i="8" s="1"/>
  <c r="C71" i="8"/>
  <c r="F71" i="8" s="1"/>
  <c r="D71" i="8"/>
  <c r="G71" i="8" s="1"/>
  <c r="E71" i="8"/>
  <c r="H71" i="8" s="1"/>
  <c r="D103" i="8"/>
  <c r="G103" i="8" s="1"/>
  <c r="C103" i="8"/>
  <c r="F103" i="8" s="1"/>
  <c r="E103" i="8"/>
  <c r="H103" i="8" s="1"/>
  <c r="C4" i="8"/>
  <c r="F4" i="8" s="1"/>
  <c r="D4" i="8"/>
  <c r="G4" i="8" s="1"/>
  <c r="E4" i="8"/>
  <c r="H4" i="8" s="1"/>
  <c r="C73" i="8"/>
  <c r="F73" i="8" s="1"/>
  <c r="D73" i="8"/>
  <c r="G73" i="8" s="1"/>
  <c r="E73" i="8"/>
  <c r="H73" i="8" s="1"/>
  <c r="C49" i="8"/>
  <c r="F49" i="8" s="1"/>
  <c r="D49" i="8"/>
  <c r="G49" i="8" s="1"/>
  <c r="E49" i="8"/>
  <c r="H49" i="8" s="1"/>
  <c r="C2" i="4"/>
  <c r="D2" i="4" s="1"/>
  <c r="A2" i="4"/>
  <c r="N2" i="4"/>
  <c r="C22" i="1" l="1" a="1"/>
  <c r="C22" i="1" s="1"/>
  <c r="O50" i="1"/>
  <c r="O86" i="1"/>
  <c r="O122" i="1"/>
  <c r="O158" i="1"/>
  <c r="O32" i="1"/>
  <c r="O116" i="1"/>
  <c r="O56" i="1"/>
  <c r="O92" i="1"/>
  <c r="O128" i="1"/>
  <c r="O164" i="1"/>
  <c r="O44" i="1"/>
  <c r="O62" i="1"/>
  <c r="O98" i="1"/>
  <c r="O134" i="1"/>
  <c r="O8" i="1"/>
  <c r="O80" i="1"/>
  <c r="O68" i="1"/>
  <c r="O104" i="1"/>
  <c r="O140" i="1"/>
  <c r="O14" i="1"/>
  <c r="O152" i="1"/>
  <c r="O38" i="1"/>
  <c r="O74" i="1"/>
  <c r="O110" i="1"/>
  <c r="O146" i="1"/>
  <c r="O20" i="1"/>
  <c r="O26" i="1"/>
  <c r="O87" i="1"/>
  <c r="O51" i="1"/>
  <c r="O15" i="1"/>
  <c r="O70" i="1"/>
  <c r="O25" i="1"/>
  <c r="O151" i="1"/>
  <c r="O115" i="1"/>
  <c r="O73" i="1"/>
  <c r="O37" i="1"/>
  <c r="O12" i="1"/>
  <c r="O138" i="1"/>
  <c r="O102" i="1"/>
  <c r="O54" i="1"/>
  <c r="O23" i="1"/>
  <c r="O149" i="1"/>
  <c r="O113" i="1"/>
  <c r="O77" i="1"/>
  <c r="O41" i="1"/>
  <c r="O148" i="1"/>
  <c r="O112" i="1"/>
  <c r="O21" i="1"/>
  <c r="O135" i="1"/>
  <c r="O75" i="1"/>
  <c r="O81" i="1"/>
  <c r="O45" i="1"/>
  <c r="O9" i="1"/>
  <c r="O100" i="1"/>
  <c r="O52" i="1"/>
  <c r="O19" i="1"/>
  <c r="O145" i="1"/>
  <c r="O109" i="1"/>
  <c r="O67" i="1"/>
  <c r="O6" i="1"/>
  <c r="O132" i="1"/>
  <c r="O84" i="1"/>
  <c r="O48" i="1"/>
  <c r="O17" i="1"/>
  <c r="O143" i="1"/>
  <c r="O107" i="1"/>
  <c r="O71" i="1"/>
  <c r="O142" i="1"/>
  <c r="O106" i="1"/>
  <c r="O3" i="1"/>
  <c r="O129" i="1"/>
  <c r="O57" i="1"/>
  <c r="O28" i="1"/>
  <c r="O96" i="1"/>
  <c r="O13" i="1"/>
  <c r="O139" i="1"/>
  <c r="O103" i="1"/>
  <c r="O61" i="1"/>
  <c r="O2" i="1"/>
  <c r="O162" i="1"/>
  <c r="O126" i="1"/>
  <c r="O78" i="1"/>
  <c r="O42" i="1"/>
  <c r="O11" i="1"/>
  <c r="O137" i="1"/>
  <c r="O101" i="1"/>
  <c r="O65" i="1"/>
  <c r="O22" i="1"/>
  <c r="O136" i="1"/>
  <c r="O76" i="1"/>
  <c r="O159" i="1"/>
  <c r="O123" i="1"/>
  <c r="O39" i="1"/>
  <c r="O69" i="1"/>
  <c r="O33" i="1"/>
  <c r="O46" i="1"/>
  <c r="O90" i="1"/>
  <c r="O88" i="1"/>
  <c r="O7" i="1"/>
  <c r="O133" i="1"/>
  <c r="O91" i="1"/>
  <c r="O55" i="1"/>
  <c r="O30" i="1"/>
  <c r="O156" i="1"/>
  <c r="O120" i="1"/>
  <c r="O72" i="1"/>
  <c r="O36" i="1"/>
  <c r="O5" i="1"/>
  <c r="O131" i="1"/>
  <c r="O95" i="1"/>
  <c r="O59" i="1"/>
  <c r="O4" i="1"/>
  <c r="O130" i="1"/>
  <c r="O58" i="1"/>
  <c r="O153" i="1"/>
  <c r="O117" i="1"/>
  <c r="O16" i="1"/>
  <c r="O99" i="1"/>
  <c r="O63" i="1"/>
  <c r="O27" i="1"/>
  <c r="O10" i="1"/>
  <c r="O64" i="1"/>
  <c r="O163" i="1"/>
  <c r="O127" i="1"/>
  <c r="O85" i="1"/>
  <c r="O49" i="1"/>
  <c r="O24" i="1"/>
  <c r="O150" i="1"/>
  <c r="O114" i="1"/>
  <c r="O66" i="1"/>
  <c r="O35" i="1"/>
  <c r="O161" i="1"/>
  <c r="O125" i="1"/>
  <c r="O89" i="1"/>
  <c r="O53" i="1"/>
  <c r="O160" i="1"/>
  <c r="O124" i="1"/>
  <c r="O40" i="1"/>
  <c r="O147" i="1"/>
  <c r="O111" i="1"/>
  <c r="O93" i="1"/>
  <c r="O82" i="1"/>
  <c r="O97" i="1"/>
  <c r="O94" i="1"/>
  <c r="O34" i="1"/>
  <c r="O31" i="1"/>
  <c r="O157" i="1"/>
  <c r="O121" i="1"/>
  <c r="O79" i="1"/>
  <c r="O43" i="1"/>
  <c r="O18" i="1"/>
  <c r="O144" i="1"/>
  <c r="O108" i="1"/>
  <c r="O60" i="1"/>
  <c r="O29" i="1"/>
  <c r="O155" i="1"/>
  <c r="O119" i="1"/>
  <c r="O83" i="1"/>
  <c r="O47" i="1"/>
  <c r="O154" i="1"/>
  <c r="O118" i="1"/>
  <c r="O141" i="1"/>
  <c r="O105" i="1"/>
  <c r="AA2" i="4"/>
  <c r="D38" i="1" a="1"/>
  <c r="D38" i="1" s="1"/>
  <c r="D36" i="1" a="1"/>
  <c r="D36" i="1" s="1"/>
  <c r="D37" i="1" a="1"/>
  <c r="D37" i="1" s="1"/>
  <c r="K45" i="4"/>
  <c r="K51" i="4"/>
  <c r="K44" i="4"/>
  <c r="K43" i="4"/>
  <c r="K49" i="4"/>
  <c r="K55" i="4"/>
  <c r="K61" i="4"/>
  <c r="K67" i="4"/>
  <c r="K73" i="4"/>
  <c r="K48" i="4"/>
  <c r="K54" i="4"/>
  <c r="K47" i="4"/>
  <c r="K53" i="4"/>
  <c r="K46" i="4"/>
  <c r="K52" i="4"/>
  <c r="K59" i="4"/>
  <c r="K50" i="4"/>
  <c r="K57" i="4"/>
  <c r="K62" i="4"/>
  <c r="K64" i="4"/>
  <c r="K66" i="4"/>
  <c r="K78" i="4"/>
  <c r="K84" i="4"/>
  <c r="K58" i="4"/>
  <c r="K60" i="4"/>
  <c r="K77" i="4"/>
  <c r="K76" i="4"/>
  <c r="K82" i="4"/>
  <c r="K69" i="4"/>
  <c r="K71" i="4"/>
  <c r="K75" i="4"/>
  <c r="K81" i="4"/>
  <c r="K87" i="4"/>
  <c r="K90" i="4"/>
  <c r="K96" i="4"/>
  <c r="K102" i="4"/>
  <c r="K108" i="4"/>
  <c r="K114" i="4"/>
  <c r="K56" i="4"/>
  <c r="K63" i="4"/>
  <c r="K65" i="4"/>
  <c r="K74" i="4"/>
  <c r="K80" i="4"/>
  <c r="K86" i="4"/>
  <c r="K85" i="4"/>
  <c r="K119" i="4"/>
  <c r="K125" i="4"/>
  <c r="K131" i="4"/>
  <c r="K137" i="4"/>
  <c r="K143" i="4"/>
  <c r="K149" i="4"/>
  <c r="K155" i="4"/>
  <c r="K161" i="4"/>
  <c r="K167" i="4"/>
  <c r="K173" i="4"/>
  <c r="K179" i="4"/>
  <c r="K185" i="4"/>
  <c r="K191" i="4"/>
  <c r="K197" i="4"/>
  <c r="K203" i="4"/>
  <c r="K209" i="4"/>
  <c r="K215" i="4"/>
  <c r="K221" i="4"/>
  <c r="K227" i="4"/>
  <c r="K233" i="4"/>
  <c r="K239" i="4"/>
  <c r="K245" i="4"/>
  <c r="K251" i="4"/>
  <c r="K68" i="4"/>
  <c r="K70" i="4"/>
  <c r="K79" i="4"/>
  <c r="K91" i="4"/>
  <c r="K93" i="4"/>
  <c r="K100" i="4"/>
  <c r="K101" i="4"/>
  <c r="K109" i="4"/>
  <c r="K111" i="4"/>
  <c r="K104" i="4"/>
  <c r="K115" i="4"/>
  <c r="K117" i="4"/>
  <c r="K120" i="4"/>
  <c r="K121" i="4"/>
  <c r="K123" i="4"/>
  <c r="K126" i="4"/>
  <c r="K127" i="4"/>
  <c r="K129" i="4"/>
  <c r="K132" i="4"/>
  <c r="K133" i="4"/>
  <c r="K135" i="4"/>
  <c r="K138" i="4"/>
  <c r="K139" i="4"/>
  <c r="K141" i="4"/>
  <c r="K144" i="4"/>
  <c r="K145" i="4"/>
  <c r="K147" i="4"/>
  <c r="K150" i="4"/>
  <c r="K151" i="4"/>
  <c r="K153" i="4"/>
  <c r="K156" i="4"/>
  <c r="K157" i="4"/>
  <c r="K159" i="4"/>
  <c r="K162" i="4"/>
  <c r="K163" i="4"/>
  <c r="K165" i="4"/>
  <c r="K168" i="4"/>
  <c r="K169" i="4"/>
  <c r="K171" i="4"/>
  <c r="K174" i="4"/>
  <c r="K175" i="4"/>
  <c r="K177" i="4"/>
  <c r="K180" i="4"/>
  <c r="K181" i="4"/>
  <c r="K183" i="4"/>
  <c r="K186" i="4"/>
  <c r="K187" i="4"/>
  <c r="K189" i="4"/>
  <c r="K192" i="4"/>
  <c r="K193" i="4"/>
  <c r="K195" i="4"/>
  <c r="K198" i="4"/>
  <c r="K199" i="4"/>
  <c r="K201" i="4"/>
  <c r="K204" i="4"/>
  <c r="K205" i="4"/>
  <c r="K207" i="4"/>
  <c r="K210" i="4"/>
  <c r="K211" i="4"/>
  <c r="K213" i="4"/>
  <c r="K216" i="4"/>
  <c r="K217" i="4"/>
  <c r="K219" i="4"/>
  <c r="K222" i="4"/>
  <c r="K223" i="4"/>
  <c r="K225" i="4"/>
  <c r="K228" i="4"/>
  <c r="K229" i="4"/>
  <c r="K231" i="4"/>
  <c r="K234" i="4"/>
  <c r="K235" i="4"/>
  <c r="K237" i="4"/>
  <c r="K240" i="4"/>
  <c r="K241" i="4"/>
  <c r="K243" i="4"/>
  <c r="K246" i="4"/>
  <c r="K247" i="4"/>
  <c r="K249" i="4"/>
  <c r="K252" i="4"/>
  <c r="K88" i="4"/>
  <c r="K94" i="4"/>
  <c r="K95" i="4"/>
  <c r="K103" i="4"/>
  <c r="K105" i="4"/>
  <c r="K112" i="4"/>
  <c r="K113" i="4"/>
  <c r="K116" i="4"/>
  <c r="K118" i="4"/>
  <c r="K122" i="4"/>
  <c r="K124" i="4"/>
  <c r="K128" i="4"/>
  <c r="K130" i="4"/>
  <c r="K134" i="4"/>
  <c r="K136" i="4"/>
  <c r="K140" i="4"/>
  <c r="K142" i="4"/>
  <c r="K146" i="4"/>
  <c r="K148" i="4"/>
  <c r="K152" i="4"/>
  <c r="K154" i="4"/>
  <c r="K158" i="4"/>
  <c r="K160" i="4"/>
  <c r="K164" i="4"/>
  <c r="K166" i="4"/>
  <c r="K170" i="4"/>
  <c r="K172" i="4"/>
  <c r="K176" i="4"/>
  <c r="K178" i="4"/>
  <c r="K182" i="4"/>
  <c r="K184" i="4"/>
  <c r="K188" i="4"/>
  <c r="K190" i="4"/>
  <c r="K194" i="4"/>
  <c r="K196" i="4"/>
  <c r="K200" i="4"/>
  <c r="K202" i="4"/>
  <c r="K206" i="4"/>
  <c r="K208" i="4"/>
  <c r="K212" i="4"/>
  <c r="K214" i="4"/>
  <c r="K218" i="4"/>
  <c r="K220" i="4"/>
  <c r="K224" i="4"/>
  <c r="K226" i="4"/>
  <c r="K230" i="4"/>
  <c r="K232" i="4"/>
  <c r="K236" i="4"/>
  <c r="K238" i="4"/>
  <c r="K242" i="4"/>
  <c r="K244" i="4"/>
  <c r="K248" i="4"/>
  <c r="K250" i="4"/>
  <c r="K72" i="4"/>
  <c r="K83" i="4"/>
  <c r="K92" i="4"/>
  <c r="K107" i="4"/>
  <c r="K99" i="4"/>
  <c r="K106" i="4"/>
  <c r="K98" i="4"/>
  <c r="K97" i="4"/>
  <c r="K110" i="4"/>
  <c r="B2" i="8"/>
  <c r="C2" i="8" s="1"/>
  <c r="F2" i="8" s="1"/>
  <c r="I87" i="8"/>
  <c r="Q79" i="1" a="1"/>
  <c r="Q79" i="1" s="1"/>
  <c r="P84" i="1" a="1"/>
  <c r="P84" i="1" s="1"/>
  <c r="P83" i="1" a="1"/>
  <c r="P83" i="1" s="1"/>
  <c r="Q84" i="1" a="1"/>
  <c r="Q84" i="1" s="1"/>
  <c r="Q93" i="1" a="1"/>
  <c r="Q93" i="1" s="1"/>
  <c r="F71" i="1" a="1"/>
  <c r="F71" i="1" s="1"/>
  <c r="F48" i="1" a="1"/>
  <c r="F48" i="1" s="1"/>
  <c r="F85" i="1" a="1"/>
  <c r="F85" i="1" s="1"/>
  <c r="F76" i="1" a="1"/>
  <c r="F76" i="1" s="1"/>
  <c r="F31" i="1" a="1"/>
  <c r="F31" i="1" s="1"/>
  <c r="F63" i="1" a="1"/>
  <c r="F63" i="1" s="1"/>
  <c r="F68" i="1" a="1"/>
  <c r="F68" i="1" s="1"/>
  <c r="F60" i="1" a="1"/>
  <c r="F60" i="1" s="1"/>
  <c r="F18" i="1" a="1"/>
  <c r="F18" i="1" s="1"/>
  <c r="J2" i="1" a="1"/>
  <c r="J2" i="1" s="1"/>
  <c r="F2" i="1" a="1"/>
  <c r="F2" i="1" s="1"/>
  <c r="F52" i="1" a="1"/>
  <c r="F52" i="1" s="1"/>
  <c r="F95" i="1" a="1"/>
  <c r="F95" i="1" s="1"/>
  <c r="F19" i="1" a="1"/>
  <c r="F19" i="1" s="1"/>
  <c r="F8" i="1" a="1"/>
  <c r="F8" i="1" s="1"/>
  <c r="H11" i="1" a="1"/>
  <c r="H11" i="1" s="1"/>
  <c r="Q49" i="1" a="1"/>
  <c r="Q49" i="1" s="1"/>
  <c r="Q98" i="1" a="1"/>
  <c r="Q98" i="1" s="1"/>
  <c r="Q88" i="1" a="1"/>
  <c r="Q88" i="1" s="1"/>
  <c r="Q37" i="1" a="1"/>
  <c r="Q37" i="1" s="1"/>
  <c r="Q87" i="1" a="1"/>
  <c r="Q87" i="1" s="1"/>
  <c r="Q103" i="1" a="1"/>
  <c r="Q103" i="1" s="1"/>
  <c r="Q40" i="1" a="1"/>
  <c r="Q40" i="1" s="1"/>
  <c r="P104" i="1" a="1"/>
  <c r="P104" i="1" s="1"/>
  <c r="F66" i="1" a="1"/>
  <c r="F66" i="1" s="1"/>
  <c r="F98" i="1" a="1"/>
  <c r="F98" i="1" s="1"/>
  <c r="F72" i="1" a="1"/>
  <c r="F72" i="1" s="1"/>
  <c r="F92" i="1" a="1"/>
  <c r="F92" i="1" s="1"/>
  <c r="F77" i="1" a="1"/>
  <c r="F77" i="1" s="1"/>
  <c r="J8" i="1" a="1"/>
  <c r="J8" i="1" s="1"/>
  <c r="F22" i="1" a="1"/>
  <c r="F22" i="1" s="1"/>
  <c r="F87" i="1" a="1"/>
  <c r="F87" i="1" s="1"/>
  <c r="F89" i="1" a="1"/>
  <c r="F89" i="1" s="1"/>
  <c r="F15" i="1" a="1"/>
  <c r="F15" i="1" s="1"/>
  <c r="F29" i="1" a="1"/>
  <c r="F29" i="1" s="1"/>
  <c r="D8" i="1" a="1"/>
  <c r="D8" i="1" s="1"/>
  <c r="F88" i="1" a="1"/>
  <c r="F88" i="1" s="1"/>
  <c r="F51" i="1" a="1"/>
  <c r="F51" i="1" s="1"/>
  <c r="F83" i="1" a="1"/>
  <c r="F83" i="1" s="1"/>
  <c r="Q59" i="1" a="1"/>
  <c r="Q59" i="1" s="1"/>
  <c r="Q90" i="1" a="1"/>
  <c r="Q90" i="1" s="1"/>
  <c r="P108" i="1" a="1"/>
  <c r="P108" i="1" s="1"/>
  <c r="P113" i="1" a="1"/>
  <c r="P113" i="1" s="1"/>
  <c r="P121" i="1" a="1"/>
  <c r="P121" i="1" s="1"/>
  <c r="P125" i="1" a="1"/>
  <c r="P125" i="1" s="1"/>
  <c r="P130" i="1" a="1"/>
  <c r="P130" i="1" s="1"/>
  <c r="P134" i="1" a="1"/>
  <c r="P134" i="1" s="1"/>
  <c r="P142" i="1" a="1"/>
  <c r="P142" i="1" s="1"/>
  <c r="P154" i="1" a="1"/>
  <c r="P154" i="1" s="1"/>
  <c r="P158" i="1" a="1"/>
  <c r="P158" i="1" s="1"/>
  <c r="P162" i="1" a="1"/>
  <c r="P162" i="1" s="1"/>
  <c r="P167" i="1" a="1"/>
  <c r="P167" i="1" s="1"/>
  <c r="Q108" i="1" a="1"/>
  <c r="Q108" i="1" s="1"/>
  <c r="Q112" i="1" a="1"/>
  <c r="Q112" i="1" s="1"/>
  <c r="Q117" i="1" a="1"/>
  <c r="Q117" i="1" s="1"/>
  <c r="Q121" i="1" a="1"/>
  <c r="Q121" i="1" s="1"/>
  <c r="Q126" i="1" a="1"/>
  <c r="Q126" i="1" s="1"/>
  <c r="Q130" i="1" a="1"/>
  <c r="Q130" i="1" s="1"/>
  <c r="Q135" i="1" a="1"/>
  <c r="Q135" i="1" s="1"/>
  <c r="Q139" i="1" a="1"/>
  <c r="Q139" i="1" s="1"/>
  <c r="Q144" i="1" a="1"/>
  <c r="Q144" i="1" s="1"/>
  <c r="Q152" i="1" a="1"/>
  <c r="Q152" i="1" s="1"/>
  <c r="Q156" i="1" a="1"/>
  <c r="Q156" i="1" s="1"/>
  <c r="Q160" i="1" a="1"/>
  <c r="Q160" i="1" s="1"/>
  <c r="Q165" i="1" a="1"/>
  <c r="Q165" i="1" s="1"/>
  <c r="P109" i="1" a="1"/>
  <c r="P109" i="1" s="1"/>
  <c r="P117" i="1" a="1"/>
  <c r="P117" i="1" s="1"/>
  <c r="P122" i="1" a="1"/>
  <c r="P122" i="1" s="1"/>
  <c r="P138" i="1" a="1"/>
  <c r="P138" i="1" s="1"/>
  <c r="P146" i="1" a="1"/>
  <c r="P146" i="1" s="1"/>
  <c r="P150" i="1" a="1"/>
  <c r="P150" i="1" s="1"/>
  <c r="P163" i="1" a="1"/>
  <c r="P163" i="1" s="1"/>
  <c r="Q113" i="1" a="1"/>
  <c r="Q113" i="1" s="1"/>
  <c r="Q118" i="1" a="1"/>
  <c r="Q118" i="1" s="1"/>
  <c r="Q122" i="1" a="1"/>
  <c r="Q122" i="1" s="1"/>
  <c r="Q131" i="1" a="1"/>
  <c r="Q131" i="1" s="1"/>
  <c r="Q136" i="1" a="1"/>
  <c r="Q136" i="1" s="1"/>
  <c r="Q140" i="1" a="1"/>
  <c r="Q140" i="1" s="1"/>
  <c r="Q148" i="1" a="1"/>
  <c r="Q148" i="1" s="1"/>
  <c r="Q153" i="1" a="1"/>
  <c r="Q153" i="1" s="1"/>
  <c r="Q161" i="1" a="1"/>
  <c r="Q161" i="1" s="1"/>
  <c r="O166" i="1"/>
  <c r="M3" i="1" a="1"/>
  <c r="M3" i="1" s="1"/>
  <c r="M6" i="1" a="1"/>
  <c r="M6" i="1" s="1"/>
  <c r="M9" i="1" a="1"/>
  <c r="M9" i="1" s="1"/>
  <c r="M12" i="1" a="1"/>
  <c r="M12" i="1" s="1"/>
  <c r="P114" i="1" a="1"/>
  <c r="P114" i="1" s="1"/>
  <c r="P118" i="1" a="1"/>
  <c r="P118" i="1" s="1"/>
  <c r="P126" i="1" a="1"/>
  <c r="P126" i="1" s="1"/>
  <c r="P131" i="1" a="1"/>
  <c r="P131" i="1" s="1"/>
  <c r="P135" i="1" a="1"/>
  <c r="P135" i="1" s="1"/>
  <c r="P139" i="1" a="1"/>
  <c r="P139" i="1" s="1"/>
  <c r="P143" i="1" a="1"/>
  <c r="P143" i="1" s="1"/>
  <c r="P147" i="1" a="1"/>
  <c r="P147" i="1" s="1"/>
  <c r="P151" i="1" a="1"/>
  <c r="P151" i="1" s="1"/>
  <c r="P155" i="1" a="1"/>
  <c r="P155" i="1" s="1"/>
  <c r="P159" i="1" a="1"/>
  <c r="P159" i="1" s="1"/>
  <c r="P168" i="1" a="1"/>
  <c r="P168" i="1" s="1"/>
  <c r="Q109" i="1" a="1"/>
  <c r="Q109" i="1" s="1"/>
  <c r="Q119" i="1" a="1"/>
  <c r="Q119" i="1" s="1"/>
  <c r="Q127" i="1" a="1"/>
  <c r="Q127" i="1" s="1"/>
  <c r="Q137" i="1" a="1"/>
  <c r="Q137" i="1" s="1"/>
  <c r="Q145" i="1" a="1"/>
  <c r="Q145" i="1" s="1"/>
  <c r="Q149" i="1" a="1"/>
  <c r="Q149" i="1" s="1"/>
  <c r="Q157" i="1" a="1"/>
  <c r="Q157" i="1" s="1"/>
  <c r="Q162" i="1" a="1"/>
  <c r="Q162" i="1" s="1"/>
  <c r="Q166" i="1" a="1"/>
  <c r="Q166" i="1" s="1"/>
  <c r="O167" i="1"/>
  <c r="P106" i="1" a="1"/>
  <c r="P106" i="1" s="1"/>
  <c r="P110" i="1" a="1"/>
  <c r="P110" i="1" s="1"/>
  <c r="P115" i="1" a="1"/>
  <c r="P115" i="1" s="1"/>
  <c r="P123" i="1" a="1"/>
  <c r="P123" i="1" s="1"/>
  <c r="P127" i="1" a="1"/>
  <c r="P127" i="1" s="1"/>
  <c r="P132" i="1" a="1"/>
  <c r="P132" i="1" s="1"/>
  <c r="P136" i="1" a="1"/>
  <c r="P136" i="1" s="1"/>
  <c r="P140" i="1" a="1"/>
  <c r="P140" i="1" s="1"/>
  <c r="P148" i="1" a="1"/>
  <c r="P148" i="1" s="1"/>
  <c r="P160" i="1" a="1"/>
  <c r="P160" i="1" s="1"/>
  <c r="P164" i="1" a="1"/>
  <c r="P164" i="1" s="1"/>
  <c r="Q110" i="1" a="1"/>
  <c r="Q110" i="1" s="1"/>
  <c r="Q114" i="1" a="1"/>
  <c r="Q114" i="1" s="1"/>
  <c r="Q123" i="1" a="1"/>
  <c r="Q123" i="1" s="1"/>
  <c r="Q128" i="1" a="1"/>
  <c r="Q128" i="1" s="1"/>
  <c r="Q132" i="1" a="1"/>
  <c r="Q132" i="1" s="1"/>
  <c r="Q141" i="1" a="1"/>
  <c r="Q141" i="1" s="1"/>
  <c r="Q146" i="1" a="1"/>
  <c r="Q146" i="1" s="1"/>
  <c r="Q154" i="1" a="1"/>
  <c r="Q154" i="1" s="1"/>
  <c r="Q158" i="1" a="1"/>
  <c r="Q158" i="1" s="1"/>
  <c r="Q167" i="1" a="1"/>
  <c r="Q167" i="1" s="1"/>
  <c r="O168" i="1"/>
  <c r="M4" i="1" a="1"/>
  <c r="M4" i="1" s="1"/>
  <c r="M7" i="1" a="1"/>
  <c r="M7" i="1" s="1"/>
  <c r="M10" i="1" a="1"/>
  <c r="M10" i="1" s="1"/>
  <c r="M13" i="1" a="1"/>
  <c r="M13" i="1" s="1"/>
  <c r="M16" i="1" a="1"/>
  <c r="M16" i="1" s="1"/>
  <c r="P128" i="1" a="1"/>
  <c r="P128" i="1" s="1"/>
  <c r="P152" i="1" a="1"/>
  <c r="P152" i="1" s="1"/>
  <c r="P165" i="1" a="1"/>
  <c r="P165" i="1" s="1"/>
  <c r="Q106" i="1" a="1"/>
  <c r="Q106" i="1" s="1"/>
  <c r="Q120" i="1" a="1"/>
  <c r="Q120" i="1" s="1"/>
  <c r="Q133" i="1" a="1"/>
  <c r="Q133" i="1" s="1"/>
  <c r="O169" i="1"/>
  <c r="M8" i="1" a="1"/>
  <c r="M8" i="1" s="1"/>
  <c r="M14" i="1" a="1"/>
  <c r="M14" i="1" s="1"/>
  <c r="M18" i="1" a="1"/>
  <c r="M18" i="1" s="1"/>
  <c r="M22" i="1" a="1"/>
  <c r="M22" i="1" s="1"/>
  <c r="M29" i="1" a="1"/>
  <c r="M29" i="1" s="1"/>
  <c r="M36" i="1" a="1"/>
  <c r="M36" i="1" s="1"/>
  <c r="M40" i="1" a="1"/>
  <c r="M40" i="1" s="1"/>
  <c r="M47" i="1" a="1"/>
  <c r="M47" i="1" s="1"/>
  <c r="M54" i="1" a="1"/>
  <c r="M54" i="1" s="1"/>
  <c r="M58" i="1" a="1"/>
  <c r="M58" i="1" s="1"/>
  <c r="M65" i="1" a="1"/>
  <c r="M65" i="1" s="1"/>
  <c r="M72" i="1" a="1"/>
  <c r="M72" i="1" s="1"/>
  <c r="L3" i="1" a="1"/>
  <c r="L3" i="1" s="1"/>
  <c r="L6" i="1" a="1"/>
  <c r="L6" i="1" s="1"/>
  <c r="L9" i="1" a="1"/>
  <c r="L9" i="1" s="1"/>
  <c r="L12" i="1" a="1"/>
  <c r="L12" i="1" s="1"/>
  <c r="L15" i="1" a="1"/>
  <c r="L15" i="1" s="1"/>
  <c r="L18" i="1" a="1"/>
  <c r="L18" i="1" s="1"/>
  <c r="L21" i="1" a="1"/>
  <c r="L21" i="1" s="1"/>
  <c r="L24" i="1" a="1"/>
  <c r="L24" i="1" s="1"/>
  <c r="L27" i="1" a="1"/>
  <c r="L27" i="1" s="1"/>
  <c r="L30" i="1" a="1"/>
  <c r="L30" i="1" s="1"/>
  <c r="L36" i="1" a="1"/>
  <c r="L36" i="1" s="1"/>
  <c r="P116" i="1" a="1"/>
  <c r="P116" i="1" s="1"/>
  <c r="P129" i="1" a="1"/>
  <c r="P129" i="1" s="1"/>
  <c r="P141" i="1" a="1"/>
  <c r="P141" i="1" s="1"/>
  <c r="P153" i="1" a="1"/>
  <c r="P153" i="1" s="1"/>
  <c r="P166" i="1" a="1"/>
  <c r="P166" i="1" s="1"/>
  <c r="Q107" i="1" a="1"/>
  <c r="Q107" i="1" s="1"/>
  <c r="Q134" i="1" a="1"/>
  <c r="Q134" i="1" s="1"/>
  <c r="Q147" i="1" a="1"/>
  <c r="Q147" i="1" s="1"/>
  <c r="Q159" i="1" a="1"/>
  <c r="Q159" i="1" s="1"/>
  <c r="O170" i="1"/>
  <c r="M19" i="1" a="1"/>
  <c r="M19" i="1" s="1"/>
  <c r="M26" i="1" a="1"/>
  <c r="M26" i="1" s="1"/>
  <c r="M33" i="1" a="1"/>
  <c r="M33" i="1" s="1"/>
  <c r="M37" i="1" a="1"/>
  <c r="M37" i="1" s="1"/>
  <c r="M44" i="1" a="1"/>
  <c r="M44" i="1" s="1"/>
  <c r="M51" i="1" a="1"/>
  <c r="M51" i="1" s="1"/>
  <c r="M55" i="1" a="1"/>
  <c r="M55" i="1" s="1"/>
  <c r="M62" i="1" a="1"/>
  <c r="M62" i="1" s="1"/>
  <c r="M69" i="1" a="1"/>
  <c r="M69" i="1" s="1"/>
  <c r="M73" i="1" a="1"/>
  <c r="M73" i="1" s="1"/>
  <c r="M76" i="1" a="1"/>
  <c r="M76" i="1" s="1"/>
  <c r="M79" i="1" a="1"/>
  <c r="M79" i="1" s="1"/>
  <c r="M82" i="1" a="1"/>
  <c r="M82" i="1" s="1"/>
  <c r="P107" i="1" a="1"/>
  <c r="P107" i="1" s="1"/>
  <c r="P119" i="1" a="1"/>
  <c r="P119" i="1" s="1"/>
  <c r="P133" i="1" a="1"/>
  <c r="P133" i="1" s="1"/>
  <c r="P144" i="1" a="1"/>
  <c r="P144" i="1" s="1"/>
  <c r="P156" i="1" a="1"/>
  <c r="P156" i="1" s="1"/>
  <c r="Q111" i="1" a="1"/>
  <c r="Q111" i="1" s="1"/>
  <c r="Q124" i="1" a="1"/>
  <c r="Q124" i="1" s="1"/>
  <c r="Q138" i="1" a="1"/>
  <c r="Q138" i="1" s="1"/>
  <c r="Q150" i="1" a="1"/>
  <c r="Q150" i="1" s="1"/>
  <c r="Q163" i="1" a="1"/>
  <c r="Q163" i="1" s="1"/>
  <c r="M15" i="1" a="1"/>
  <c r="M15" i="1" s="1"/>
  <c r="M23" i="1" a="1"/>
  <c r="M23" i="1" s="1"/>
  <c r="M30" i="1" a="1"/>
  <c r="M30" i="1" s="1"/>
  <c r="M34" i="1" a="1"/>
  <c r="M34" i="1" s="1"/>
  <c r="M41" i="1" a="1"/>
  <c r="M41" i="1" s="1"/>
  <c r="M48" i="1" a="1"/>
  <c r="M48" i="1" s="1"/>
  <c r="M52" i="1" a="1"/>
  <c r="M52" i="1" s="1"/>
  <c r="M59" i="1" a="1"/>
  <c r="M59" i="1" s="1"/>
  <c r="M66" i="1" a="1"/>
  <c r="M66" i="1" s="1"/>
  <c r="M70" i="1" a="1"/>
  <c r="M70" i="1" s="1"/>
  <c r="P120" i="1" a="1"/>
  <c r="P120" i="1" s="1"/>
  <c r="P145" i="1" a="1"/>
  <c r="P145" i="1" s="1"/>
  <c r="P157" i="1" a="1"/>
  <c r="P157" i="1" s="1"/>
  <c r="Q125" i="1" a="1"/>
  <c r="Q125" i="1" s="1"/>
  <c r="Q151" i="1" a="1"/>
  <c r="Q151" i="1" s="1"/>
  <c r="Q164" i="1" a="1"/>
  <c r="Q164" i="1" s="1"/>
  <c r="M5" i="1" a="1"/>
  <c r="M5" i="1" s="1"/>
  <c r="M11" i="1" a="1"/>
  <c r="M11" i="1" s="1"/>
  <c r="M20" i="1" a="1"/>
  <c r="M20" i="1" s="1"/>
  <c r="M27" i="1" a="1"/>
  <c r="M27" i="1" s="1"/>
  <c r="M31" i="1" a="1"/>
  <c r="M31" i="1" s="1"/>
  <c r="M38" i="1" a="1"/>
  <c r="M38" i="1" s="1"/>
  <c r="M45" i="1" a="1"/>
  <c r="M45" i="1" s="1"/>
  <c r="M49" i="1" a="1"/>
  <c r="M49" i="1" s="1"/>
  <c r="M56" i="1" a="1"/>
  <c r="M56" i="1" s="1"/>
  <c r="M63" i="1" a="1"/>
  <c r="M63" i="1" s="1"/>
  <c r="M67" i="1" a="1"/>
  <c r="M67" i="1" s="1"/>
  <c r="M74" i="1" a="1"/>
  <c r="M74" i="1" s="1"/>
  <c r="M77" i="1" a="1"/>
  <c r="M77" i="1" s="1"/>
  <c r="M80" i="1" a="1"/>
  <c r="M80" i="1" s="1"/>
  <c r="M83" i="1" a="1"/>
  <c r="M83" i="1" s="1"/>
  <c r="M86" i="1" a="1"/>
  <c r="M86" i="1" s="1"/>
  <c r="M89" i="1" a="1"/>
  <c r="M89" i="1" s="1"/>
  <c r="M92" i="1" a="1"/>
  <c r="M92" i="1" s="1"/>
  <c r="M95" i="1" a="1"/>
  <c r="M95" i="1" s="1"/>
  <c r="M98" i="1" a="1"/>
  <c r="M98" i="1" s="1"/>
  <c r="M101" i="1" a="1"/>
  <c r="M101" i="1" s="1"/>
  <c r="P111" i="1" a="1"/>
  <c r="P111" i="1" s="1"/>
  <c r="P124" i="1" a="1"/>
  <c r="P124" i="1" s="1"/>
  <c r="P161" i="1" a="1"/>
  <c r="P161" i="1" s="1"/>
  <c r="Q115" i="1" a="1"/>
  <c r="Q115" i="1" s="1"/>
  <c r="Q129" i="1" a="1"/>
  <c r="Q129" i="1" s="1"/>
  <c r="Q142" i="1" a="1"/>
  <c r="Q142" i="1" s="1"/>
  <c r="Q155" i="1" a="1"/>
  <c r="Q155" i="1" s="1"/>
  <c r="O165" i="1"/>
  <c r="M17" i="1" a="1"/>
  <c r="M17" i="1" s="1"/>
  <c r="M24" i="1" a="1"/>
  <c r="M24" i="1" s="1"/>
  <c r="M28" i="1" a="1"/>
  <c r="M28" i="1" s="1"/>
  <c r="M35" i="1" a="1"/>
  <c r="M35" i="1" s="1"/>
  <c r="M42" i="1" a="1"/>
  <c r="M42" i="1" s="1"/>
  <c r="M46" i="1" a="1"/>
  <c r="M46" i="1" s="1"/>
  <c r="M53" i="1" a="1"/>
  <c r="M53" i="1" s="1"/>
  <c r="M60" i="1" a="1"/>
  <c r="M60" i="1" s="1"/>
  <c r="M64" i="1" a="1"/>
  <c r="M64" i="1" s="1"/>
  <c r="M71" i="1" a="1"/>
  <c r="M71" i="1" s="1"/>
  <c r="L5" i="1" a="1"/>
  <c r="L5" i="1" s="1"/>
  <c r="L8" i="1" a="1"/>
  <c r="L8" i="1" s="1"/>
  <c r="L11" i="1" a="1"/>
  <c r="L11" i="1" s="1"/>
  <c r="L14" i="1" a="1"/>
  <c r="L14" i="1" s="1"/>
  <c r="L17" i="1" a="1"/>
  <c r="L17" i="1" s="1"/>
  <c r="L20" i="1" a="1"/>
  <c r="L20" i="1" s="1"/>
  <c r="L23" i="1" a="1"/>
  <c r="L23" i="1" s="1"/>
  <c r="L26" i="1" a="1"/>
  <c r="L26" i="1" s="1"/>
  <c r="L29" i="1" a="1"/>
  <c r="L29" i="1" s="1"/>
  <c r="L32" i="1" a="1"/>
  <c r="L32" i="1" s="1"/>
  <c r="L35" i="1" a="1"/>
  <c r="L35" i="1" s="1"/>
  <c r="L38" i="1" a="1"/>
  <c r="L38" i="1" s="1"/>
  <c r="P112" i="1" a="1"/>
  <c r="P112" i="1" s="1"/>
  <c r="Q116" i="1" a="1"/>
  <c r="Q116" i="1" s="1"/>
  <c r="M39" i="1" a="1"/>
  <c r="M39" i="1" s="1"/>
  <c r="M61" i="1" a="1"/>
  <c r="M61" i="1" s="1"/>
  <c r="M81" i="1" a="1"/>
  <c r="M81" i="1" s="1"/>
  <c r="M106" i="1" a="1"/>
  <c r="M106" i="1" s="1"/>
  <c r="M110" i="1" a="1"/>
  <c r="M110" i="1" s="1"/>
  <c r="M115" i="1" a="1"/>
  <c r="M115" i="1" s="1"/>
  <c r="M119" i="1" a="1"/>
  <c r="M119" i="1" s="1"/>
  <c r="M124" i="1" a="1"/>
  <c r="M124" i="1" s="1"/>
  <c r="M128" i="1" a="1"/>
  <c r="M128" i="1" s="1"/>
  <c r="M133" i="1" a="1"/>
  <c r="M133" i="1" s="1"/>
  <c r="M137" i="1" a="1"/>
  <c r="M137" i="1" s="1"/>
  <c r="M142" i="1" a="1"/>
  <c r="M142" i="1" s="1"/>
  <c r="M146" i="1" a="1"/>
  <c r="M146" i="1" s="1"/>
  <c r="M151" i="1" a="1"/>
  <c r="M151" i="1" s="1"/>
  <c r="M155" i="1" a="1"/>
  <c r="M155" i="1" s="1"/>
  <c r="M160" i="1" a="1"/>
  <c r="M160" i="1" s="1"/>
  <c r="M164" i="1" a="1"/>
  <c r="M164" i="1" s="1"/>
  <c r="M169" i="1" a="1"/>
  <c r="M169" i="1" s="1"/>
  <c r="L40" i="1" a="1"/>
  <c r="L40" i="1" s="1"/>
  <c r="L43" i="1" a="1"/>
  <c r="L43" i="1" s="1"/>
  <c r="L46" i="1" a="1"/>
  <c r="L46" i="1" s="1"/>
  <c r="L49" i="1" a="1"/>
  <c r="L49" i="1" s="1"/>
  <c r="M21" i="1" a="1"/>
  <c r="M21" i="1" s="1"/>
  <c r="M43" i="1" a="1"/>
  <c r="M43" i="1" s="1"/>
  <c r="M84" i="1" a="1"/>
  <c r="M84" i="1" s="1"/>
  <c r="M90" i="1" a="1"/>
  <c r="M90" i="1" s="1"/>
  <c r="M96" i="1" a="1"/>
  <c r="M96" i="1" s="1"/>
  <c r="M102" i="1" a="1"/>
  <c r="M102" i="1" s="1"/>
  <c r="M111" i="1" a="1"/>
  <c r="M111" i="1" s="1"/>
  <c r="M120" i="1" a="1"/>
  <c r="M120" i="1" s="1"/>
  <c r="M129" i="1" a="1"/>
  <c r="M129" i="1" s="1"/>
  <c r="M138" i="1" a="1"/>
  <c r="M138" i="1" s="1"/>
  <c r="M147" i="1" a="1"/>
  <c r="M147" i="1" s="1"/>
  <c r="M156" i="1" a="1"/>
  <c r="M156" i="1" s="1"/>
  <c r="M165" i="1" a="1"/>
  <c r="M165" i="1" s="1"/>
  <c r="L10" i="1" a="1"/>
  <c r="L10" i="1" s="1"/>
  <c r="L19" i="1" a="1"/>
  <c r="L19" i="1" s="1"/>
  <c r="L28" i="1" a="1"/>
  <c r="L28" i="1" s="1"/>
  <c r="L37" i="1" a="1"/>
  <c r="L37" i="1" s="1"/>
  <c r="P137" i="1" a="1"/>
  <c r="P137" i="1" s="1"/>
  <c r="Q143" i="1" a="1"/>
  <c r="Q143" i="1" s="1"/>
  <c r="M25" i="1" a="1"/>
  <c r="M25" i="1" s="1"/>
  <c r="M68" i="1" a="1"/>
  <c r="M68" i="1" s="1"/>
  <c r="M85" i="1" a="1"/>
  <c r="M85" i="1" s="1"/>
  <c r="M91" i="1" a="1"/>
  <c r="M91" i="1" s="1"/>
  <c r="M97" i="1" a="1"/>
  <c r="M97" i="1" s="1"/>
  <c r="M103" i="1" a="1"/>
  <c r="M103" i="1" s="1"/>
  <c r="M107" i="1" a="1"/>
  <c r="M107" i="1" s="1"/>
  <c r="M112" i="1" a="1"/>
  <c r="M112" i="1" s="1"/>
  <c r="M116" i="1" a="1"/>
  <c r="M116" i="1" s="1"/>
  <c r="M121" i="1" a="1"/>
  <c r="M121" i="1" s="1"/>
  <c r="M125" i="1" a="1"/>
  <c r="M125" i="1" s="1"/>
  <c r="M130" i="1" a="1"/>
  <c r="M130" i="1" s="1"/>
  <c r="M134" i="1" a="1"/>
  <c r="M134" i="1" s="1"/>
  <c r="M139" i="1" a="1"/>
  <c r="M139" i="1" s="1"/>
  <c r="M143" i="1" a="1"/>
  <c r="M143" i="1" s="1"/>
  <c r="M148" i="1" a="1"/>
  <c r="M148" i="1" s="1"/>
  <c r="M152" i="1" a="1"/>
  <c r="M152" i="1" s="1"/>
  <c r="M157" i="1" a="1"/>
  <c r="M157" i="1" s="1"/>
  <c r="M161" i="1" a="1"/>
  <c r="M161" i="1" s="1"/>
  <c r="M166" i="1" a="1"/>
  <c r="M166" i="1" s="1"/>
  <c r="P149" i="1" a="1"/>
  <c r="P149" i="1" s="1"/>
  <c r="M50" i="1" a="1"/>
  <c r="M50" i="1" s="1"/>
  <c r="M108" i="1" a="1"/>
  <c r="M108" i="1" s="1"/>
  <c r="M117" i="1" a="1"/>
  <c r="M117" i="1" s="1"/>
  <c r="M126" i="1" a="1"/>
  <c r="M126" i="1" s="1"/>
  <c r="M135" i="1" a="1"/>
  <c r="M135" i="1" s="1"/>
  <c r="M144" i="1" a="1"/>
  <c r="M144" i="1" s="1"/>
  <c r="M153" i="1" a="1"/>
  <c r="M153" i="1" s="1"/>
  <c r="M162" i="1" a="1"/>
  <c r="M162" i="1" s="1"/>
  <c r="M2" i="1" a="1"/>
  <c r="M2" i="1" s="1"/>
  <c r="L7" i="1" a="1"/>
  <c r="L7" i="1" s="1"/>
  <c r="L16" i="1" a="1"/>
  <c r="L16" i="1" s="1"/>
  <c r="L25" i="1" a="1"/>
  <c r="L25" i="1" s="1"/>
  <c r="L34" i="1" a="1"/>
  <c r="L34" i="1" s="1"/>
  <c r="K37" i="1" a="1"/>
  <c r="K37" i="1" s="1"/>
  <c r="Q168" i="1" a="1"/>
  <c r="Q168" i="1" s="1"/>
  <c r="M32" i="1" a="1"/>
  <c r="M32" i="1" s="1"/>
  <c r="M75" i="1" a="1"/>
  <c r="M75" i="1" s="1"/>
  <c r="M87" i="1" a="1"/>
  <c r="M87" i="1" s="1"/>
  <c r="M93" i="1" a="1"/>
  <c r="M93" i="1" s="1"/>
  <c r="M99" i="1" a="1"/>
  <c r="M99" i="1" s="1"/>
  <c r="M104" i="1" a="1"/>
  <c r="M104" i="1" s="1"/>
  <c r="M109" i="1" a="1"/>
  <c r="M109" i="1" s="1"/>
  <c r="M113" i="1" a="1"/>
  <c r="M113" i="1" s="1"/>
  <c r="M118" i="1" a="1"/>
  <c r="M118" i="1" s="1"/>
  <c r="M122" i="1" a="1"/>
  <c r="M122" i="1" s="1"/>
  <c r="M127" i="1" a="1"/>
  <c r="M127" i="1" s="1"/>
  <c r="M131" i="1" a="1"/>
  <c r="M131" i="1" s="1"/>
  <c r="M136" i="1" a="1"/>
  <c r="M136" i="1" s="1"/>
  <c r="M140" i="1" a="1"/>
  <c r="M140" i="1" s="1"/>
  <c r="M145" i="1" a="1"/>
  <c r="M145" i="1" s="1"/>
  <c r="M149" i="1" a="1"/>
  <c r="M149" i="1" s="1"/>
  <c r="M154" i="1" a="1"/>
  <c r="M154" i="1" s="1"/>
  <c r="M158" i="1" a="1"/>
  <c r="M158" i="1" s="1"/>
  <c r="M163" i="1" a="1"/>
  <c r="M163" i="1" s="1"/>
  <c r="M167" i="1" a="1"/>
  <c r="M167" i="1" s="1"/>
  <c r="L39" i="1" a="1"/>
  <c r="L39" i="1" s="1"/>
  <c r="L42" i="1" a="1"/>
  <c r="L42" i="1" s="1"/>
  <c r="L45" i="1" a="1"/>
  <c r="L45" i="1" s="1"/>
  <c r="L48" i="1" a="1"/>
  <c r="L48" i="1" s="1"/>
  <c r="L51" i="1" a="1"/>
  <c r="L51" i="1" s="1"/>
  <c r="L54" i="1" a="1"/>
  <c r="L54" i="1" s="1"/>
  <c r="L60" i="1" a="1"/>
  <c r="L60" i="1" s="1"/>
  <c r="L63" i="1" a="1"/>
  <c r="L63" i="1" s="1"/>
  <c r="L66" i="1" a="1"/>
  <c r="L66" i="1" s="1"/>
  <c r="L69" i="1" a="1"/>
  <c r="L69" i="1" s="1"/>
  <c r="L72" i="1" a="1"/>
  <c r="L72" i="1" s="1"/>
  <c r="L75" i="1" a="1"/>
  <c r="L75" i="1" s="1"/>
  <c r="L78" i="1" a="1"/>
  <c r="L78" i="1" s="1"/>
  <c r="L81" i="1" a="1"/>
  <c r="L81" i="1" s="1"/>
  <c r="L84" i="1" a="1"/>
  <c r="L84" i="1" s="1"/>
  <c r="L87" i="1" a="1"/>
  <c r="L87" i="1" s="1"/>
  <c r="M78" i="1" a="1"/>
  <c r="M78" i="1" s="1"/>
  <c r="M114" i="1" a="1"/>
  <c r="M114" i="1" s="1"/>
  <c r="M141" i="1" a="1"/>
  <c r="M141" i="1" s="1"/>
  <c r="M168" i="1" a="1"/>
  <c r="M168" i="1" s="1"/>
  <c r="L13" i="1" a="1"/>
  <c r="L13" i="1" s="1"/>
  <c r="L55" i="1" a="1"/>
  <c r="L55" i="1" s="1"/>
  <c r="L61" i="1" a="1"/>
  <c r="L61" i="1" s="1"/>
  <c r="L67" i="1" a="1"/>
  <c r="L67" i="1" s="1"/>
  <c r="L73" i="1" a="1"/>
  <c r="L73" i="1" s="1"/>
  <c r="L79" i="1" a="1"/>
  <c r="L79" i="1" s="1"/>
  <c r="L85" i="1" a="1"/>
  <c r="L85" i="1" s="1"/>
  <c r="L95" i="1" a="1"/>
  <c r="L95" i="1" s="1"/>
  <c r="L104" i="1" a="1"/>
  <c r="L104" i="1" s="1"/>
  <c r="L113" i="1" a="1"/>
  <c r="L113" i="1" s="1"/>
  <c r="L122" i="1" a="1"/>
  <c r="L122" i="1" s="1"/>
  <c r="L131" i="1" a="1"/>
  <c r="L131" i="1" s="1"/>
  <c r="L140" i="1" a="1"/>
  <c r="L140" i="1" s="1"/>
  <c r="L149" i="1" a="1"/>
  <c r="L149" i="1" s="1"/>
  <c r="L158" i="1" a="1"/>
  <c r="L158" i="1" s="1"/>
  <c r="L167" i="1" a="1"/>
  <c r="L167" i="1" s="1"/>
  <c r="K39" i="1" a="1"/>
  <c r="K39" i="1" s="1"/>
  <c r="K82" i="1" a="1"/>
  <c r="K82" i="1" s="1"/>
  <c r="K88" i="1" a="1"/>
  <c r="K88" i="1" s="1"/>
  <c r="K94" i="1" a="1"/>
  <c r="K94" i="1" s="1"/>
  <c r="K100" i="1" a="1"/>
  <c r="K100" i="1" s="1"/>
  <c r="K106" i="1" a="1"/>
  <c r="K106" i="1" s="1"/>
  <c r="K112" i="1" a="1"/>
  <c r="K112" i="1" s="1"/>
  <c r="K118" i="1" a="1"/>
  <c r="K118" i="1" s="1"/>
  <c r="K124" i="1" a="1"/>
  <c r="K124" i="1" s="1"/>
  <c r="K130" i="1" a="1"/>
  <c r="K130" i="1" s="1"/>
  <c r="K136" i="1" a="1"/>
  <c r="K136" i="1" s="1"/>
  <c r="K142" i="1" a="1"/>
  <c r="K142" i="1" s="1"/>
  <c r="K148" i="1" a="1"/>
  <c r="K148" i="1" s="1"/>
  <c r="K154" i="1" a="1"/>
  <c r="K154" i="1" s="1"/>
  <c r="K160" i="1" a="1"/>
  <c r="K160" i="1" s="1"/>
  <c r="K166" i="1" a="1"/>
  <c r="K166" i="1" s="1"/>
  <c r="H4" i="1" a="1"/>
  <c r="H4" i="1" s="1"/>
  <c r="H17" i="1" a="1"/>
  <c r="H17" i="1" s="1"/>
  <c r="H23" i="1" a="1"/>
  <c r="H23" i="1" s="1"/>
  <c r="H29" i="1" a="1"/>
  <c r="H29" i="1" s="1"/>
  <c r="H35" i="1" a="1"/>
  <c r="H35" i="1" s="1"/>
  <c r="H41" i="1" a="1"/>
  <c r="H41" i="1" s="1"/>
  <c r="H47" i="1" a="1"/>
  <c r="H47" i="1" s="1"/>
  <c r="H53" i="1" a="1"/>
  <c r="H53" i="1" s="1"/>
  <c r="H59" i="1" a="1"/>
  <c r="H59" i="1" s="1"/>
  <c r="H65" i="1" a="1"/>
  <c r="H65" i="1" s="1"/>
  <c r="H71" i="1" a="1"/>
  <c r="H71" i="1" s="1"/>
  <c r="H77" i="1" a="1"/>
  <c r="H77" i="1" s="1"/>
  <c r="H83" i="1" a="1"/>
  <c r="H83" i="1" s="1"/>
  <c r="H89" i="1" a="1"/>
  <c r="H89" i="1" s="1"/>
  <c r="H95" i="1" a="1"/>
  <c r="H95" i="1" s="1"/>
  <c r="H101" i="1" a="1"/>
  <c r="H101" i="1" s="1"/>
  <c r="M88" i="1" a="1"/>
  <c r="M88" i="1" s="1"/>
  <c r="M170" i="1" a="1"/>
  <c r="M170" i="1" s="1"/>
  <c r="L41" i="1" a="1"/>
  <c r="L41" i="1" s="1"/>
  <c r="L50" i="1" a="1"/>
  <c r="L50" i="1" s="1"/>
  <c r="L56" i="1" a="1"/>
  <c r="L56" i="1" s="1"/>
  <c r="L62" i="1" a="1"/>
  <c r="L62" i="1" s="1"/>
  <c r="L68" i="1" a="1"/>
  <c r="L68" i="1" s="1"/>
  <c r="L74" i="1" a="1"/>
  <c r="L74" i="1" s="1"/>
  <c r="L80" i="1" a="1"/>
  <c r="L80" i="1" s="1"/>
  <c r="L86" i="1" a="1"/>
  <c r="L86" i="1" s="1"/>
  <c r="L91" i="1" a="1"/>
  <c r="L91" i="1" s="1"/>
  <c r="L96" i="1" a="1"/>
  <c r="L96" i="1" s="1"/>
  <c r="L100" i="1" a="1"/>
  <c r="L100" i="1" s="1"/>
  <c r="L105" i="1" a="1"/>
  <c r="L105" i="1" s="1"/>
  <c r="L109" i="1" a="1"/>
  <c r="L109" i="1" s="1"/>
  <c r="L114" i="1" a="1"/>
  <c r="L114" i="1" s="1"/>
  <c r="L118" i="1" a="1"/>
  <c r="L118" i="1" s="1"/>
  <c r="L123" i="1" a="1"/>
  <c r="L123" i="1" s="1"/>
  <c r="L127" i="1" a="1"/>
  <c r="L127" i="1" s="1"/>
  <c r="L132" i="1" a="1"/>
  <c r="L132" i="1" s="1"/>
  <c r="L136" i="1" a="1"/>
  <c r="L136" i="1" s="1"/>
  <c r="L141" i="1" a="1"/>
  <c r="L141" i="1" s="1"/>
  <c r="L145" i="1" a="1"/>
  <c r="L145" i="1" s="1"/>
  <c r="L150" i="1" a="1"/>
  <c r="L150" i="1" s="1"/>
  <c r="L154" i="1" a="1"/>
  <c r="L154" i="1" s="1"/>
  <c r="L159" i="1" a="1"/>
  <c r="L159" i="1" s="1"/>
  <c r="L163" i="1" a="1"/>
  <c r="L163" i="1" s="1"/>
  <c r="L168" i="1" a="1"/>
  <c r="L168" i="1" s="1"/>
  <c r="K40" i="1" a="1"/>
  <c r="K40" i="1" s="1"/>
  <c r="K47" i="1" a="1"/>
  <c r="K47" i="1" s="1"/>
  <c r="K59" i="1" a="1"/>
  <c r="K59" i="1" s="1"/>
  <c r="K83" i="1" a="1"/>
  <c r="K83" i="1" s="1"/>
  <c r="K89" i="1" a="1"/>
  <c r="K89" i="1" s="1"/>
  <c r="K95" i="1" a="1"/>
  <c r="K95" i="1" s="1"/>
  <c r="K101" i="1" a="1"/>
  <c r="K101" i="1" s="1"/>
  <c r="K107" i="1" a="1"/>
  <c r="K107" i="1" s="1"/>
  <c r="K113" i="1" a="1"/>
  <c r="K113" i="1" s="1"/>
  <c r="K119" i="1" a="1"/>
  <c r="K119" i="1" s="1"/>
  <c r="K125" i="1" a="1"/>
  <c r="K125" i="1" s="1"/>
  <c r="K131" i="1" a="1"/>
  <c r="K131" i="1" s="1"/>
  <c r="K137" i="1" a="1"/>
  <c r="K137" i="1" s="1"/>
  <c r="K143" i="1" a="1"/>
  <c r="K143" i="1" s="1"/>
  <c r="K149" i="1" a="1"/>
  <c r="K149" i="1" s="1"/>
  <c r="K155" i="1" a="1"/>
  <c r="K155" i="1" s="1"/>
  <c r="K161" i="1" a="1"/>
  <c r="K161" i="1" s="1"/>
  <c r="K167" i="1" a="1"/>
  <c r="K167" i="1" s="1"/>
  <c r="H12" i="1" a="1"/>
  <c r="H12" i="1" s="1"/>
  <c r="H18" i="1" a="1"/>
  <c r="H18" i="1" s="1"/>
  <c r="H24" i="1" a="1"/>
  <c r="H24" i="1" s="1"/>
  <c r="H30" i="1" a="1"/>
  <c r="H30" i="1" s="1"/>
  <c r="H36" i="1" a="1"/>
  <c r="H36" i="1" s="1"/>
  <c r="H42" i="1" a="1"/>
  <c r="H42" i="1" s="1"/>
  <c r="H48" i="1" a="1"/>
  <c r="H48" i="1" s="1"/>
  <c r="H54" i="1" a="1"/>
  <c r="H54" i="1" s="1"/>
  <c r="H60" i="1" a="1"/>
  <c r="H60" i="1" s="1"/>
  <c r="H66" i="1" a="1"/>
  <c r="H66" i="1" s="1"/>
  <c r="H72" i="1" a="1"/>
  <c r="H72" i="1" s="1"/>
  <c r="H78" i="1" a="1"/>
  <c r="H78" i="1" s="1"/>
  <c r="H84" i="1" a="1"/>
  <c r="H84" i="1" s="1"/>
  <c r="H90" i="1" a="1"/>
  <c r="H90" i="1" s="1"/>
  <c r="H96" i="1" a="1"/>
  <c r="H96" i="1" s="1"/>
  <c r="M94" i="1" a="1"/>
  <c r="M94" i="1" s="1"/>
  <c r="M123" i="1" a="1"/>
  <c r="M123" i="1" s="1"/>
  <c r="M150" i="1" a="1"/>
  <c r="M150" i="1" s="1"/>
  <c r="L31" i="1" a="1"/>
  <c r="L31" i="1" s="1"/>
  <c r="L92" i="1" a="1"/>
  <c r="L92" i="1" s="1"/>
  <c r="L101" i="1" a="1"/>
  <c r="L101" i="1" s="1"/>
  <c r="L110" i="1" a="1"/>
  <c r="L110" i="1" s="1"/>
  <c r="L119" i="1" a="1"/>
  <c r="L119" i="1" s="1"/>
  <c r="L128" i="1" a="1"/>
  <c r="L128" i="1" s="1"/>
  <c r="L137" i="1" a="1"/>
  <c r="L137" i="1" s="1"/>
  <c r="L146" i="1" a="1"/>
  <c r="L146" i="1" s="1"/>
  <c r="L155" i="1" a="1"/>
  <c r="L155" i="1" s="1"/>
  <c r="L164" i="1" a="1"/>
  <c r="L164" i="1" s="1"/>
  <c r="K27" i="1" a="1"/>
  <c r="K27" i="1" s="1"/>
  <c r="K41" i="1" a="1"/>
  <c r="K41" i="1" s="1"/>
  <c r="K84" i="1" a="1"/>
  <c r="K84" i="1" s="1"/>
  <c r="K90" i="1" a="1"/>
  <c r="K90" i="1" s="1"/>
  <c r="K96" i="1" a="1"/>
  <c r="K96" i="1" s="1"/>
  <c r="K102" i="1" a="1"/>
  <c r="K102" i="1" s="1"/>
  <c r="K108" i="1" a="1"/>
  <c r="K108" i="1" s="1"/>
  <c r="K114" i="1" a="1"/>
  <c r="K114" i="1" s="1"/>
  <c r="K120" i="1" a="1"/>
  <c r="K120" i="1" s="1"/>
  <c r="K126" i="1" a="1"/>
  <c r="K126" i="1" s="1"/>
  <c r="K132" i="1" a="1"/>
  <c r="K132" i="1" s="1"/>
  <c r="K138" i="1" a="1"/>
  <c r="K138" i="1" s="1"/>
  <c r="K144" i="1" a="1"/>
  <c r="K144" i="1" s="1"/>
  <c r="K150" i="1" a="1"/>
  <c r="K150" i="1" s="1"/>
  <c r="K156" i="1" a="1"/>
  <c r="K156" i="1" s="1"/>
  <c r="K162" i="1" a="1"/>
  <c r="K162" i="1" s="1"/>
  <c r="K168" i="1" a="1"/>
  <c r="K168" i="1" s="1"/>
  <c r="H13" i="1" a="1"/>
  <c r="H13" i="1" s="1"/>
  <c r="M100" i="1" a="1"/>
  <c r="M100" i="1" s="1"/>
  <c r="L44" i="1" a="1"/>
  <c r="L44" i="1" s="1"/>
  <c r="L52" i="1" a="1"/>
  <c r="L52" i="1" s="1"/>
  <c r="L58" i="1" a="1"/>
  <c r="L58" i="1" s="1"/>
  <c r="L64" i="1" a="1"/>
  <c r="L64" i="1" s="1"/>
  <c r="L70" i="1" a="1"/>
  <c r="L70" i="1" s="1"/>
  <c r="L76" i="1" a="1"/>
  <c r="L76" i="1" s="1"/>
  <c r="L82" i="1" a="1"/>
  <c r="L82" i="1" s="1"/>
  <c r="L88" i="1" a="1"/>
  <c r="L88" i="1" s="1"/>
  <c r="L93" i="1" a="1"/>
  <c r="L93" i="1" s="1"/>
  <c r="L97" i="1" a="1"/>
  <c r="L97" i="1" s="1"/>
  <c r="L102" i="1" a="1"/>
  <c r="L102" i="1" s="1"/>
  <c r="L106" i="1" a="1"/>
  <c r="L106" i="1" s="1"/>
  <c r="L111" i="1" a="1"/>
  <c r="L111" i="1" s="1"/>
  <c r="L115" i="1" a="1"/>
  <c r="L115" i="1" s="1"/>
  <c r="L120" i="1" a="1"/>
  <c r="L120" i="1" s="1"/>
  <c r="L124" i="1" a="1"/>
  <c r="L124" i="1" s="1"/>
  <c r="L129" i="1" a="1"/>
  <c r="L129" i="1" s="1"/>
  <c r="L133" i="1" a="1"/>
  <c r="L133" i="1" s="1"/>
  <c r="L138" i="1" a="1"/>
  <c r="L138" i="1" s="1"/>
  <c r="L142" i="1" a="1"/>
  <c r="L142" i="1" s="1"/>
  <c r="L147" i="1" a="1"/>
  <c r="L147" i="1" s="1"/>
  <c r="L151" i="1" a="1"/>
  <c r="L151" i="1" s="1"/>
  <c r="L156" i="1" a="1"/>
  <c r="L156" i="1" s="1"/>
  <c r="L160" i="1" a="1"/>
  <c r="L160" i="1" s="1"/>
  <c r="L165" i="1" a="1"/>
  <c r="L165" i="1" s="1"/>
  <c r="L169" i="1" a="1"/>
  <c r="L169" i="1" s="1"/>
  <c r="K28" i="1" a="1"/>
  <c r="K28" i="1" s="1"/>
  <c r="K49" i="1" a="1"/>
  <c r="K49" i="1" s="1"/>
  <c r="K79" i="1" a="1"/>
  <c r="K79" i="1" s="1"/>
  <c r="K85" i="1" a="1"/>
  <c r="K85" i="1" s="1"/>
  <c r="K91" i="1" a="1"/>
  <c r="K91" i="1" s="1"/>
  <c r="K97" i="1" a="1"/>
  <c r="K97" i="1" s="1"/>
  <c r="K103" i="1" a="1"/>
  <c r="K103" i="1" s="1"/>
  <c r="K109" i="1" a="1"/>
  <c r="K109" i="1" s="1"/>
  <c r="K115" i="1" a="1"/>
  <c r="K115" i="1" s="1"/>
  <c r="K121" i="1" a="1"/>
  <c r="K121" i="1" s="1"/>
  <c r="K127" i="1" a="1"/>
  <c r="K127" i="1" s="1"/>
  <c r="K133" i="1" a="1"/>
  <c r="K133" i="1" s="1"/>
  <c r="K139" i="1" a="1"/>
  <c r="K139" i="1" s="1"/>
  <c r="K145" i="1" a="1"/>
  <c r="K145" i="1" s="1"/>
  <c r="K151" i="1" a="1"/>
  <c r="K151" i="1" s="1"/>
  <c r="K157" i="1" a="1"/>
  <c r="K157" i="1" s="1"/>
  <c r="K163" i="1" a="1"/>
  <c r="K163" i="1" s="1"/>
  <c r="K169" i="1" a="1"/>
  <c r="K169" i="1" s="1"/>
  <c r="H14" i="1" a="1"/>
  <c r="H14" i="1" s="1"/>
  <c r="H20" i="1" a="1"/>
  <c r="H20" i="1" s="1"/>
  <c r="H26" i="1" a="1"/>
  <c r="H26" i="1" s="1"/>
  <c r="H32" i="1" a="1"/>
  <c r="H32" i="1" s="1"/>
  <c r="H38" i="1" a="1"/>
  <c r="H38" i="1" s="1"/>
  <c r="H44" i="1" a="1"/>
  <c r="H44" i="1" s="1"/>
  <c r="H50" i="1" a="1"/>
  <c r="H50" i="1" s="1"/>
  <c r="H56" i="1" a="1"/>
  <c r="H56" i="1" s="1"/>
  <c r="H62" i="1" a="1"/>
  <c r="H62" i="1" s="1"/>
  <c r="H68" i="1" a="1"/>
  <c r="H68" i="1" s="1"/>
  <c r="H74" i="1" a="1"/>
  <c r="H74" i="1" s="1"/>
  <c r="H80" i="1" a="1"/>
  <c r="H80" i="1" s="1"/>
  <c r="M105" i="1" a="1"/>
  <c r="M105" i="1" s="1"/>
  <c r="M132" i="1" a="1"/>
  <c r="M132" i="1" s="1"/>
  <c r="M159" i="1" a="1"/>
  <c r="M159" i="1" s="1"/>
  <c r="L22" i="1" a="1"/>
  <c r="L22" i="1" s="1"/>
  <c r="L53" i="1" a="1"/>
  <c r="L53" i="1" s="1"/>
  <c r="L59" i="1" a="1"/>
  <c r="L59" i="1" s="1"/>
  <c r="L65" i="1" a="1"/>
  <c r="L65" i="1" s="1"/>
  <c r="L71" i="1" a="1"/>
  <c r="L71" i="1" s="1"/>
  <c r="L77" i="1" a="1"/>
  <c r="L77" i="1" s="1"/>
  <c r="L83" i="1" a="1"/>
  <c r="L83" i="1" s="1"/>
  <c r="L89" i="1" a="1"/>
  <c r="L89" i="1" s="1"/>
  <c r="L98" i="1" a="1"/>
  <c r="L98" i="1" s="1"/>
  <c r="L107" i="1" a="1"/>
  <c r="L107" i="1" s="1"/>
  <c r="L116" i="1" a="1"/>
  <c r="L116" i="1" s="1"/>
  <c r="L125" i="1" a="1"/>
  <c r="L125" i="1" s="1"/>
  <c r="L134" i="1" a="1"/>
  <c r="L134" i="1" s="1"/>
  <c r="L143" i="1" a="1"/>
  <c r="L143" i="1" s="1"/>
  <c r="L152" i="1" a="1"/>
  <c r="L152" i="1" s="1"/>
  <c r="L161" i="1" a="1"/>
  <c r="L161" i="1" s="1"/>
  <c r="L170" i="1" a="1"/>
  <c r="L170" i="1" s="1"/>
  <c r="K22" i="1" a="1"/>
  <c r="K22" i="1" s="1"/>
  <c r="K86" i="1" a="1"/>
  <c r="K86" i="1" s="1"/>
  <c r="K92" i="1" a="1"/>
  <c r="K92" i="1" s="1"/>
  <c r="K98" i="1" a="1"/>
  <c r="K98" i="1" s="1"/>
  <c r="K104" i="1" a="1"/>
  <c r="K104" i="1" s="1"/>
  <c r="K110" i="1" a="1"/>
  <c r="K110" i="1" s="1"/>
  <c r="K116" i="1" a="1"/>
  <c r="K116" i="1" s="1"/>
  <c r="K122" i="1" a="1"/>
  <c r="K122" i="1" s="1"/>
  <c r="K128" i="1" a="1"/>
  <c r="K128" i="1" s="1"/>
  <c r="K134" i="1" a="1"/>
  <c r="K134" i="1" s="1"/>
  <c r="K140" i="1" a="1"/>
  <c r="K140" i="1" s="1"/>
  <c r="K146" i="1" a="1"/>
  <c r="K146" i="1" s="1"/>
  <c r="K152" i="1" a="1"/>
  <c r="K152" i="1" s="1"/>
  <c r="K158" i="1" a="1"/>
  <c r="K158" i="1" s="1"/>
  <c r="K164" i="1" a="1"/>
  <c r="K164" i="1" s="1"/>
  <c r="K170" i="1" a="1"/>
  <c r="K170" i="1" s="1"/>
  <c r="H15" i="1" a="1"/>
  <c r="H15" i="1" s="1"/>
  <c r="H21" i="1" a="1"/>
  <c r="H21" i="1" s="1"/>
  <c r="H27" i="1" a="1"/>
  <c r="H27" i="1" s="1"/>
  <c r="H33" i="1" a="1"/>
  <c r="H33" i="1" s="1"/>
  <c r="H39" i="1" a="1"/>
  <c r="H39" i="1" s="1"/>
  <c r="H45" i="1" a="1"/>
  <c r="H45" i="1" s="1"/>
  <c r="H51" i="1" a="1"/>
  <c r="H51" i="1" s="1"/>
  <c r="H57" i="1" a="1"/>
  <c r="H57" i="1" s="1"/>
  <c r="H63" i="1" a="1"/>
  <c r="H63" i="1" s="1"/>
  <c r="H69" i="1" a="1"/>
  <c r="H69" i="1" s="1"/>
  <c r="H75" i="1" a="1"/>
  <c r="H75" i="1" s="1"/>
  <c r="H81" i="1" a="1"/>
  <c r="H81" i="1" s="1"/>
  <c r="H87" i="1" a="1"/>
  <c r="H87" i="1" s="1"/>
  <c r="H93" i="1" a="1"/>
  <c r="H93" i="1" s="1"/>
  <c r="H99" i="1" a="1"/>
  <c r="H99" i="1" s="1"/>
  <c r="H105" i="1" a="1"/>
  <c r="H105" i="1" s="1"/>
  <c r="H111" i="1" a="1"/>
  <c r="H111" i="1" s="1"/>
  <c r="H117" i="1" a="1"/>
  <c r="H117" i="1" s="1"/>
  <c r="H123" i="1" a="1"/>
  <c r="H123" i="1" s="1"/>
  <c r="H129" i="1" a="1"/>
  <c r="H129" i="1" s="1"/>
  <c r="H135" i="1" a="1"/>
  <c r="H135" i="1" s="1"/>
  <c r="H141" i="1" a="1"/>
  <c r="H141" i="1" s="1"/>
  <c r="H147" i="1" a="1"/>
  <c r="H147" i="1" s="1"/>
  <c r="H153" i="1" a="1"/>
  <c r="H153" i="1" s="1"/>
  <c r="H159" i="1" a="1"/>
  <c r="H159" i="1" s="1"/>
  <c r="M57" i="1" a="1"/>
  <c r="M57" i="1" s="1"/>
  <c r="L108" i="1" a="1"/>
  <c r="L108" i="1" s="1"/>
  <c r="L135" i="1" a="1"/>
  <c r="L135" i="1" s="1"/>
  <c r="L162" i="1" a="1"/>
  <c r="L162" i="1" s="1"/>
  <c r="K105" i="1" a="1"/>
  <c r="K105" i="1" s="1"/>
  <c r="K141" i="1" a="1"/>
  <c r="K141" i="1" s="1"/>
  <c r="H16" i="1" a="1"/>
  <c r="H16" i="1" s="1"/>
  <c r="H34" i="1" a="1"/>
  <c r="H34" i="1" s="1"/>
  <c r="H52" i="1" a="1"/>
  <c r="H52" i="1" s="1"/>
  <c r="H70" i="1" a="1"/>
  <c r="H70" i="1" s="1"/>
  <c r="H86" i="1" a="1"/>
  <c r="H86" i="1" s="1"/>
  <c r="H98" i="1" a="1"/>
  <c r="H98" i="1" s="1"/>
  <c r="H107" i="1" a="1"/>
  <c r="H107" i="1" s="1"/>
  <c r="H114" i="1" a="1"/>
  <c r="H114" i="1" s="1"/>
  <c r="H121" i="1" a="1"/>
  <c r="H121" i="1" s="1"/>
  <c r="H128" i="1" a="1"/>
  <c r="H128" i="1" s="1"/>
  <c r="H136" i="1" a="1"/>
  <c r="H136" i="1" s="1"/>
  <c r="H143" i="1" a="1"/>
  <c r="H143" i="1" s="1"/>
  <c r="H150" i="1" a="1"/>
  <c r="H150" i="1" s="1"/>
  <c r="H157" i="1" a="1"/>
  <c r="H157" i="1" s="1"/>
  <c r="H164" i="1" a="1"/>
  <c r="H164" i="1" s="1"/>
  <c r="G8" i="1" a="1"/>
  <c r="G8" i="1" s="1"/>
  <c r="G14" i="1" a="1"/>
  <c r="G14" i="1" s="1"/>
  <c r="G20" i="1" a="1"/>
  <c r="G20" i="1" s="1"/>
  <c r="G26" i="1" a="1"/>
  <c r="G26" i="1" s="1"/>
  <c r="G32" i="1" a="1"/>
  <c r="G32" i="1" s="1"/>
  <c r="G38" i="1" a="1"/>
  <c r="G38" i="1" s="1"/>
  <c r="G44" i="1" a="1"/>
  <c r="G44" i="1" s="1"/>
  <c r="G50" i="1" a="1"/>
  <c r="G50" i="1" s="1"/>
  <c r="G56" i="1" a="1"/>
  <c r="G56" i="1" s="1"/>
  <c r="G62" i="1" a="1"/>
  <c r="G62" i="1" s="1"/>
  <c r="G68" i="1" a="1"/>
  <c r="G68" i="1" s="1"/>
  <c r="G74" i="1" a="1"/>
  <c r="G74" i="1" s="1"/>
  <c r="G80" i="1" a="1"/>
  <c r="G80" i="1" s="1"/>
  <c r="G86" i="1" a="1"/>
  <c r="G86" i="1" s="1"/>
  <c r="G92" i="1" a="1"/>
  <c r="G92" i="1" s="1"/>
  <c r="G98" i="1" a="1"/>
  <c r="G98" i="1" s="1"/>
  <c r="G104" i="1" a="1"/>
  <c r="G104" i="1" s="1"/>
  <c r="G110" i="1" a="1"/>
  <c r="G110" i="1" s="1"/>
  <c r="G116" i="1" a="1"/>
  <c r="G116" i="1" s="1"/>
  <c r="G122" i="1" a="1"/>
  <c r="G122" i="1" s="1"/>
  <c r="G128" i="1" a="1"/>
  <c r="G128" i="1" s="1"/>
  <c r="G134" i="1" a="1"/>
  <c r="G134" i="1" s="1"/>
  <c r="G140" i="1" a="1"/>
  <c r="G140" i="1" s="1"/>
  <c r="G146" i="1" a="1"/>
  <c r="G146" i="1" s="1"/>
  <c r="G152" i="1" a="1"/>
  <c r="G152" i="1" s="1"/>
  <c r="G158" i="1" a="1"/>
  <c r="G158" i="1" s="1"/>
  <c r="G164" i="1" a="1"/>
  <c r="G164" i="1" s="1"/>
  <c r="G170" i="1" a="1"/>
  <c r="G170" i="1" s="1"/>
  <c r="H169" i="1" a="1"/>
  <c r="H169" i="1" s="1"/>
  <c r="F47" i="1" a="1"/>
  <c r="F47" i="1" s="1"/>
  <c r="F56" i="1" a="1"/>
  <c r="F56" i="1" s="1"/>
  <c r="F84" i="1" a="1"/>
  <c r="F84" i="1" s="1"/>
  <c r="F108" i="1" a="1"/>
  <c r="F108" i="1" s="1"/>
  <c r="F113" i="1" a="1"/>
  <c r="F113" i="1" s="1"/>
  <c r="F117" i="1" a="1"/>
  <c r="F117" i="1" s="1"/>
  <c r="F123" i="1" a="1"/>
  <c r="F123" i="1" s="1"/>
  <c r="F127" i="1" a="1"/>
  <c r="F127" i="1" s="1"/>
  <c r="F132" i="1" a="1"/>
  <c r="F132" i="1" s="1"/>
  <c r="F146" i="1" a="1"/>
  <c r="F146" i="1" s="1"/>
  <c r="F150" i="1" a="1"/>
  <c r="F150" i="1" s="1"/>
  <c r="F164" i="1" a="1"/>
  <c r="F164" i="1" s="1"/>
  <c r="F168" i="1" a="1"/>
  <c r="F168" i="1" s="1"/>
  <c r="D12" i="1" a="1"/>
  <c r="D12" i="1" s="1"/>
  <c r="D15" i="1" a="1"/>
  <c r="D15" i="1" s="1"/>
  <c r="D18" i="1" a="1"/>
  <c r="D18" i="1" s="1"/>
  <c r="D21" i="1" a="1"/>
  <c r="D21" i="1" s="1"/>
  <c r="D24" i="1" a="1"/>
  <c r="D24" i="1" s="1"/>
  <c r="D27" i="1" a="1"/>
  <c r="D27" i="1" s="1"/>
  <c r="D30" i="1" a="1"/>
  <c r="D30" i="1" s="1"/>
  <c r="D33" i="1" a="1"/>
  <c r="D33" i="1" s="1"/>
  <c r="D39" i="1" a="1"/>
  <c r="D39" i="1" s="1"/>
  <c r="D42" i="1" a="1"/>
  <c r="D42" i="1" s="1"/>
  <c r="D45" i="1" a="1"/>
  <c r="D45" i="1" s="1"/>
  <c r="L47" i="1" a="1"/>
  <c r="L47" i="1" s="1"/>
  <c r="L112" i="1" a="1"/>
  <c r="L112" i="1" s="1"/>
  <c r="L139" i="1" a="1"/>
  <c r="L139" i="1" s="1"/>
  <c r="L166" i="1" a="1"/>
  <c r="L166" i="1" s="1"/>
  <c r="K38" i="1" a="1"/>
  <c r="K38" i="1" s="1"/>
  <c r="K111" i="1" a="1"/>
  <c r="K111" i="1" s="1"/>
  <c r="K147" i="1" a="1"/>
  <c r="K147" i="1" s="1"/>
  <c r="H19" i="1" a="1"/>
  <c r="H19" i="1" s="1"/>
  <c r="H37" i="1" a="1"/>
  <c r="H37" i="1" s="1"/>
  <c r="H55" i="1" a="1"/>
  <c r="H55" i="1" s="1"/>
  <c r="H73" i="1" a="1"/>
  <c r="H73" i="1" s="1"/>
  <c r="H88" i="1" a="1"/>
  <c r="H88" i="1" s="1"/>
  <c r="H100" i="1" a="1"/>
  <c r="H100" i="1" s="1"/>
  <c r="H108" i="1" a="1"/>
  <c r="H108" i="1" s="1"/>
  <c r="H115" i="1" a="1"/>
  <c r="H115" i="1" s="1"/>
  <c r="H122" i="1" a="1"/>
  <c r="H122" i="1" s="1"/>
  <c r="H130" i="1" a="1"/>
  <c r="H130" i="1" s="1"/>
  <c r="H137" i="1" a="1"/>
  <c r="H137" i="1" s="1"/>
  <c r="H144" i="1" a="1"/>
  <c r="H144" i="1" s="1"/>
  <c r="H151" i="1" a="1"/>
  <c r="H151" i="1" s="1"/>
  <c r="H158" i="1" a="1"/>
  <c r="H158" i="1" s="1"/>
  <c r="G3" i="1" a="1"/>
  <c r="G3" i="1" s="1"/>
  <c r="G9" i="1" a="1"/>
  <c r="G9" i="1" s="1"/>
  <c r="G15" i="1" a="1"/>
  <c r="G15" i="1" s="1"/>
  <c r="G21" i="1" a="1"/>
  <c r="G21" i="1" s="1"/>
  <c r="G27" i="1" a="1"/>
  <c r="G27" i="1" s="1"/>
  <c r="G33" i="1" a="1"/>
  <c r="G33" i="1" s="1"/>
  <c r="G39" i="1" a="1"/>
  <c r="G39" i="1" s="1"/>
  <c r="G45" i="1" a="1"/>
  <c r="G45" i="1" s="1"/>
  <c r="G51" i="1" a="1"/>
  <c r="G51" i="1" s="1"/>
  <c r="G57" i="1" a="1"/>
  <c r="G57" i="1" s="1"/>
  <c r="G63" i="1" a="1"/>
  <c r="G63" i="1" s="1"/>
  <c r="G69" i="1" a="1"/>
  <c r="G69" i="1" s="1"/>
  <c r="G75" i="1" a="1"/>
  <c r="G75" i="1" s="1"/>
  <c r="G81" i="1" a="1"/>
  <c r="G81" i="1" s="1"/>
  <c r="G87" i="1" a="1"/>
  <c r="G87" i="1" s="1"/>
  <c r="G93" i="1" a="1"/>
  <c r="G93" i="1" s="1"/>
  <c r="G99" i="1" a="1"/>
  <c r="G99" i="1" s="1"/>
  <c r="G105" i="1" a="1"/>
  <c r="G105" i="1" s="1"/>
  <c r="G111" i="1" a="1"/>
  <c r="G111" i="1" s="1"/>
  <c r="G117" i="1" a="1"/>
  <c r="G117" i="1" s="1"/>
  <c r="G123" i="1" a="1"/>
  <c r="G123" i="1" s="1"/>
  <c r="G129" i="1" a="1"/>
  <c r="G129" i="1" s="1"/>
  <c r="G135" i="1" a="1"/>
  <c r="G135" i="1" s="1"/>
  <c r="G141" i="1" a="1"/>
  <c r="G141" i="1" s="1"/>
  <c r="G147" i="1" a="1"/>
  <c r="G147" i="1" s="1"/>
  <c r="G153" i="1" a="1"/>
  <c r="G153" i="1" s="1"/>
  <c r="G159" i="1" a="1"/>
  <c r="G159" i="1" s="1"/>
  <c r="G165" i="1" a="1"/>
  <c r="G165" i="1" s="1"/>
  <c r="G2" i="1" a="1"/>
  <c r="G2" i="1" s="1"/>
  <c r="F3" i="1" a="1"/>
  <c r="F3" i="1" s="1"/>
  <c r="F49" i="1" a="1"/>
  <c r="F49" i="1" s="1"/>
  <c r="F64" i="1" a="1"/>
  <c r="F64" i="1" s="1"/>
  <c r="F94" i="1" a="1"/>
  <c r="F94" i="1" s="1"/>
  <c r="F109" i="1" a="1"/>
  <c r="F109" i="1" s="1"/>
  <c r="F114" i="1" a="1"/>
  <c r="F114" i="1" s="1"/>
  <c r="F118" i="1" a="1"/>
  <c r="F118" i="1" s="1"/>
  <c r="F128" i="1" a="1"/>
  <c r="F128" i="1" s="1"/>
  <c r="F133" i="1" a="1"/>
  <c r="F133" i="1" s="1"/>
  <c r="F137" i="1" a="1"/>
  <c r="F137" i="1" s="1"/>
  <c r="F142" i="1" a="1"/>
  <c r="F142" i="1" s="1"/>
  <c r="F147" i="1" a="1"/>
  <c r="F147" i="1" s="1"/>
  <c r="F151" i="1" a="1"/>
  <c r="F151" i="1" s="1"/>
  <c r="F155" i="1" a="1"/>
  <c r="F155" i="1" s="1"/>
  <c r="F160" i="1" a="1"/>
  <c r="F160" i="1" s="1"/>
  <c r="F165" i="1" a="1"/>
  <c r="F165" i="1" s="1"/>
  <c r="F169" i="1" a="1"/>
  <c r="F169" i="1" s="1"/>
  <c r="L90" i="1" a="1"/>
  <c r="L90" i="1" s="1"/>
  <c r="L117" i="1" a="1"/>
  <c r="L117" i="1" s="1"/>
  <c r="L144" i="1" a="1"/>
  <c r="L144" i="1" s="1"/>
  <c r="L2" i="1" a="1"/>
  <c r="L2" i="1" s="1"/>
  <c r="K117" i="1" a="1"/>
  <c r="K117" i="1" s="1"/>
  <c r="K153" i="1" a="1"/>
  <c r="K153" i="1" s="1"/>
  <c r="H22" i="1" a="1"/>
  <c r="H22" i="1" s="1"/>
  <c r="H40" i="1" a="1"/>
  <c r="H40" i="1" s="1"/>
  <c r="H58" i="1" a="1"/>
  <c r="H58" i="1" s="1"/>
  <c r="H76" i="1" a="1"/>
  <c r="H76" i="1" s="1"/>
  <c r="H91" i="1" a="1"/>
  <c r="H91" i="1" s="1"/>
  <c r="H102" i="1" a="1"/>
  <c r="H102" i="1" s="1"/>
  <c r="H109" i="1" a="1"/>
  <c r="H109" i="1" s="1"/>
  <c r="H116" i="1" a="1"/>
  <c r="H116" i="1" s="1"/>
  <c r="H124" i="1" a="1"/>
  <c r="H124" i="1" s="1"/>
  <c r="H131" i="1" a="1"/>
  <c r="H131" i="1" s="1"/>
  <c r="H138" i="1" a="1"/>
  <c r="H138" i="1" s="1"/>
  <c r="H145" i="1" a="1"/>
  <c r="H145" i="1" s="1"/>
  <c r="H152" i="1" a="1"/>
  <c r="H152" i="1" s="1"/>
  <c r="H160" i="1" a="1"/>
  <c r="H160" i="1" s="1"/>
  <c r="L94" i="1" a="1"/>
  <c r="L94" i="1" s="1"/>
  <c r="L121" i="1" a="1"/>
  <c r="L121" i="1" s="1"/>
  <c r="L148" i="1" a="1"/>
  <c r="L148" i="1" s="1"/>
  <c r="K87" i="1" a="1"/>
  <c r="K87" i="1" s="1"/>
  <c r="K123" i="1" a="1"/>
  <c r="K123" i="1" s="1"/>
  <c r="K159" i="1" a="1"/>
  <c r="K159" i="1" s="1"/>
  <c r="H25" i="1" a="1"/>
  <c r="H25" i="1" s="1"/>
  <c r="H43" i="1" a="1"/>
  <c r="H43" i="1" s="1"/>
  <c r="H61" i="1" a="1"/>
  <c r="H61" i="1" s="1"/>
  <c r="H79" i="1" a="1"/>
  <c r="H79" i="1" s="1"/>
  <c r="H92" i="1" a="1"/>
  <c r="H92" i="1" s="1"/>
  <c r="H103" i="1" a="1"/>
  <c r="H103" i="1" s="1"/>
  <c r="H110" i="1" a="1"/>
  <c r="H110" i="1" s="1"/>
  <c r="H118" i="1" a="1"/>
  <c r="H118" i="1" s="1"/>
  <c r="H125" i="1" a="1"/>
  <c r="H125" i="1" s="1"/>
  <c r="H132" i="1" a="1"/>
  <c r="H132" i="1" s="1"/>
  <c r="H139" i="1" a="1"/>
  <c r="H139" i="1" s="1"/>
  <c r="H146" i="1" a="1"/>
  <c r="H146" i="1" s="1"/>
  <c r="H154" i="1" a="1"/>
  <c r="H154" i="1" s="1"/>
  <c r="H161" i="1" a="1"/>
  <c r="H161" i="1" s="1"/>
  <c r="G5" i="1" a="1"/>
  <c r="G5" i="1" s="1"/>
  <c r="G11" i="1" a="1"/>
  <c r="G11" i="1" s="1"/>
  <c r="G17" i="1" a="1"/>
  <c r="G17" i="1" s="1"/>
  <c r="G23" i="1" a="1"/>
  <c r="G23" i="1" s="1"/>
  <c r="G29" i="1" a="1"/>
  <c r="G29" i="1" s="1"/>
  <c r="G35" i="1" a="1"/>
  <c r="G35" i="1" s="1"/>
  <c r="G41" i="1" a="1"/>
  <c r="G41" i="1" s="1"/>
  <c r="G47" i="1" a="1"/>
  <c r="G47" i="1" s="1"/>
  <c r="G53" i="1" a="1"/>
  <c r="G53" i="1" s="1"/>
  <c r="G59" i="1" a="1"/>
  <c r="G59" i="1" s="1"/>
  <c r="G65" i="1" a="1"/>
  <c r="G65" i="1" s="1"/>
  <c r="G71" i="1" a="1"/>
  <c r="G71" i="1" s="1"/>
  <c r="G77" i="1" a="1"/>
  <c r="G77" i="1" s="1"/>
  <c r="G83" i="1" a="1"/>
  <c r="G83" i="1" s="1"/>
  <c r="G89" i="1" a="1"/>
  <c r="G89" i="1" s="1"/>
  <c r="G95" i="1" a="1"/>
  <c r="G95" i="1" s="1"/>
  <c r="G101" i="1" a="1"/>
  <c r="G101" i="1" s="1"/>
  <c r="G107" i="1" a="1"/>
  <c r="G107" i="1" s="1"/>
  <c r="G113" i="1" a="1"/>
  <c r="G113" i="1" s="1"/>
  <c r="G119" i="1" a="1"/>
  <c r="G119" i="1" s="1"/>
  <c r="G125" i="1" a="1"/>
  <c r="G125" i="1" s="1"/>
  <c r="G131" i="1" a="1"/>
  <c r="G131" i="1" s="1"/>
  <c r="G137" i="1" a="1"/>
  <c r="G137" i="1" s="1"/>
  <c r="G143" i="1" a="1"/>
  <c r="G143" i="1" s="1"/>
  <c r="G149" i="1" a="1"/>
  <c r="G149" i="1" s="1"/>
  <c r="G155" i="1" a="1"/>
  <c r="G155" i="1" s="1"/>
  <c r="G161" i="1" a="1"/>
  <c r="G161" i="1" s="1"/>
  <c r="G167" i="1" a="1"/>
  <c r="G167" i="1" s="1"/>
  <c r="H166" i="1" a="1"/>
  <c r="H166" i="1" s="1"/>
  <c r="F12" i="1" a="1"/>
  <c r="F12" i="1" s="1"/>
  <c r="F54" i="1" a="1"/>
  <c r="F54" i="1" s="1"/>
  <c r="F75" i="1" a="1"/>
  <c r="F75" i="1" s="1"/>
  <c r="F106" i="1" a="1"/>
  <c r="F106" i="1" s="1"/>
  <c r="F110" i="1" a="1"/>
  <c r="F110" i="1" s="1"/>
  <c r="F115" i="1" a="1"/>
  <c r="F115" i="1" s="1"/>
  <c r="F120" i="1" a="1"/>
  <c r="F120" i="1" s="1"/>
  <c r="F130" i="1" a="1"/>
  <c r="F130" i="1" s="1"/>
  <c r="F135" i="1" a="1"/>
  <c r="F135" i="1" s="1"/>
  <c r="F139" i="1" a="1"/>
  <c r="F139" i="1" s="1"/>
  <c r="F143" i="1" a="1"/>
  <c r="F143" i="1" s="1"/>
  <c r="F148" i="1" a="1"/>
  <c r="F148" i="1" s="1"/>
  <c r="F153" i="1" a="1"/>
  <c r="F153" i="1" s="1"/>
  <c r="F157" i="1" a="1"/>
  <c r="F157" i="1" s="1"/>
  <c r="F161" i="1" a="1"/>
  <c r="F161" i="1" s="1"/>
  <c r="F166" i="1" a="1"/>
  <c r="F166" i="1" s="1"/>
  <c r="D167" i="1" a="1"/>
  <c r="D167" i="1" s="1"/>
  <c r="C6" i="1" a="1"/>
  <c r="C6" i="1" s="1"/>
  <c r="L99" i="1" a="1"/>
  <c r="L99" i="1" s="1"/>
  <c r="L126" i="1" a="1"/>
  <c r="L126" i="1" s="1"/>
  <c r="L153" i="1" a="1"/>
  <c r="L153" i="1" s="1"/>
  <c r="K93" i="1" a="1"/>
  <c r="K93" i="1" s="1"/>
  <c r="K129" i="1" a="1"/>
  <c r="K129" i="1" s="1"/>
  <c r="K165" i="1" a="1"/>
  <c r="K165" i="1" s="1"/>
  <c r="H28" i="1" a="1"/>
  <c r="H28" i="1" s="1"/>
  <c r="H46" i="1" a="1"/>
  <c r="H46" i="1" s="1"/>
  <c r="H64" i="1" a="1"/>
  <c r="H64" i="1" s="1"/>
  <c r="H82" i="1" a="1"/>
  <c r="H82" i="1" s="1"/>
  <c r="H94" i="1" a="1"/>
  <c r="H94" i="1" s="1"/>
  <c r="H104" i="1" a="1"/>
  <c r="H104" i="1" s="1"/>
  <c r="H112" i="1" a="1"/>
  <c r="H112" i="1" s="1"/>
  <c r="H119" i="1" a="1"/>
  <c r="H119" i="1" s="1"/>
  <c r="H126" i="1" a="1"/>
  <c r="H126" i="1" s="1"/>
  <c r="H133" i="1" a="1"/>
  <c r="H133" i="1" s="1"/>
  <c r="H140" i="1" a="1"/>
  <c r="H140" i="1" s="1"/>
  <c r="H148" i="1" a="1"/>
  <c r="H148" i="1" s="1"/>
  <c r="H155" i="1" a="1"/>
  <c r="H155" i="1" s="1"/>
  <c r="H162" i="1" a="1"/>
  <c r="H162" i="1" s="1"/>
  <c r="G6" i="1" a="1"/>
  <c r="G6" i="1" s="1"/>
  <c r="G12" i="1" a="1"/>
  <c r="G12" i="1" s="1"/>
  <c r="G18" i="1" a="1"/>
  <c r="G18" i="1" s="1"/>
  <c r="G24" i="1" a="1"/>
  <c r="G24" i="1" s="1"/>
  <c r="G30" i="1" a="1"/>
  <c r="G30" i="1" s="1"/>
  <c r="G36" i="1" a="1"/>
  <c r="G36" i="1" s="1"/>
  <c r="G42" i="1" a="1"/>
  <c r="G42" i="1" s="1"/>
  <c r="G48" i="1" a="1"/>
  <c r="G48" i="1" s="1"/>
  <c r="G54" i="1" a="1"/>
  <c r="G54" i="1" s="1"/>
  <c r="G60" i="1" a="1"/>
  <c r="G60" i="1" s="1"/>
  <c r="G66" i="1" a="1"/>
  <c r="G66" i="1" s="1"/>
  <c r="G72" i="1" a="1"/>
  <c r="G72" i="1" s="1"/>
  <c r="G78" i="1" a="1"/>
  <c r="G78" i="1" s="1"/>
  <c r="G84" i="1" a="1"/>
  <c r="G84" i="1" s="1"/>
  <c r="G90" i="1" a="1"/>
  <c r="G90" i="1" s="1"/>
  <c r="G96" i="1" a="1"/>
  <c r="G96" i="1" s="1"/>
  <c r="G102" i="1" a="1"/>
  <c r="G102" i="1" s="1"/>
  <c r="G108" i="1" a="1"/>
  <c r="G108" i="1" s="1"/>
  <c r="G114" i="1" a="1"/>
  <c r="G114" i="1" s="1"/>
  <c r="G120" i="1" a="1"/>
  <c r="G120" i="1" s="1"/>
  <c r="G126" i="1" a="1"/>
  <c r="G126" i="1" s="1"/>
  <c r="G132" i="1" a="1"/>
  <c r="G132" i="1" s="1"/>
  <c r="G138" i="1" a="1"/>
  <c r="G138" i="1" s="1"/>
  <c r="G144" i="1" a="1"/>
  <c r="G144" i="1" s="1"/>
  <c r="G150" i="1" a="1"/>
  <c r="G150" i="1" s="1"/>
  <c r="G156" i="1" a="1"/>
  <c r="G156" i="1" s="1"/>
  <c r="G162" i="1" a="1"/>
  <c r="G162" i="1" s="1"/>
  <c r="G168" i="1" a="1"/>
  <c r="G168" i="1" s="1"/>
  <c r="H167" i="1" a="1"/>
  <c r="H167" i="1" s="1"/>
  <c r="F30" i="1" a="1"/>
  <c r="F30" i="1" s="1"/>
  <c r="F55" i="1" a="1"/>
  <c r="F55" i="1" s="1"/>
  <c r="F80" i="1" a="1"/>
  <c r="F80" i="1" s="1"/>
  <c r="F111" i="1" a="1"/>
  <c r="F111" i="1" s="1"/>
  <c r="F121" i="1" a="1"/>
  <c r="F121" i="1" s="1"/>
  <c r="F125" i="1" a="1"/>
  <c r="F125" i="1" s="1"/>
  <c r="F140" i="1" a="1"/>
  <c r="F140" i="1" s="1"/>
  <c r="F144" i="1" a="1"/>
  <c r="F144" i="1" s="1"/>
  <c r="F158" i="1" a="1"/>
  <c r="F158" i="1" s="1"/>
  <c r="F162" i="1" a="1"/>
  <c r="F162" i="1" s="1"/>
  <c r="D4" i="1" a="1"/>
  <c r="D4" i="1" s="1"/>
  <c r="D14" i="1" a="1"/>
  <c r="D14" i="1" s="1"/>
  <c r="D17" i="1" a="1"/>
  <c r="D17" i="1" s="1"/>
  <c r="D20" i="1" a="1"/>
  <c r="D20" i="1" s="1"/>
  <c r="D23" i="1" a="1"/>
  <c r="D23" i="1" s="1"/>
  <c r="D26" i="1" a="1"/>
  <c r="D26" i="1" s="1"/>
  <c r="D29" i="1" a="1"/>
  <c r="D29" i="1" s="1"/>
  <c r="D32" i="1" a="1"/>
  <c r="D32" i="1" s="1"/>
  <c r="D35" i="1" a="1"/>
  <c r="D35" i="1" s="1"/>
  <c r="D41" i="1" a="1"/>
  <c r="D41" i="1" s="1"/>
  <c r="D44" i="1" a="1"/>
  <c r="D44" i="1" s="1"/>
  <c r="D47" i="1" a="1"/>
  <c r="D47" i="1" s="1"/>
  <c r="D50" i="1" a="1"/>
  <c r="D50" i="1" s="1"/>
  <c r="D53" i="1" a="1"/>
  <c r="D53" i="1" s="1"/>
  <c r="D56" i="1" a="1"/>
  <c r="D56" i="1" s="1"/>
  <c r="D59" i="1" a="1"/>
  <c r="D59" i="1" s="1"/>
  <c r="D62" i="1" a="1"/>
  <c r="D62" i="1" s="1"/>
  <c r="D65" i="1" a="1"/>
  <c r="D65" i="1" s="1"/>
  <c r="D68" i="1" a="1"/>
  <c r="D68" i="1" s="1"/>
  <c r="H67" i="1" a="1"/>
  <c r="H67" i="1" s="1"/>
  <c r="H127" i="1" a="1"/>
  <c r="H127" i="1" s="1"/>
  <c r="G4" i="1" a="1"/>
  <c r="G4" i="1" s="1"/>
  <c r="G22" i="1" a="1"/>
  <c r="G22" i="1" s="1"/>
  <c r="G40" i="1" a="1"/>
  <c r="G40" i="1" s="1"/>
  <c r="G58" i="1" a="1"/>
  <c r="G58" i="1" s="1"/>
  <c r="G76" i="1" a="1"/>
  <c r="G76" i="1" s="1"/>
  <c r="G94" i="1" a="1"/>
  <c r="G94" i="1" s="1"/>
  <c r="G112" i="1" a="1"/>
  <c r="G112" i="1" s="1"/>
  <c r="G130" i="1" a="1"/>
  <c r="G130" i="1" s="1"/>
  <c r="G148" i="1" a="1"/>
  <c r="G148" i="1" s="1"/>
  <c r="G166" i="1" a="1"/>
  <c r="G166" i="1" s="1"/>
  <c r="F53" i="1" a="1"/>
  <c r="F53" i="1" s="1"/>
  <c r="F124" i="1" a="1"/>
  <c r="F124" i="1" s="1"/>
  <c r="F138" i="1" a="1"/>
  <c r="F138" i="1" s="1"/>
  <c r="F152" i="1" a="1"/>
  <c r="F152" i="1" s="1"/>
  <c r="D16" i="1" a="1"/>
  <c r="D16" i="1" s="1"/>
  <c r="D25" i="1" a="1"/>
  <c r="D25" i="1" s="1"/>
  <c r="D34" i="1" a="1"/>
  <c r="D34" i="1" s="1"/>
  <c r="D43" i="1" a="1"/>
  <c r="D43" i="1" s="1"/>
  <c r="D55" i="1" a="1"/>
  <c r="D55" i="1" s="1"/>
  <c r="D60" i="1" a="1"/>
  <c r="D60" i="1" s="1"/>
  <c r="D64" i="1" a="1"/>
  <c r="D64" i="1" s="1"/>
  <c r="D69" i="1" a="1"/>
  <c r="D69" i="1" s="1"/>
  <c r="D76" i="1" a="1"/>
  <c r="D76" i="1" s="1"/>
  <c r="D80" i="1" a="1"/>
  <c r="D80" i="1" s="1"/>
  <c r="D87" i="1" a="1"/>
  <c r="D87" i="1" s="1"/>
  <c r="D94" i="1" a="1"/>
  <c r="D94" i="1" s="1"/>
  <c r="D98" i="1" a="1"/>
  <c r="D98" i="1" s="1"/>
  <c r="D105" i="1" a="1"/>
  <c r="D105" i="1" s="1"/>
  <c r="D112" i="1" a="1"/>
  <c r="D112" i="1" s="1"/>
  <c r="D116" i="1" a="1"/>
  <c r="D116" i="1" s="1"/>
  <c r="D123" i="1" a="1"/>
  <c r="D123" i="1" s="1"/>
  <c r="D130" i="1" a="1"/>
  <c r="D130" i="1" s="1"/>
  <c r="D134" i="1" a="1"/>
  <c r="D134" i="1" s="1"/>
  <c r="D141" i="1" a="1"/>
  <c r="D141" i="1" s="1"/>
  <c r="D148" i="1" a="1"/>
  <c r="D148" i="1" s="1"/>
  <c r="D152" i="1" a="1"/>
  <c r="D152" i="1" s="1"/>
  <c r="D159" i="1" a="1"/>
  <c r="D159" i="1" s="1"/>
  <c r="C18" i="1" a="1"/>
  <c r="C18" i="1" s="1"/>
  <c r="C33" i="1" a="1"/>
  <c r="C33" i="1" s="1"/>
  <c r="C48" i="1" a="1"/>
  <c r="C48" i="1" s="1"/>
  <c r="C70" i="1" a="1"/>
  <c r="C70" i="1" s="1"/>
  <c r="C88" i="1" a="1"/>
  <c r="C88" i="1" s="1"/>
  <c r="C103" i="1" a="1"/>
  <c r="C103" i="1" s="1"/>
  <c r="C120" i="1" a="1"/>
  <c r="C120" i="1" s="1"/>
  <c r="C133" i="1" a="1"/>
  <c r="C133" i="1" s="1"/>
  <c r="C148" i="1" a="1"/>
  <c r="C148" i="1" s="1"/>
  <c r="K99" i="1" a="1"/>
  <c r="K99" i="1" s="1"/>
  <c r="H85" i="1" a="1"/>
  <c r="H85" i="1" s="1"/>
  <c r="H134" i="1" a="1"/>
  <c r="H134" i="1" s="1"/>
  <c r="G7" i="1" a="1"/>
  <c r="G7" i="1" s="1"/>
  <c r="G25" i="1" a="1"/>
  <c r="G25" i="1" s="1"/>
  <c r="G43" i="1" a="1"/>
  <c r="G43" i="1" s="1"/>
  <c r="G61" i="1" a="1"/>
  <c r="G61" i="1" s="1"/>
  <c r="G79" i="1" a="1"/>
  <c r="G79" i="1" s="1"/>
  <c r="G97" i="1" a="1"/>
  <c r="G97" i="1" s="1"/>
  <c r="G115" i="1" a="1"/>
  <c r="G115" i="1" s="1"/>
  <c r="G133" i="1" a="1"/>
  <c r="G133" i="1" s="1"/>
  <c r="G151" i="1" a="1"/>
  <c r="G151" i="1" s="1"/>
  <c r="G169" i="1" a="1"/>
  <c r="G169" i="1" s="1"/>
  <c r="F112" i="1" a="1"/>
  <c r="F112" i="1" s="1"/>
  <c r="F126" i="1" a="1"/>
  <c r="F126" i="1" s="1"/>
  <c r="F141" i="1" a="1"/>
  <c r="F141" i="1" s="1"/>
  <c r="F154" i="1" a="1"/>
  <c r="F154" i="1" s="1"/>
  <c r="F167" i="1" a="1"/>
  <c r="F167" i="1" s="1"/>
  <c r="D51" i="1" a="1"/>
  <c r="D51" i="1" s="1"/>
  <c r="D73" i="1" a="1"/>
  <c r="D73" i="1" s="1"/>
  <c r="D77" i="1" a="1"/>
  <c r="D77" i="1" s="1"/>
  <c r="D84" i="1" a="1"/>
  <c r="D84" i="1" s="1"/>
  <c r="D91" i="1" a="1"/>
  <c r="D91" i="1" s="1"/>
  <c r="D95" i="1" a="1"/>
  <c r="D95" i="1" s="1"/>
  <c r="D102" i="1" a="1"/>
  <c r="D102" i="1" s="1"/>
  <c r="D109" i="1" a="1"/>
  <c r="D109" i="1" s="1"/>
  <c r="D113" i="1" a="1"/>
  <c r="D113" i="1" s="1"/>
  <c r="D120" i="1" a="1"/>
  <c r="D120" i="1" s="1"/>
  <c r="D127" i="1" a="1"/>
  <c r="D127" i="1" s="1"/>
  <c r="D131" i="1" a="1"/>
  <c r="D131" i="1" s="1"/>
  <c r="D138" i="1" a="1"/>
  <c r="D138" i="1" s="1"/>
  <c r="D145" i="1" a="1"/>
  <c r="D145" i="1" s="1"/>
  <c r="D149" i="1" a="1"/>
  <c r="D149" i="1" s="1"/>
  <c r="D156" i="1" a="1"/>
  <c r="D156" i="1" s="1"/>
  <c r="D163" i="1" a="1"/>
  <c r="D163" i="1" s="1"/>
  <c r="D168" i="1" a="1"/>
  <c r="D168" i="1" s="1"/>
  <c r="C21" i="1" a="1"/>
  <c r="C21" i="1" s="1"/>
  <c r="C52" i="1" a="1"/>
  <c r="C52" i="1" s="1"/>
  <c r="C72" i="1" a="1"/>
  <c r="C72" i="1" s="1"/>
  <c r="C90" i="1" a="1"/>
  <c r="C90" i="1" s="1"/>
  <c r="C106" i="1" a="1"/>
  <c r="C106" i="1" s="1"/>
  <c r="C121" i="1" a="1"/>
  <c r="C121" i="1" s="1"/>
  <c r="C136" i="1" a="1"/>
  <c r="C136" i="1" s="1"/>
  <c r="C150" i="1" a="1"/>
  <c r="C150" i="1" s="1"/>
  <c r="C160" i="1" a="1"/>
  <c r="C160" i="1" s="1"/>
  <c r="L103" i="1" a="1"/>
  <c r="L103" i="1" s="1"/>
  <c r="K135" i="1" a="1"/>
  <c r="K135" i="1" s="1"/>
  <c r="H97" i="1" a="1"/>
  <c r="H97" i="1" s="1"/>
  <c r="H142" i="1" a="1"/>
  <c r="H142" i="1" s="1"/>
  <c r="G10" i="1" a="1"/>
  <c r="G10" i="1" s="1"/>
  <c r="G28" i="1" a="1"/>
  <c r="G28" i="1" s="1"/>
  <c r="G46" i="1" a="1"/>
  <c r="G46" i="1" s="1"/>
  <c r="G64" i="1" a="1"/>
  <c r="G64" i="1" s="1"/>
  <c r="G82" i="1" a="1"/>
  <c r="G82" i="1" s="1"/>
  <c r="G100" i="1" a="1"/>
  <c r="G100" i="1" s="1"/>
  <c r="G118" i="1" a="1"/>
  <c r="G118" i="1" s="1"/>
  <c r="G136" i="1" a="1"/>
  <c r="G136" i="1" s="1"/>
  <c r="G154" i="1" a="1"/>
  <c r="G154" i="1" s="1"/>
  <c r="H165" i="1" a="1"/>
  <c r="H165" i="1" s="1"/>
  <c r="F65" i="1" a="1"/>
  <c r="F65" i="1" s="1"/>
  <c r="F129" i="1" a="1"/>
  <c r="F129" i="1" s="1"/>
  <c r="F156" i="1" a="1"/>
  <c r="F156" i="1" s="1"/>
  <c r="D3" i="1" a="1"/>
  <c r="D3" i="1" s="1"/>
  <c r="D19" i="1" a="1"/>
  <c r="D19" i="1" s="1"/>
  <c r="D28" i="1" a="1"/>
  <c r="D28" i="1" s="1"/>
  <c r="D46" i="1" a="1"/>
  <c r="D46" i="1" s="1"/>
  <c r="D52" i="1" a="1"/>
  <c r="D52" i="1" s="1"/>
  <c r="D57" i="1" a="1"/>
  <c r="D57" i="1" s="1"/>
  <c r="D61" i="1" a="1"/>
  <c r="D61" i="1" s="1"/>
  <c r="D66" i="1" a="1"/>
  <c r="D66" i="1" s="1"/>
  <c r="D70" i="1" a="1"/>
  <c r="D70" i="1" s="1"/>
  <c r="D74" i="1" a="1"/>
  <c r="D74" i="1" s="1"/>
  <c r="D81" i="1" a="1"/>
  <c r="D81" i="1" s="1"/>
  <c r="D88" i="1" a="1"/>
  <c r="D88" i="1" s="1"/>
  <c r="D92" i="1" a="1"/>
  <c r="D92" i="1" s="1"/>
  <c r="D99" i="1" a="1"/>
  <c r="D99" i="1" s="1"/>
  <c r="D106" i="1" a="1"/>
  <c r="D106" i="1" s="1"/>
  <c r="D110" i="1" a="1"/>
  <c r="D110" i="1" s="1"/>
  <c r="D117" i="1" a="1"/>
  <c r="D117" i="1" s="1"/>
  <c r="D124" i="1" a="1"/>
  <c r="D124" i="1" s="1"/>
  <c r="D128" i="1" a="1"/>
  <c r="D128" i="1" s="1"/>
  <c r="D135" i="1" a="1"/>
  <c r="D135" i="1" s="1"/>
  <c r="D142" i="1" a="1"/>
  <c r="D142" i="1" s="1"/>
  <c r="D146" i="1" a="1"/>
  <c r="D146" i="1" s="1"/>
  <c r="D153" i="1" a="1"/>
  <c r="D153" i="1" s="1"/>
  <c r="D160" i="1" a="1"/>
  <c r="D160" i="1" s="1"/>
  <c r="D164" i="1" a="1"/>
  <c r="D164" i="1" s="1"/>
  <c r="J168" i="1" a="1"/>
  <c r="J168" i="1" s="1"/>
  <c r="C24" i="1" a="1"/>
  <c r="C24" i="1" s="1"/>
  <c r="C34" i="1" a="1"/>
  <c r="C34" i="1" s="1"/>
  <c r="C54" i="1" a="1"/>
  <c r="C54" i="1" s="1"/>
  <c r="C76" i="1" a="1"/>
  <c r="C76" i="1" s="1"/>
  <c r="C94" i="1" a="1"/>
  <c r="C94" i="1" s="1"/>
  <c r="C108" i="1" a="1"/>
  <c r="C108" i="1" s="1"/>
  <c r="C124" i="1" a="1"/>
  <c r="C124" i="1" s="1"/>
  <c r="C138" i="1" a="1"/>
  <c r="C138" i="1" s="1"/>
  <c r="C151" i="1" a="1"/>
  <c r="C151" i="1" s="1"/>
  <c r="C162" i="1" a="1"/>
  <c r="C162" i="1" s="1"/>
  <c r="L130" i="1" a="1"/>
  <c r="L130" i="1" s="1"/>
  <c r="H3" i="1" a="1"/>
  <c r="H3" i="1" s="1"/>
  <c r="H106" i="1" a="1"/>
  <c r="H106" i="1" s="1"/>
  <c r="H149" i="1" a="1"/>
  <c r="H149" i="1" s="1"/>
  <c r="G13" i="1" a="1"/>
  <c r="G13" i="1" s="1"/>
  <c r="G31" i="1" a="1"/>
  <c r="G31" i="1" s="1"/>
  <c r="G49" i="1" a="1"/>
  <c r="G49" i="1" s="1"/>
  <c r="G67" i="1" a="1"/>
  <c r="G67" i="1" s="1"/>
  <c r="G85" i="1" a="1"/>
  <c r="G85" i="1" s="1"/>
  <c r="G103" i="1" a="1"/>
  <c r="G103" i="1" s="1"/>
  <c r="G121" i="1" a="1"/>
  <c r="G121" i="1" s="1"/>
  <c r="G139" i="1" a="1"/>
  <c r="G139" i="1" s="1"/>
  <c r="G157" i="1" a="1"/>
  <c r="G157" i="1" s="1"/>
  <c r="H168" i="1" a="1"/>
  <c r="H168" i="1" s="1"/>
  <c r="F81" i="1" a="1"/>
  <c r="F81" i="1" s="1"/>
  <c r="F116" i="1" a="1"/>
  <c r="F116" i="1" s="1"/>
  <c r="F131" i="1" a="1"/>
  <c r="F131" i="1" s="1"/>
  <c r="F145" i="1" a="1"/>
  <c r="F145" i="1" s="1"/>
  <c r="F159" i="1" a="1"/>
  <c r="F159" i="1" s="1"/>
  <c r="D71" i="1" a="1"/>
  <c r="D71" i="1" s="1"/>
  <c r="D78" i="1" a="1"/>
  <c r="D78" i="1" s="1"/>
  <c r="D85" i="1" a="1"/>
  <c r="D85" i="1" s="1"/>
  <c r="D89" i="1" a="1"/>
  <c r="D89" i="1" s="1"/>
  <c r="D96" i="1" a="1"/>
  <c r="D96" i="1" s="1"/>
  <c r="D103" i="1" a="1"/>
  <c r="D103" i="1" s="1"/>
  <c r="D107" i="1" a="1"/>
  <c r="D107" i="1" s="1"/>
  <c r="D114" i="1" a="1"/>
  <c r="D114" i="1" s="1"/>
  <c r="D121" i="1" a="1"/>
  <c r="D121" i="1" s="1"/>
  <c r="D125" i="1" a="1"/>
  <c r="D125" i="1" s="1"/>
  <c r="D132" i="1" a="1"/>
  <c r="D132" i="1" s="1"/>
  <c r="D139" i="1" a="1"/>
  <c r="D139" i="1" s="1"/>
  <c r="D143" i="1" a="1"/>
  <c r="D143" i="1" s="1"/>
  <c r="D150" i="1" a="1"/>
  <c r="D150" i="1" s="1"/>
  <c r="D157" i="1" a="1"/>
  <c r="D157" i="1" s="1"/>
  <c r="D161" i="1" a="1"/>
  <c r="D161" i="1" s="1"/>
  <c r="D165" i="1" a="1"/>
  <c r="D165" i="1" s="1"/>
  <c r="D169" i="1" a="1"/>
  <c r="D169" i="1" s="1"/>
  <c r="C12" i="1" a="1"/>
  <c r="C12" i="1" s="1"/>
  <c r="C36" i="1" a="1"/>
  <c r="C36" i="1" s="1"/>
  <c r="C58" i="1" a="1"/>
  <c r="C58" i="1" s="1"/>
  <c r="C78" i="1" a="1"/>
  <c r="C78" i="1" s="1"/>
  <c r="C96" i="1" a="1"/>
  <c r="C96" i="1" s="1"/>
  <c r="C112" i="1" a="1"/>
  <c r="C112" i="1" s="1"/>
  <c r="C126" i="1" a="1"/>
  <c r="C126" i="1" s="1"/>
  <c r="C139" i="1" a="1"/>
  <c r="C139" i="1" s="1"/>
  <c r="C153" i="1" a="1"/>
  <c r="C153" i="1" s="1"/>
  <c r="L157" i="1" a="1"/>
  <c r="L157" i="1" s="1"/>
  <c r="H31" i="1" a="1"/>
  <c r="H31" i="1" s="1"/>
  <c r="H113" i="1" a="1"/>
  <c r="H113" i="1" s="1"/>
  <c r="H156" i="1" a="1"/>
  <c r="H156" i="1" s="1"/>
  <c r="G16" i="1" a="1"/>
  <c r="G16" i="1" s="1"/>
  <c r="G34" i="1" a="1"/>
  <c r="G34" i="1" s="1"/>
  <c r="G52" i="1" a="1"/>
  <c r="G52" i="1" s="1"/>
  <c r="G70" i="1" a="1"/>
  <c r="G70" i="1" s="1"/>
  <c r="G88" i="1" a="1"/>
  <c r="G88" i="1" s="1"/>
  <c r="G106" i="1" a="1"/>
  <c r="G106" i="1" s="1"/>
  <c r="G124" i="1" a="1"/>
  <c r="G124" i="1" s="1"/>
  <c r="G142" i="1" a="1"/>
  <c r="G142" i="1" s="1"/>
  <c r="G160" i="1" a="1"/>
  <c r="G160" i="1" s="1"/>
  <c r="F4" i="1" a="1"/>
  <c r="F4" i="1" s="1"/>
  <c r="F103" i="1" a="1"/>
  <c r="F103" i="1" s="1"/>
  <c r="F119" i="1" a="1"/>
  <c r="F119" i="1" s="1"/>
  <c r="F134" i="1" a="1"/>
  <c r="F134" i="1" s="1"/>
  <c r="D13" i="1" a="1"/>
  <c r="D13" i="1" s="1"/>
  <c r="D22" i="1" a="1"/>
  <c r="D22" i="1" s="1"/>
  <c r="D31" i="1" a="1"/>
  <c r="D31" i="1" s="1"/>
  <c r="D40" i="1" a="1"/>
  <c r="D40" i="1" s="1"/>
  <c r="D48" i="1" a="1"/>
  <c r="D48" i="1" s="1"/>
  <c r="D54" i="1" a="1"/>
  <c r="D54" i="1" s="1"/>
  <c r="D58" i="1" a="1"/>
  <c r="D58" i="1" s="1"/>
  <c r="D63" i="1" a="1"/>
  <c r="D63" i="1" s="1"/>
  <c r="D67" i="1" a="1"/>
  <c r="D67" i="1" s="1"/>
  <c r="D75" i="1" a="1"/>
  <c r="D75" i="1" s="1"/>
  <c r="D82" i="1" a="1"/>
  <c r="D82" i="1" s="1"/>
  <c r="D86" i="1" a="1"/>
  <c r="D86" i="1" s="1"/>
  <c r="D93" i="1" a="1"/>
  <c r="D93" i="1" s="1"/>
  <c r="D100" i="1" a="1"/>
  <c r="D100" i="1" s="1"/>
  <c r="D104" i="1" a="1"/>
  <c r="D104" i="1" s="1"/>
  <c r="D111" i="1" a="1"/>
  <c r="D111" i="1" s="1"/>
  <c r="D118" i="1" a="1"/>
  <c r="D118" i="1" s="1"/>
  <c r="D122" i="1" a="1"/>
  <c r="D122" i="1" s="1"/>
  <c r="D129" i="1" a="1"/>
  <c r="D129" i="1" s="1"/>
  <c r="D136" i="1" a="1"/>
  <c r="D136" i="1" s="1"/>
  <c r="D140" i="1" a="1"/>
  <c r="D140" i="1" s="1"/>
  <c r="D147" i="1" a="1"/>
  <c r="D147" i="1" s="1"/>
  <c r="D154" i="1" a="1"/>
  <c r="D154" i="1" s="1"/>
  <c r="D158" i="1" a="1"/>
  <c r="D158" i="1" s="1"/>
  <c r="C15" i="1" a="1"/>
  <c r="C15" i="1" s="1"/>
  <c r="C27" i="1" a="1"/>
  <c r="C27" i="1" s="1"/>
  <c r="C40" i="1" a="1"/>
  <c r="C40" i="1" s="1"/>
  <c r="C60" i="1" a="1"/>
  <c r="C60" i="1" s="1"/>
  <c r="C79" i="1" a="1"/>
  <c r="C79" i="1" s="1"/>
  <c r="C97" i="1" a="1"/>
  <c r="C97" i="1" s="1"/>
  <c r="C114" i="1" a="1"/>
  <c r="C114" i="1" s="1"/>
  <c r="C130" i="1" a="1"/>
  <c r="C130" i="1" s="1"/>
  <c r="C142" i="1" a="1"/>
  <c r="C142" i="1" s="1"/>
  <c r="C154" i="1" a="1"/>
  <c r="C154" i="1" s="1"/>
  <c r="C166" i="1" a="1"/>
  <c r="C166" i="1" s="1"/>
  <c r="D133" i="1" a="1"/>
  <c r="D133" i="1" s="1"/>
  <c r="D151" i="1" a="1"/>
  <c r="D151" i="1" s="1"/>
  <c r="D162" i="1" a="1"/>
  <c r="D162" i="1" s="1"/>
  <c r="C30" i="1" a="1"/>
  <c r="C30" i="1" s="1"/>
  <c r="C42" i="1" a="1"/>
  <c r="C42" i="1" s="1"/>
  <c r="C84" i="1" a="1"/>
  <c r="C84" i="1" s="1"/>
  <c r="C102" i="1" a="1"/>
  <c r="C102" i="1" s="1"/>
  <c r="C132" i="1" a="1"/>
  <c r="C132" i="1" s="1"/>
  <c r="C156" i="1" a="1"/>
  <c r="C156" i="1" s="1"/>
  <c r="H49" i="1" a="1"/>
  <c r="H49" i="1" s="1"/>
  <c r="H120" i="1" a="1"/>
  <c r="H120" i="1" s="1"/>
  <c r="H163" i="1" a="1"/>
  <c r="H163" i="1" s="1"/>
  <c r="G19" i="1" a="1"/>
  <c r="G19" i="1" s="1"/>
  <c r="G37" i="1" a="1"/>
  <c r="G37" i="1" s="1"/>
  <c r="G55" i="1" a="1"/>
  <c r="G55" i="1" s="1"/>
  <c r="G73" i="1" a="1"/>
  <c r="G73" i="1" s="1"/>
  <c r="G91" i="1" a="1"/>
  <c r="G91" i="1" s="1"/>
  <c r="G109" i="1" a="1"/>
  <c r="G109" i="1" s="1"/>
  <c r="G127" i="1" a="1"/>
  <c r="G127" i="1" s="1"/>
  <c r="G145" i="1" a="1"/>
  <c r="G145" i="1" s="1"/>
  <c r="G163" i="1" a="1"/>
  <c r="G163" i="1" s="1"/>
  <c r="F44" i="1" a="1"/>
  <c r="F44" i="1" s="1"/>
  <c r="F107" i="1" a="1"/>
  <c r="F107" i="1" s="1"/>
  <c r="F122" i="1" a="1"/>
  <c r="F122" i="1" s="1"/>
  <c r="F136" i="1" a="1"/>
  <c r="F136" i="1" s="1"/>
  <c r="F149" i="1" a="1"/>
  <c r="F149" i="1" s="1"/>
  <c r="F163" i="1" a="1"/>
  <c r="F163" i="1" s="1"/>
  <c r="D49" i="1" a="1"/>
  <c r="D49" i="1" s="1"/>
  <c r="D72" i="1" a="1"/>
  <c r="D72" i="1" s="1"/>
  <c r="D79" i="1" a="1"/>
  <c r="D79" i="1" s="1"/>
  <c r="D83" i="1" a="1"/>
  <c r="D83" i="1" s="1"/>
  <c r="D90" i="1" a="1"/>
  <c r="D90" i="1" s="1"/>
  <c r="D97" i="1" a="1"/>
  <c r="D97" i="1" s="1"/>
  <c r="D101" i="1" a="1"/>
  <c r="D101" i="1" s="1"/>
  <c r="D108" i="1" a="1"/>
  <c r="D108" i="1" s="1"/>
  <c r="D115" i="1" a="1"/>
  <c r="D115" i="1" s="1"/>
  <c r="D119" i="1" a="1"/>
  <c r="D119" i="1" s="1"/>
  <c r="D126" i="1" a="1"/>
  <c r="D126" i="1" s="1"/>
  <c r="D137" i="1" a="1"/>
  <c r="D137" i="1" s="1"/>
  <c r="D144" i="1" a="1"/>
  <c r="D144" i="1" s="1"/>
  <c r="D155" i="1" a="1"/>
  <c r="D155" i="1" s="1"/>
  <c r="D166" i="1" a="1"/>
  <c r="D166" i="1" s="1"/>
  <c r="C66" i="1" a="1"/>
  <c r="C66" i="1" s="1"/>
  <c r="C115" i="1" a="1"/>
  <c r="C115" i="1" s="1"/>
  <c r="C144" i="1" a="1"/>
  <c r="C144" i="1" s="1"/>
  <c r="H7" i="1" a="1"/>
  <c r="H7" i="1" s="1"/>
  <c r="C28" i="1" a="1"/>
  <c r="C28" i="1" s="1"/>
  <c r="J165" i="1" a="1"/>
  <c r="J165" i="1" s="1"/>
  <c r="J169" i="1" a="1"/>
  <c r="J169" i="1" s="1"/>
  <c r="C165" i="1" a="1"/>
  <c r="C165" i="1" s="1"/>
  <c r="C87" i="1" a="1"/>
  <c r="C87" i="1" s="1"/>
  <c r="N168" i="1" a="1"/>
  <c r="N168" i="1" s="1"/>
  <c r="J150" i="1" a="1"/>
  <c r="J150" i="1" s="1"/>
  <c r="J132" i="1" a="1"/>
  <c r="J132" i="1" s="1"/>
  <c r="J114" i="1" a="1"/>
  <c r="J114" i="1" s="1"/>
  <c r="J96" i="1" a="1"/>
  <c r="J96" i="1" s="1"/>
  <c r="J78" i="1" a="1"/>
  <c r="J78" i="1" s="1"/>
  <c r="J60" i="1" a="1"/>
  <c r="J60" i="1" s="1"/>
  <c r="J42" i="1" a="1"/>
  <c r="J42" i="1" s="1"/>
  <c r="J24" i="1" a="1"/>
  <c r="J24" i="1" s="1"/>
  <c r="C157" i="1" a="1"/>
  <c r="C157" i="1" s="1"/>
  <c r="C31" i="1" a="1"/>
  <c r="C31" i="1" s="1"/>
  <c r="C5" i="1" a="1"/>
  <c r="C5" i="1" s="1"/>
  <c r="C161" i="1" a="1"/>
  <c r="C161" i="1" s="1"/>
  <c r="C149" i="1" a="1"/>
  <c r="C149" i="1" s="1"/>
  <c r="C137" i="1" a="1"/>
  <c r="C137" i="1" s="1"/>
  <c r="C125" i="1" a="1"/>
  <c r="C125" i="1" s="1"/>
  <c r="C113" i="1" a="1"/>
  <c r="C113" i="1" s="1"/>
  <c r="C101" i="1" a="1"/>
  <c r="C101" i="1" s="1"/>
  <c r="C89" i="1" a="1"/>
  <c r="C89" i="1" s="1"/>
  <c r="C77" i="1" a="1"/>
  <c r="C77" i="1" s="1"/>
  <c r="C65" i="1" a="1"/>
  <c r="C65" i="1" s="1"/>
  <c r="C53" i="1" a="1"/>
  <c r="C53" i="1" s="1"/>
  <c r="C41" i="1" a="1"/>
  <c r="C41" i="1" s="1"/>
  <c r="C29" i="1" a="1"/>
  <c r="C29" i="1" s="1"/>
  <c r="C17" i="1" a="1"/>
  <c r="C17" i="1" s="1"/>
  <c r="C67" i="1" a="1"/>
  <c r="C67" i="1" s="1"/>
  <c r="J166" i="1" a="1"/>
  <c r="J166" i="1" s="1"/>
  <c r="J148" i="1" a="1"/>
  <c r="J148" i="1" s="1"/>
  <c r="J130" i="1" a="1"/>
  <c r="J130" i="1" s="1"/>
  <c r="J112" i="1" a="1"/>
  <c r="J112" i="1" s="1"/>
  <c r="J94" i="1" a="1"/>
  <c r="J94" i="1" s="1"/>
  <c r="J76" i="1" a="1"/>
  <c r="J76" i="1" s="1"/>
  <c r="J58" i="1" a="1"/>
  <c r="J58" i="1" s="1"/>
  <c r="J40" i="1" a="1"/>
  <c r="J40" i="1" s="1"/>
  <c r="C129" i="1" a="1"/>
  <c r="C129" i="1" s="1"/>
  <c r="C111" i="1" a="1"/>
  <c r="C111" i="1" s="1"/>
  <c r="J158" i="1" a="1"/>
  <c r="J158" i="1" s="1"/>
  <c r="J146" i="1" a="1"/>
  <c r="J146" i="1" s="1"/>
  <c r="J134" i="1" a="1"/>
  <c r="J134" i="1" s="1"/>
  <c r="J122" i="1" a="1"/>
  <c r="J122" i="1" s="1"/>
  <c r="J110" i="1" a="1"/>
  <c r="J110" i="1" s="1"/>
  <c r="J98" i="1" a="1"/>
  <c r="J98" i="1" s="1"/>
  <c r="J86" i="1" a="1"/>
  <c r="J86" i="1" s="1"/>
  <c r="J74" i="1" a="1"/>
  <c r="J74" i="1" s="1"/>
  <c r="J62" i="1" a="1"/>
  <c r="J62" i="1" s="1"/>
  <c r="J50" i="1" a="1"/>
  <c r="J50" i="1" s="1"/>
  <c r="J38" i="1" a="1"/>
  <c r="J38" i="1" s="1"/>
  <c r="J26" i="1" a="1"/>
  <c r="J26" i="1" s="1"/>
  <c r="J14" i="1" a="1"/>
  <c r="J14" i="1" s="1"/>
  <c r="C147" i="1" a="1"/>
  <c r="C147" i="1" s="1"/>
  <c r="C64" i="1" a="1"/>
  <c r="C64" i="1" s="1"/>
  <c r="H10" i="1" a="1"/>
  <c r="H10" i="1" s="1"/>
  <c r="N165" i="1" a="1"/>
  <c r="N165" i="1" s="1"/>
  <c r="J147" i="1" a="1"/>
  <c r="J147" i="1" s="1"/>
  <c r="J129" i="1" a="1"/>
  <c r="J129" i="1" s="1"/>
  <c r="J111" i="1" a="1"/>
  <c r="J111" i="1" s="1"/>
  <c r="J93" i="1" a="1"/>
  <c r="J93" i="1" s="1"/>
  <c r="J75" i="1" a="1"/>
  <c r="J75" i="1" s="1"/>
  <c r="J57" i="1" a="1"/>
  <c r="J57" i="1" s="1"/>
  <c r="J39" i="1" a="1"/>
  <c r="J39" i="1" s="1"/>
  <c r="P169" i="1" a="1"/>
  <c r="P169" i="1" s="1"/>
  <c r="J151" i="1" a="1"/>
  <c r="J151" i="1" s="1"/>
  <c r="J133" i="1" a="1"/>
  <c r="J133" i="1" s="1"/>
  <c r="J115" i="1" a="1"/>
  <c r="J115" i="1" s="1"/>
  <c r="J97" i="1" a="1"/>
  <c r="J97" i="1" s="1"/>
  <c r="J79" i="1" a="1"/>
  <c r="J79" i="1" s="1"/>
  <c r="J61" i="1" a="1"/>
  <c r="J61" i="1" s="1"/>
  <c r="J43" i="1" a="1"/>
  <c r="J43" i="1" s="1"/>
  <c r="J25" i="1" a="1"/>
  <c r="J25" i="1" s="1"/>
  <c r="C145" i="1" a="1"/>
  <c r="C145" i="1" s="1"/>
  <c r="C55" i="1" a="1"/>
  <c r="C55" i="1" s="1"/>
  <c r="C9" i="1" a="1"/>
  <c r="C9" i="1" s="1"/>
  <c r="C13" i="1" a="1"/>
  <c r="C13" i="1" s="1"/>
  <c r="C63" i="1" a="1"/>
  <c r="C63" i="1" s="1"/>
  <c r="C61" i="1" a="1"/>
  <c r="C61" i="1" s="1"/>
  <c r="C75" i="1" a="1"/>
  <c r="C75" i="1" s="1"/>
  <c r="C11" i="1" a="1"/>
  <c r="C11" i="1" s="1"/>
  <c r="C158" i="1" a="1"/>
  <c r="C158" i="1" s="1"/>
  <c r="C146" i="1" a="1"/>
  <c r="C146" i="1" s="1"/>
  <c r="C134" i="1" a="1"/>
  <c r="C134" i="1" s="1"/>
  <c r="C122" i="1" a="1"/>
  <c r="C122" i="1" s="1"/>
  <c r="C110" i="1" a="1"/>
  <c r="C110" i="1" s="1"/>
  <c r="C98" i="1" a="1"/>
  <c r="C98" i="1" s="1"/>
  <c r="C86" i="1" a="1"/>
  <c r="C86" i="1" s="1"/>
  <c r="C74" i="1" a="1"/>
  <c r="C74" i="1" s="1"/>
  <c r="C62" i="1" a="1"/>
  <c r="C62" i="1" s="1"/>
  <c r="C50" i="1" a="1"/>
  <c r="C50" i="1" s="1"/>
  <c r="C38" i="1" a="1"/>
  <c r="C38" i="1" s="1"/>
  <c r="C26" i="1" a="1"/>
  <c r="C26" i="1" s="1"/>
  <c r="C14" i="1" a="1"/>
  <c r="C14" i="1" s="1"/>
  <c r="C109" i="1" a="1"/>
  <c r="C109" i="1" s="1"/>
  <c r="C37" i="1" a="1"/>
  <c r="C37" i="1" s="1"/>
  <c r="J21" i="1" a="1"/>
  <c r="J21" i="1" s="1"/>
  <c r="J9" i="1" a="1"/>
  <c r="J9" i="1" s="1"/>
  <c r="C93" i="1" a="1"/>
  <c r="C93" i="1" s="1"/>
  <c r="C141" i="1" a="1"/>
  <c r="C141" i="1" s="1"/>
  <c r="C51" i="1" a="1"/>
  <c r="C51" i="1" s="1"/>
  <c r="J162" i="1" a="1"/>
  <c r="J162" i="1" s="1"/>
  <c r="J144" i="1" a="1"/>
  <c r="J144" i="1" s="1"/>
  <c r="J126" i="1" a="1"/>
  <c r="J126" i="1" s="1"/>
  <c r="J108" i="1" a="1"/>
  <c r="J108" i="1" s="1"/>
  <c r="J90" i="1" a="1"/>
  <c r="J90" i="1" s="1"/>
  <c r="J72" i="1" a="1"/>
  <c r="J72" i="1" s="1"/>
  <c r="J54" i="1" a="1"/>
  <c r="J54" i="1" s="1"/>
  <c r="J36" i="1" a="1"/>
  <c r="J36" i="1" s="1"/>
  <c r="J18" i="1" a="1"/>
  <c r="J18" i="1" s="1"/>
  <c r="C3" i="1" a="1"/>
  <c r="C3" i="1" s="1"/>
  <c r="C7" i="1" a="1"/>
  <c r="C7" i="1" s="1"/>
  <c r="N167" i="1" a="1"/>
  <c r="N167" i="1" s="1"/>
  <c r="J155" i="1" a="1"/>
  <c r="J155" i="1" s="1"/>
  <c r="J143" i="1" a="1"/>
  <c r="J143" i="1" s="1"/>
  <c r="J131" i="1" a="1"/>
  <c r="J131" i="1" s="1"/>
  <c r="J119" i="1" a="1"/>
  <c r="J119" i="1" s="1"/>
  <c r="J107" i="1" a="1"/>
  <c r="J107" i="1" s="1"/>
  <c r="J95" i="1" a="1"/>
  <c r="J95" i="1" s="1"/>
  <c r="J83" i="1" a="1"/>
  <c r="J83" i="1" s="1"/>
  <c r="J71" i="1" a="1"/>
  <c r="J71" i="1" s="1"/>
  <c r="J59" i="1" a="1"/>
  <c r="J59" i="1" s="1"/>
  <c r="J47" i="1" a="1"/>
  <c r="J47" i="1" s="1"/>
  <c r="J35" i="1" a="1"/>
  <c r="J35" i="1" s="1"/>
  <c r="J23" i="1" a="1"/>
  <c r="J23" i="1" s="1"/>
  <c r="C135" i="1" a="1"/>
  <c r="C135" i="1" s="1"/>
  <c r="J160" i="1" a="1"/>
  <c r="J160" i="1" s="1"/>
  <c r="J142" i="1" a="1"/>
  <c r="J142" i="1" s="1"/>
  <c r="J124" i="1" a="1"/>
  <c r="J124" i="1" s="1"/>
  <c r="J106" i="1" a="1"/>
  <c r="J106" i="1" s="1"/>
  <c r="J88" i="1" a="1"/>
  <c r="J88" i="1" s="1"/>
  <c r="J70" i="1" a="1"/>
  <c r="J70" i="1" s="1"/>
  <c r="J52" i="1" a="1"/>
  <c r="J52" i="1" s="1"/>
  <c r="J34" i="1" a="1"/>
  <c r="J34" i="1" s="1"/>
  <c r="J16" i="1" a="1"/>
  <c r="J16" i="1" s="1"/>
  <c r="C57" i="1" a="1"/>
  <c r="C57" i="1" s="1"/>
  <c r="C25" i="1" a="1"/>
  <c r="C25" i="1" s="1"/>
  <c r="C169" i="1" a="1"/>
  <c r="C169" i="1" s="1"/>
  <c r="C105" i="1" a="1"/>
  <c r="C105" i="1" s="1"/>
  <c r="J167" i="1" a="1"/>
  <c r="J167" i="1" s="1"/>
  <c r="C118" i="1" a="1"/>
  <c r="C118" i="1" s="1"/>
  <c r="J159" i="1" a="1"/>
  <c r="J159" i="1" s="1"/>
  <c r="J141" i="1" a="1"/>
  <c r="J141" i="1" s="1"/>
  <c r="J123" i="1" a="1"/>
  <c r="J123" i="1" s="1"/>
  <c r="J105" i="1" a="1"/>
  <c r="J105" i="1" s="1"/>
  <c r="J87" i="1" a="1"/>
  <c r="J87" i="1" s="1"/>
  <c r="J69" i="1" a="1"/>
  <c r="J69" i="1" s="1"/>
  <c r="J51" i="1" a="1"/>
  <c r="J51" i="1" s="1"/>
  <c r="J163" i="1" a="1"/>
  <c r="J163" i="1" s="1"/>
  <c r="J145" i="1" a="1"/>
  <c r="J145" i="1" s="1"/>
  <c r="J127" i="1" a="1"/>
  <c r="J127" i="1" s="1"/>
  <c r="J109" i="1" a="1"/>
  <c r="J109" i="1" s="1"/>
  <c r="J91" i="1" a="1"/>
  <c r="J91" i="1" s="1"/>
  <c r="J73" i="1" a="1"/>
  <c r="J73" i="1" s="1"/>
  <c r="J55" i="1" a="1"/>
  <c r="J55" i="1" s="1"/>
  <c r="J37" i="1" a="1"/>
  <c r="J37" i="1" s="1"/>
  <c r="J19" i="1" a="1"/>
  <c r="J19" i="1" s="1"/>
  <c r="C127" i="1" a="1"/>
  <c r="C127" i="1" s="1"/>
  <c r="C19" i="1" a="1"/>
  <c r="C19" i="1" s="1"/>
  <c r="C117" i="1" a="1"/>
  <c r="C117" i="1" s="1"/>
  <c r="C167" i="1" a="1"/>
  <c r="C167" i="1" s="1"/>
  <c r="C155" i="1" a="1"/>
  <c r="C155" i="1" s="1"/>
  <c r="C143" i="1" a="1"/>
  <c r="C143" i="1" s="1"/>
  <c r="C131" i="1" a="1"/>
  <c r="C131" i="1" s="1"/>
  <c r="C119" i="1" a="1"/>
  <c r="C119" i="1" s="1"/>
  <c r="C107" i="1" a="1"/>
  <c r="C107" i="1" s="1"/>
  <c r="C95" i="1" a="1"/>
  <c r="C95" i="1" s="1"/>
  <c r="C83" i="1" a="1"/>
  <c r="C83" i="1" s="1"/>
  <c r="C71" i="1" a="1"/>
  <c r="C71" i="1" s="1"/>
  <c r="C59" i="1" a="1"/>
  <c r="C59" i="1" s="1"/>
  <c r="C47" i="1" a="1"/>
  <c r="C47" i="1" s="1"/>
  <c r="C35" i="1" a="1"/>
  <c r="C35" i="1" s="1"/>
  <c r="C23" i="1" a="1"/>
  <c r="C23" i="1" s="1"/>
  <c r="C99" i="1" a="1"/>
  <c r="C99" i="1" s="1"/>
  <c r="J4" i="1" a="1"/>
  <c r="J4" i="1" s="1"/>
  <c r="C2" i="1" a="1"/>
  <c r="C2" i="1" s="1"/>
  <c r="C43" i="1" a="1"/>
  <c r="C43" i="1" s="1"/>
  <c r="C16" i="1" a="1"/>
  <c r="C16" i="1" s="1"/>
  <c r="J164" i="1" a="1"/>
  <c r="J164" i="1" s="1"/>
  <c r="J152" i="1" a="1"/>
  <c r="J152" i="1" s="1"/>
  <c r="J140" i="1" a="1"/>
  <c r="J140" i="1" s="1"/>
  <c r="J128" i="1" a="1"/>
  <c r="J128" i="1" s="1"/>
  <c r="J116" i="1" a="1"/>
  <c r="J116" i="1" s="1"/>
  <c r="J104" i="1" a="1"/>
  <c r="J104" i="1" s="1"/>
  <c r="J92" i="1" a="1"/>
  <c r="J92" i="1" s="1"/>
  <c r="J80" i="1" a="1"/>
  <c r="J80" i="1" s="1"/>
  <c r="J68" i="1" a="1"/>
  <c r="J68" i="1" s="1"/>
  <c r="J56" i="1" a="1"/>
  <c r="J56" i="1" s="1"/>
  <c r="J44" i="1" a="1"/>
  <c r="J44" i="1" s="1"/>
  <c r="J32" i="1" a="1"/>
  <c r="J32" i="1" s="1"/>
  <c r="J20" i="1" a="1"/>
  <c r="J20" i="1" s="1"/>
  <c r="C10" i="1" a="1"/>
  <c r="C10" i="1" s="1"/>
  <c r="C100" i="1" a="1"/>
  <c r="C100" i="1" s="1"/>
  <c r="J33" i="1" a="1"/>
  <c r="J33" i="1" s="1"/>
  <c r="J15" i="1" a="1"/>
  <c r="J15" i="1" s="1"/>
  <c r="C82" i="1" a="1"/>
  <c r="C82" i="1" s="1"/>
  <c r="J3" i="1" a="1"/>
  <c r="J3" i="1" s="1"/>
  <c r="C123" i="1" a="1"/>
  <c r="C123" i="1" s="1"/>
  <c r="J156" i="1" a="1"/>
  <c r="J156" i="1" s="1"/>
  <c r="J138" i="1" a="1"/>
  <c r="J138" i="1" s="1"/>
  <c r="J120" i="1" a="1"/>
  <c r="J120" i="1" s="1"/>
  <c r="J102" i="1" a="1"/>
  <c r="J102" i="1" s="1"/>
  <c r="J84" i="1" a="1"/>
  <c r="J84" i="1" s="1"/>
  <c r="J66" i="1" a="1"/>
  <c r="J66" i="1" s="1"/>
  <c r="J48" i="1" a="1"/>
  <c r="J48" i="1" s="1"/>
  <c r="J30" i="1" a="1"/>
  <c r="J30" i="1" s="1"/>
  <c r="J12" i="1" a="1"/>
  <c r="J12" i="1" s="1"/>
  <c r="C49" i="1" a="1"/>
  <c r="C49" i="1" s="1"/>
  <c r="C85" i="1" a="1"/>
  <c r="C85" i="1" s="1"/>
  <c r="J154" i="1" a="1"/>
  <c r="J154" i="1" s="1"/>
  <c r="J136" i="1" a="1"/>
  <c r="J136" i="1" s="1"/>
  <c r="J118" i="1" a="1"/>
  <c r="J118" i="1" s="1"/>
  <c r="J100" i="1" a="1"/>
  <c r="J100" i="1" s="1"/>
  <c r="J82" i="1" a="1"/>
  <c r="J82" i="1" s="1"/>
  <c r="J64" i="1" a="1"/>
  <c r="J64" i="1" s="1"/>
  <c r="J46" i="1" a="1"/>
  <c r="J46" i="1" s="1"/>
  <c r="J28" i="1" a="1"/>
  <c r="J28" i="1" s="1"/>
  <c r="C163" i="1" a="1"/>
  <c r="C163" i="1" s="1"/>
  <c r="C39" i="1" a="1"/>
  <c r="C39" i="1" s="1"/>
  <c r="C164" i="1" a="1"/>
  <c r="C164" i="1" s="1"/>
  <c r="C152" i="1" a="1"/>
  <c r="C152" i="1" s="1"/>
  <c r="C140" i="1" a="1"/>
  <c r="C140" i="1" s="1"/>
  <c r="C128" i="1" a="1"/>
  <c r="C128" i="1" s="1"/>
  <c r="C116" i="1" a="1"/>
  <c r="C116" i="1" s="1"/>
  <c r="C104" i="1" a="1"/>
  <c r="C104" i="1" s="1"/>
  <c r="C92" i="1" a="1"/>
  <c r="C92" i="1" s="1"/>
  <c r="C80" i="1" a="1"/>
  <c r="C80" i="1" s="1"/>
  <c r="C68" i="1" a="1"/>
  <c r="C68" i="1" s="1"/>
  <c r="C56" i="1" a="1"/>
  <c r="C56" i="1" s="1"/>
  <c r="C44" i="1" a="1"/>
  <c r="C44" i="1" s="1"/>
  <c r="C32" i="1" a="1"/>
  <c r="C32" i="1" s="1"/>
  <c r="C20" i="1" a="1"/>
  <c r="C20" i="1" s="1"/>
  <c r="C4" i="1" a="1"/>
  <c r="C4" i="1" s="1"/>
  <c r="C73" i="1" a="1"/>
  <c r="C73" i="1" s="1"/>
  <c r="C46" i="1" a="1"/>
  <c r="C46" i="1" s="1"/>
  <c r="J153" i="1" a="1"/>
  <c r="J153" i="1" s="1"/>
  <c r="J135" i="1" a="1"/>
  <c r="J135" i="1" s="1"/>
  <c r="J117" i="1" a="1"/>
  <c r="J117" i="1" s="1"/>
  <c r="J99" i="1" a="1"/>
  <c r="J99" i="1" s="1"/>
  <c r="J81" i="1" a="1"/>
  <c r="J81" i="1" s="1"/>
  <c r="J63" i="1" a="1"/>
  <c r="J63" i="1" s="1"/>
  <c r="J45" i="1" a="1"/>
  <c r="J45" i="1" s="1"/>
  <c r="N169" i="1" a="1"/>
  <c r="N169" i="1" s="1"/>
  <c r="J157" i="1" a="1"/>
  <c r="J157" i="1" s="1"/>
  <c r="J139" i="1" a="1"/>
  <c r="J139" i="1" s="1"/>
  <c r="J121" i="1" a="1"/>
  <c r="J121" i="1" s="1"/>
  <c r="J103" i="1" a="1"/>
  <c r="J103" i="1" s="1"/>
  <c r="J85" i="1" a="1"/>
  <c r="J85" i="1" s="1"/>
  <c r="J67" i="1" a="1"/>
  <c r="J67" i="1" s="1"/>
  <c r="J49" i="1" a="1"/>
  <c r="J49" i="1" s="1"/>
  <c r="J31" i="1" a="1"/>
  <c r="J31" i="1" s="1"/>
  <c r="J13" i="1" a="1"/>
  <c r="J13" i="1" s="1"/>
  <c r="C91" i="1" a="1"/>
  <c r="C91" i="1" s="1"/>
  <c r="C168" i="1" a="1"/>
  <c r="C168" i="1" s="1"/>
  <c r="C45" i="1" a="1"/>
  <c r="C45" i="1" s="1"/>
  <c r="J161" i="1" a="1"/>
  <c r="J161" i="1" s="1"/>
  <c r="J149" i="1" a="1"/>
  <c r="J149" i="1" s="1"/>
  <c r="J137" i="1" a="1"/>
  <c r="J137" i="1" s="1"/>
  <c r="J125" i="1" a="1"/>
  <c r="J125" i="1" s="1"/>
  <c r="J113" i="1" a="1"/>
  <c r="J113" i="1" s="1"/>
  <c r="J101" i="1" a="1"/>
  <c r="J101" i="1" s="1"/>
  <c r="J89" i="1" a="1"/>
  <c r="J89" i="1" s="1"/>
  <c r="J77" i="1" a="1"/>
  <c r="J77" i="1" s="1"/>
  <c r="J65" i="1" a="1"/>
  <c r="J65" i="1" s="1"/>
  <c r="J53" i="1" a="1"/>
  <c r="J53" i="1" s="1"/>
  <c r="J41" i="1" a="1"/>
  <c r="J41" i="1" s="1"/>
  <c r="J29" i="1" a="1"/>
  <c r="J29" i="1" s="1"/>
  <c r="J17" i="1" a="1"/>
  <c r="J17" i="1" s="1"/>
  <c r="C81" i="1" a="1"/>
  <c r="C81" i="1" s="1"/>
  <c r="J22" i="1" a="1"/>
  <c r="J22" i="1" s="1"/>
  <c r="C159" i="1" a="1"/>
  <c r="C159" i="1" s="1"/>
  <c r="N166" i="1" a="1"/>
  <c r="N166" i="1" s="1"/>
  <c r="C8" i="1" a="1"/>
  <c r="C8" i="1" s="1"/>
  <c r="Q169" i="1" a="1"/>
  <c r="Q169" i="1" s="1"/>
  <c r="C69" i="1" a="1"/>
  <c r="C69" i="1" s="1"/>
  <c r="J27" i="1" a="1"/>
  <c r="J27" i="1" s="1"/>
  <c r="P95" i="1" a="1"/>
  <c r="P95" i="1" s="1"/>
  <c r="F105" i="1" a="1"/>
  <c r="F105" i="1" s="1"/>
  <c r="J10" i="1" a="1"/>
  <c r="J10" i="1" s="1"/>
  <c r="P102" i="1" a="1"/>
  <c r="P102" i="1" s="1"/>
  <c r="P39" i="1" a="1"/>
  <c r="P39" i="1" s="1"/>
  <c r="D10" i="1" a="1"/>
  <c r="D10" i="1" s="1"/>
  <c r="P37" i="1" a="1"/>
  <c r="P37" i="1" s="1"/>
  <c r="P49" i="1" a="1"/>
  <c r="P49" i="1" s="1"/>
  <c r="P94" i="1" a="1"/>
  <c r="P94" i="1" s="1"/>
  <c r="Q94" i="1" a="1"/>
  <c r="Q94" i="1" s="1"/>
  <c r="P27" i="1" a="1"/>
  <c r="P27" i="1" s="1"/>
  <c r="P105" i="1" a="1"/>
  <c r="P105" i="1" s="1"/>
  <c r="Q22" i="1" a="1"/>
  <c r="Q22" i="1" s="1"/>
  <c r="J7" i="1" a="1"/>
  <c r="J7" i="1" s="1"/>
  <c r="P89" i="1" a="1"/>
  <c r="P89" i="1" s="1"/>
  <c r="P41" i="1" a="1"/>
  <c r="P41" i="1" s="1"/>
  <c r="P99" i="1" a="1"/>
  <c r="P99" i="1" s="1"/>
  <c r="P88" i="1" a="1"/>
  <c r="P88" i="1" s="1"/>
  <c r="P93" i="1" a="1"/>
  <c r="P93" i="1" s="1"/>
  <c r="P59" i="1" a="1"/>
  <c r="P59" i="1" s="1"/>
  <c r="F9" i="1" a="1"/>
  <c r="F9" i="1" s="1"/>
  <c r="P22" i="1" a="1"/>
  <c r="P22" i="1" s="1"/>
  <c r="P87" i="1" a="1"/>
  <c r="P87" i="1" s="1"/>
  <c r="H9" i="1" a="1"/>
  <c r="H9" i="1" s="1"/>
  <c r="P47" i="1" a="1"/>
  <c r="P47" i="1" s="1"/>
  <c r="H6" i="1" a="1"/>
  <c r="H6" i="1" s="1"/>
  <c r="F7" i="1" a="1"/>
  <c r="F7" i="1" s="1"/>
  <c r="P40" i="1" a="1"/>
  <c r="P40" i="1" s="1"/>
  <c r="P82" i="1" a="1"/>
  <c r="P82" i="1" s="1"/>
  <c r="D9" i="1" a="1"/>
  <c r="D9" i="1" s="1"/>
  <c r="P90" i="1" a="1"/>
  <c r="P90" i="1" s="1"/>
  <c r="P79" i="1" a="1"/>
  <c r="P79" i="1" s="1"/>
  <c r="P98" i="1" a="1"/>
  <c r="P98" i="1" s="1"/>
  <c r="P103" i="1" a="1"/>
  <c r="P103" i="1" s="1"/>
  <c r="Q92" i="1" a="1"/>
  <c r="Q92" i="1" s="1"/>
  <c r="Q101" i="1" a="1"/>
  <c r="Q101" i="1" s="1"/>
  <c r="P92" i="1" a="1"/>
  <c r="P92" i="1" s="1"/>
  <c r="Q100" i="1" a="1"/>
  <c r="Q100" i="1" s="1"/>
  <c r="D7" i="1" a="1"/>
  <c r="D7" i="1" s="1"/>
  <c r="P38" i="1" a="1"/>
  <c r="P38" i="1" s="1"/>
  <c r="F10" i="1" a="1"/>
  <c r="F10" i="1" s="1"/>
  <c r="P97" i="1" a="1"/>
  <c r="P97" i="1" s="1"/>
  <c r="P101" i="1" a="1"/>
  <c r="P101" i="1" s="1"/>
  <c r="P91" i="1" a="1"/>
  <c r="P91" i="1" s="1"/>
  <c r="P96" i="1" a="1"/>
  <c r="P96" i="1" s="1"/>
  <c r="P85" i="1" a="1"/>
  <c r="P85" i="1" s="1"/>
  <c r="P100" i="1" a="1"/>
  <c r="P100" i="1" s="1"/>
  <c r="Q28" i="1" a="1"/>
  <c r="Q28" i="1" s="1"/>
  <c r="Q38" i="1" a="1"/>
  <c r="Q38" i="1" s="1"/>
  <c r="F17" i="1" a="1"/>
  <c r="F17" i="1" s="1"/>
  <c r="F34" i="1" a="1"/>
  <c r="F34" i="1" s="1"/>
  <c r="F46" i="1" a="1"/>
  <c r="F46" i="1" s="1"/>
  <c r="F86" i="1" a="1"/>
  <c r="F86" i="1" s="1"/>
  <c r="F67" i="1" a="1"/>
  <c r="F67" i="1" s="1"/>
  <c r="F11" i="1" a="1"/>
  <c r="F11" i="1" s="1"/>
  <c r="F38" i="1" a="1"/>
  <c r="F38" i="1" s="1"/>
  <c r="F90" i="1" a="1"/>
  <c r="F90" i="1" s="1"/>
  <c r="F37" i="1" a="1"/>
  <c r="F37" i="1" s="1"/>
  <c r="F26" i="1" a="1"/>
  <c r="F26" i="1" s="1"/>
  <c r="F24" i="1" a="1"/>
  <c r="F24" i="1" s="1"/>
  <c r="F35" i="1" a="1"/>
  <c r="F35" i="1" s="1"/>
  <c r="F69" i="1" a="1"/>
  <c r="F69" i="1" s="1"/>
  <c r="F5" i="1" a="1"/>
  <c r="F5" i="1" s="1"/>
  <c r="F21" i="1" a="1"/>
  <c r="F21" i="1" s="1"/>
  <c r="F16" i="1" a="1"/>
  <c r="F16" i="1" s="1"/>
  <c r="Q104" i="1" a="1"/>
  <c r="Q104" i="1" s="1"/>
  <c r="Q96" i="1" a="1"/>
  <c r="Q96" i="1" s="1"/>
  <c r="P28" i="1" a="1"/>
  <c r="P28" i="1" s="1"/>
  <c r="Q41" i="1" a="1"/>
  <c r="Q41" i="1" s="1"/>
  <c r="Q86" i="1" a="1"/>
  <c r="Q86" i="1" s="1"/>
  <c r="F50" i="1" a="1"/>
  <c r="F50" i="1" s="1"/>
  <c r="D5" i="1" a="1"/>
  <c r="D5" i="1" s="1"/>
  <c r="F25" i="1" a="1"/>
  <c r="F25" i="1" s="1"/>
  <c r="H5" i="1" a="1"/>
  <c r="H5" i="1" s="1"/>
  <c r="F45" i="1" a="1"/>
  <c r="F45" i="1" s="1"/>
  <c r="F91" i="1" a="1"/>
  <c r="F91" i="1" s="1"/>
  <c r="J5" i="1" a="1"/>
  <c r="J5" i="1" s="1"/>
  <c r="D11" i="1" a="1"/>
  <c r="D11" i="1" s="1"/>
  <c r="H2" i="1" a="1"/>
  <c r="H2" i="1" s="1"/>
  <c r="F93" i="1" a="1"/>
  <c r="F93" i="1" s="1"/>
  <c r="F100" i="1" a="1"/>
  <c r="F100" i="1" s="1"/>
  <c r="F23" i="1" a="1"/>
  <c r="F23" i="1" s="1"/>
  <c r="F6" i="1" a="1"/>
  <c r="F6" i="1" s="1"/>
  <c r="D2" i="1" a="1"/>
  <c r="D2" i="1" s="1"/>
  <c r="F27" i="1" a="1"/>
  <c r="F27" i="1" s="1"/>
  <c r="F39" i="1" a="1"/>
  <c r="F39" i="1" s="1"/>
  <c r="Q99" i="1" a="1"/>
  <c r="Q99" i="1" s="1"/>
  <c r="Q95" i="1" a="1"/>
  <c r="Q95" i="1" s="1"/>
  <c r="Q27" i="1" a="1"/>
  <c r="Q27" i="1" s="1"/>
  <c r="F96" i="1" a="1"/>
  <c r="F96" i="1" s="1"/>
  <c r="F36" i="1" a="1"/>
  <c r="F36" i="1" s="1"/>
  <c r="H8" i="1" a="1"/>
  <c r="H8" i="1" s="1"/>
  <c r="F20" i="1" a="1"/>
  <c r="F20" i="1" s="1"/>
  <c r="F62" i="1" a="1"/>
  <c r="F62" i="1" s="1"/>
  <c r="F33" i="1" a="1"/>
  <c r="F33" i="1" s="1"/>
  <c r="F14" i="1" a="1"/>
  <c r="F14" i="1" s="1"/>
  <c r="F57" i="1" a="1"/>
  <c r="F57" i="1" s="1"/>
  <c r="F70" i="1" a="1"/>
  <c r="F70" i="1" s="1"/>
  <c r="F42" i="1" a="1"/>
  <c r="F42" i="1" s="1"/>
  <c r="F99" i="1" a="1"/>
  <c r="F99" i="1" s="1"/>
  <c r="F43" i="1" a="1"/>
  <c r="F43" i="1" s="1"/>
  <c r="J11" i="1" a="1"/>
  <c r="J11" i="1" s="1"/>
  <c r="F102" i="1" a="1"/>
  <c r="F102" i="1" s="1"/>
  <c r="F28" i="1" a="1"/>
  <c r="F28" i="1" s="1"/>
  <c r="F101" i="1" a="1"/>
  <c r="F101" i="1" s="1"/>
  <c r="Q91" i="1" a="1"/>
  <c r="Q91" i="1" s="1"/>
  <c r="Q39" i="1" a="1"/>
  <c r="Q39" i="1" s="1"/>
  <c r="Q47" i="1" a="1"/>
  <c r="Q47" i="1" s="1"/>
  <c r="Q102" i="1" a="1"/>
  <c r="Q102" i="1" s="1"/>
  <c r="P86" i="1" a="1"/>
  <c r="P86" i="1" s="1"/>
  <c r="Q105" i="1" a="1"/>
  <c r="Q105" i="1" s="1"/>
  <c r="Q85" i="1" a="1"/>
  <c r="Q85" i="1" s="1"/>
  <c r="Q82" i="1" a="1"/>
  <c r="Q82" i="1" s="1"/>
  <c r="F41" i="1" a="1"/>
  <c r="F41" i="1" s="1"/>
  <c r="F78" i="1" a="1"/>
  <c r="F78" i="1" s="1"/>
  <c r="F32" i="1" a="1"/>
  <c r="F32" i="1" s="1"/>
  <c r="F79" i="1" a="1"/>
  <c r="F79" i="1" s="1"/>
  <c r="F82" i="1" a="1"/>
  <c r="F82" i="1" s="1"/>
  <c r="F59" i="1" a="1"/>
  <c r="F59" i="1" s="1"/>
  <c r="F58" i="1" a="1"/>
  <c r="F58" i="1" s="1"/>
  <c r="F104" i="1" a="1"/>
  <c r="F104" i="1" s="1"/>
  <c r="F74" i="1" a="1"/>
  <c r="F74" i="1" s="1"/>
  <c r="J6" i="1" a="1"/>
  <c r="J6" i="1" s="1"/>
  <c r="F61" i="1" a="1"/>
  <c r="F61" i="1" s="1"/>
  <c r="F40" i="1" a="1"/>
  <c r="F40" i="1" s="1"/>
  <c r="F13" i="1" a="1"/>
  <c r="F13" i="1" s="1"/>
  <c r="F97" i="1" a="1"/>
  <c r="F97" i="1" s="1"/>
  <c r="F73" i="1" a="1"/>
  <c r="F73" i="1" s="1"/>
  <c r="D6" i="1" a="1"/>
  <c r="D6" i="1" s="1"/>
  <c r="Q83" i="1" a="1"/>
  <c r="Q83" i="1" s="1"/>
  <c r="Q97" i="1" a="1"/>
  <c r="Q97" i="1" s="1"/>
  <c r="Q89" i="1" a="1"/>
  <c r="Q89" i="1" s="1"/>
  <c r="I44" i="8"/>
  <c r="I84" i="8"/>
  <c r="I56" i="8"/>
  <c r="I58" i="8"/>
  <c r="I21" i="8"/>
  <c r="I4" i="8"/>
  <c r="I27" i="8"/>
  <c r="K27" i="4" s="1"/>
  <c r="I74" i="8"/>
  <c r="I22" i="8"/>
  <c r="I60" i="8"/>
  <c r="I90" i="8"/>
  <c r="I57" i="8"/>
  <c r="I97" i="8"/>
  <c r="I86" i="8"/>
  <c r="I12" i="8"/>
  <c r="K12" i="4" s="1"/>
  <c r="K75" i="1" s="1" a="1"/>
  <c r="K75" i="1" s="1"/>
  <c r="I72" i="8"/>
  <c r="I45" i="8"/>
  <c r="I33" i="8"/>
  <c r="K33" i="4" s="1"/>
  <c r="K48" i="1" s="1" a="1"/>
  <c r="K48" i="1" s="1"/>
  <c r="I54" i="8"/>
  <c r="I20" i="8"/>
  <c r="I18" i="8"/>
  <c r="K256" i="4"/>
  <c r="K255" i="4"/>
  <c r="K258" i="4"/>
  <c r="K253" i="4"/>
  <c r="K254" i="4"/>
  <c r="K257" i="4"/>
  <c r="K259" i="4"/>
  <c r="K260" i="4"/>
  <c r="I89" i="8"/>
  <c r="I73" i="8"/>
  <c r="I103" i="8"/>
  <c r="I100" i="8"/>
  <c r="I53" i="8"/>
  <c r="I7" i="8"/>
  <c r="I75" i="8"/>
  <c r="I79" i="8"/>
  <c r="I19" i="8"/>
  <c r="K19" i="4" s="1"/>
  <c r="I93" i="8"/>
  <c r="I61" i="8"/>
  <c r="I13" i="8"/>
  <c r="I83" i="8"/>
  <c r="I8" i="8"/>
  <c r="I23" i="8"/>
  <c r="I11" i="8"/>
  <c r="K11" i="4" s="1"/>
  <c r="K55" i="1" s="1" a="1"/>
  <c r="K55" i="1" s="1"/>
  <c r="I96" i="8"/>
  <c r="I91" i="8"/>
  <c r="I29" i="8"/>
  <c r="I25" i="8"/>
  <c r="K25" i="4" s="1"/>
  <c r="K45" i="1" s="1" a="1"/>
  <c r="K45" i="1" s="1"/>
  <c r="I31" i="8"/>
  <c r="I52" i="8"/>
  <c r="I39" i="8"/>
  <c r="K39" i="4" s="1"/>
  <c r="K69" i="1" s="1" a="1"/>
  <c r="K69" i="1" s="1"/>
  <c r="I34" i="8"/>
  <c r="I37" i="8"/>
  <c r="I65" i="8"/>
  <c r="I63" i="8"/>
  <c r="I66" i="8"/>
  <c r="I99" i="8"/>
  <c r="P2" i="4"/>
  <c r="L4" i="1" s="1" a="1"/>
  <c r="L4" i="1" s="1"/>
  <c r="I64" i="8"/>
  <c r="I98" i="8"/>
  <c r="I69" i="8"/>
  <c r="I15" i="8"/>
  <c r="I78" i="8"/>
  <c r="I10" i="8"/>
  <c r="K10" i="4" s="1"/>
  <c r="K76" i="1" s="1" a="1"/>
  <c r="K76" i="1" s="1"/>
  <c r="I16" i="8"/>
  <c r="I46" i="8"/>
  <c r="I26" i="8"/>
  <c r="I30" i="8"/>
  <c r="I95" i="8"/>
  <c r="I88" i="8"/>
  <c r="I70" i="8"/>
  <c r="I82" i="8"/>
  <c r="I9" i="8"/>
  <c r="I49" i="8"/>
  <c r="I71" i="8"/>
  <c r="I43" i="8"/>
  <c r="I77" i="8"/>
  <c r="I51" i="8"/>
  <c r="I35" i="8"/>
  <c r="I81" i="8"/>
  <c r="I55" i="8"/>
  <c r="I50" i="8"/>
  <c r="I38" i="8"/>
  <c r="I68" i="8"/>
  <c r="I6" i="8"/>
  <c r="I101" i="8"/>
  <c r="I59" i="8"/>
  <c r="I42" i="8"/>
  <c r="K42" i="4" s="1"/>
  <c r="I41" i="8"/>
  <c r="I76" i="8"/>
  <c r="I17" i="8"/>
  <c r="I24" i="8"/>
  <c r="I67" i="8"/>
  <c r="I3" i="8"/>
  <c r="I47" i="8"/>
  <c r="I92" i="8"/>
  <c r="I80" i="8"/>
  <c r="I40" i="8"/>
  <c r="K40" i="4" s="1"/>
  <c r="K53" i="1" s="1" a="1"/>
  <c r="K53" i="1" s="1"/>
  <c r="I28" i="8"/>
  <c r="I14" i="8"/>
  <c r="I62" i="8"/>
  <c r="I102" i="8"/>
  <c r="I5" i="8"/>
  <c r="I104" i="8"/>
  <c r="I94" i="8"/>
  <c r="I36" i="8"/>
  <c r="I85" i="8"/>
  <c r="I48" i="8"/>
  <c r="I32" i="8"/>
  <c r="K6" i="1" l="1" a="1"/>
  <c r="K6" i="1" s="1"/>
  <c r="K21" i="1" a="1"/>
  <c r="K21" i="1" s="1"/>
  <c r="K25" i="1" a="1"/>
  <c r="K25" i="1" s="1"/>
  <c r="K10" i="1" a="1"/>
  <c r="K10" i="1" s="1"/>
  <c r="A2" i="13" a="1"/>
  <c r="D17" i="13"/>
  <c r="E18" i="13"/>
  <c r="F19" i="13"/>
  <c r="B21" i="13"/>
  <c r="C22" i="13"/>
  <c r="D23" i="13"/>
  <c r="E24" i="13"/>
  <c r="F25" i="13"/>
  <c r="B27" i="13"/>
  <c r="C28" i="13"/>
  <c r="D29" i="13"/>
  <c r="E30" i="13"/>
  <c r="F31" i="13"/>
  <c r="B33" i="13"/>
  <c r="C34" i="13"/>
  <c r="D35" i="13"/>
  <c r="E36" i="13"/>
  <c r="F37" i="13"/>
  <c r="B39" i="13"/>
  <c r="C40" i="13"/>
  <c r="D41" i="13"/>
  <c r="E42" i="13"/>
  <c r="F43" i="13"/>
  <c r="B45" i="13"/>
  <c r="C46" i="13"/>
  <c r="D47" i="13"/>
  <c r="E48" i="13"/>
  <c r="F49" i="13"/>
  <c r="B51" i="13"/>
  <c r="C52" i="13"/>
  <c r="D53" i="13"/>
  <c r="E54" i="13"/>
  <c r="F55" i="13"/>
  <c r="B57" i="13"/>
  <c r="C58" i="13"/>
  <c r="D59" i="13"/>
  <c r="E60" i="13"/>
  <c r="F61" i="13"/>
  <c r="B63" i="13"/>
  <c r="C64" i="13"/>
  <c r="D65" i="13"/>
  <c r="E66" i="13"/>
  <c r="F67" i="13"/>
  <c r="B69" i="13"/>
  <c r="C70" i="13"/>
  <c r="D71" i="13"/>
  <c r="E72" i="13"/>
  <c r="F73" i="13"/>
  <c r="B75" i="13"/>
  <c r="C76" i="13"/>
  <c r="D77" i="13"/>
  <c r="E78" i="13"/>
  <c r="F79" i="13"/>
  <c r="B81" i="13"/>
  <c r="C82" i="13"/>
  <c r="E17" i="13"/>
  <c r="F18" i="13"/>
  <c r="B20" i="13"/>
  <c r="C21" i="13"/>
  <c r="D22" i="13"/>
  <c r="E23" i="13"/>
  <c r="F24" i="13"/>
  <c r="B26" i="13"/>
  <c r="C27" i="13"/>
  <c r="D28" i="13"/>
  <c r="E29" i="13"/>
  <c r="F30" i="13"/>
  <c r="B32" i="13"/>
  <c r="C33" i="13"/>
  <c r="D34" i="13"/>
  <c r="E35" i="13"/>
  <c r="F36" i="13"/>
  <c r="B38" i="13"/>
  <c r="C39" i="13"/>
  <c r="D40" i="13"/>
  <c r="E41" i="13"/>
  <c r="F42" i="13"/>
  <c r="B44" i="13"/>
  <c r="C45" i="13"/>
  <c r="D46" i="13"/>
  <c r="E47" i="13"/>
  <c r="F48" i="13"/>
  <c r="B50" i="13"/>
  <c r="C51" i="13"/>
  <c r="D52" i="13"/>
  <c r="E53" i="13"/>
  <c r="F54" i="13"/>
  <c r="B56" i="13"/>
  <c r="C57" i="13"/>
  <c r="D58" i="13"/>
  <c r="E59" i="13"/>
  <c r="F60" i="13"/>
  <c r="B62" i="13"/>
  <c r="C63" i="13"/>
  <c r="D64" i="13"/>
  <c r="E65" i="13"/>
  <c r="F66" i="13"/>
  <c r="B68" i="13"/>
  <c r="C69" i="13"/>
  <c r="D70" i="13"/>
  <c r="E71" i="13"/>
  <c r="F72" i="13"/>
  <c r="B74" i="13"/>
  <c r="C75" i="13"/>
  <c r="D76" i="13"/>
  <c r="E77" i="13"/>
  <c r="F78" i="13"/>
  <c r="B80" i="13"/>
  <c r="C81" i="13"/>
  <c r="D82" i="13"/>
  <c r="F17" i="13"/>
  <c r="B19" i="13"/>
  <c r="C20" i="13"/>
  <c r="D21" i="13"/>
  <c r="E22" i="13"/>
  <c r="F23" i="13"/>
  <c r="B25" i="13"/>
  <c r="C26" i="13"/>
  <c r="D27" i="13"/>
  <c r="E28" i="13"/>
  <c r="F29" i="13"/>
  <c r="B31" i="13"/>
  <c r="C32" i="13"/>
  <c r="D33" i="13"/>
  <c r="E34" i="13"/>
  <c r="F35" i="13"/>
  <c r="B37" i="13"/>
  <c r="C38" i="13"/>
  <c r="D39" i="13"/>
  <c r="E40" i="13"/>
  <c r="F41" i="13"/>
  <c r="B43" i="13"/>
  <c r="C44" i="13"/>
  <c r="D45" i="13"/>
  <c r="E46" i="13"/>
  <c r="F47" i="13"/>
  <c r="B49" i="13"/>
  <c r="C50" i="13"/>
  <c r="D51" i="13"/>
  <c r="E52" i="13"/>
  <c r="F53" i="13"/>
  <c r="B55" i="13"/>
  <c r="C56" i="13"/>
  <c r="D57" i="13"/>
  <c r="E58" i="13"/>
  <c r="F59" i="13"/>
  <c r="B61" i="13"/>
  <c r="C62" i="13"/>
  <c r="D63" i="13"/>
  <c r="E64" i="13"/>
  <c r="F65" i="13"/>
  <c r="B67" i="13"/>
  <c r="C68" i="13"/>
  <c r="D69" i="13"/>
  <c r="E70" i="13"/>
  <c r="F71" i="13"/>
  <c r="B18" i="13"/>
  <c r="C19" i="13"/>
  <c r="D20" i="13"/>
  <c r="E21" i="13"/>
  <c r="F22" i="13"/>
  <c r="B24" i="13"/>
  <c r="C25" i="13"/>
  <c r="D26" i="13"/>
  <c r="E27" i="13"/>
  <c r="F28" i="13"/>
  <c r="B30" i="13"/>
  <c r="C31" i="13"/>
  <c r="D32" i="13"/>
  <c r="E33" i="13"/>
  <c r="F34" i="13"/>
  <c r="B36" i="13"/>
  <c r="C37" i="13"/>
  <c r="D38" i="13"/>
  <c r="E39" i="13"/>
  <c r="F40" i="13"/>
  <c r="B42" i="13"/>
  <c r="C43" i="13"/>
  <c r="D44" i="13"/>
  <c r="E45" i="13"/>
  <c r="F46" i="13"/>
  <c r="B48" i="13"/>
  <c r="C49" i="13"/>
  <c r="D50" i="13"/>
  <c r="E51" i="13"/>
  <c r="F52" i="13"/>
  <c r="B54" i="13"/>
  <c r="C55" i="13"/>
  <c r="D56" i="13"/>
  <c r="E57" i="13"/>
  <c r="F58" i="13"/>
  <c r="B60" i="13"/>
  <c r="C61" i="13"/>
  <c r="D62" i="13"/>
  <c r="E63" i="13"/>
  <c r="F64" i="13"/>
  <c r="B66" i="13"/>
  <c r="C67" i="13"/>
  <c r="D68" i="13"/>
  <c r="E69" i="13"/>
  <c r="F70" i="13"/>
  <c r="B72" i="13"/>
  <c r="C73" i="13"/>
  <c r="D74" i="13"/>
  <c r="E75" i="13"/>
  <c r="F76" i="13"/>
  <c r="B78" i="13"/>
  <c r="C79" i="13"/>
  <c r="D80" i="13"/>
  <c r="E81" i="13"/>
  <c r="F82" i="13"/>
  <c r="C18" i="13"/>
  <c r="F21" i="13"/>
  <c r="D25" i="13"/>
  <c r="B29" i="13"/>
  <c r="E32" i="13"/>
  <c r="C36" i="13"/>
  <c r="F39" i="13"/>
  <c r="D43" i="13"/>
  <c r="B47" i="13"/>
  <c r="E50" i="13"/>
  <c r="C54" i="13"/>
  <c r="F57" i="13"/>
  <c r="D61" i="13"/>
  <c r="B65" i="13"/>
  <c r="E68" i="13"/>
  <c r="C72" i="13"/>
  <c r="E74" i="13"/>
  <c r="B77" i="13"/>
  <c r="D79" i="13"/>
  <c r="F81" i="13"/>
  <c r="D18" i="13"/>
  <c r="B22" i="13"/>
  <c r="E25" i="13"/>
  <c r="C29" i="13"/>
  <c r="F32" i="13"/>
  <c r="D36" i="13"/>
  <c r="B40" i="13"/>
  <c r="E43" i="13"/>
  <c r="C47" i="13"/>
  <c r="F50" i="13"/>
  <c r="D54" i="13"/>
  <c r="B58" i="13"/>
  <c r="E61" i="13"/>
  <c r="C65" i="13"/>
  <c r="F68" i="13"/>
  <c r="D72" i="13"/>
  <c r="F74" i="13"/>
  <c r="C77" i="13"/>
  <c r="E79" i="13"/>
  <c r="B82" i="13"/>
  <c r="D19" i="13"/>
  <c r="B23" i="13"/>
  <c r="E26" i="13"/>
  <c r="C30" i="13"/>
  <c r="F33" i="13"/>
  <c r="D37" i="13"/>
  <c r="B41" i="13"/>
  <c r="E44" i="13"/>
  <c r="C48" i="13"/>
  <c r="F51" i="13"/>
  <c r="D55" i="13"/>
  <c r="B59" i="13"/>
  <c r="E62" i="13"/>
  <c r="C66" i="13"/>
  <c r="F69" i="13"/>
  <c r="B73" i="13"/>
  <c r="D75" i="13"/>
  <c r="F77" i="13"/>
  <c r="C80" i="13"/>
  <c r="E82" i="13"/>
  <c r="E19" i="13"/>
  <c r="C23" i="13"/>
  <c r="F26" i="13"/>
  <c r="D30" i="13"/>
  <c r="B34" i="13"/>
  <c r="E37" i="13"/>
  <c r="C41" i="13"/>
  <c r="F44" i="13"/>
  <c r="D48" i="13"/>
  <c r="B52" i="13"/>
  <c r="E55" i="13"/>
  <c r="C59" i="13"/>
  <c r="F62" i="13"/>
  <c r="D66" i="13"/>
  <c r="B70" i="13"/>
  <c r="D73" i="13"/>
  <c r="F75" i="13"/>
  <c r="C78" i="13"/>
  <c r="E80" i="13"/>
  <c r="B17" i="13"/>
  <c r="E20" i="13"/>
  <c r="C24" i="13"/>
  <c r="F27" i="13"/>
  <c r="D31" i="13"/>
  <c r="B35" i="13"/>
  <c r="E38" i="13"/>
  <c r="C42" i="13"/>
  <c r="F45" i="13"/>
  <c r="D49" i="13"/>
  <c r="B53" i="13"/>
  <c r="E56" i="13"/>
  <c r="C60" i="13"/>
  <c r="F63" i="13"/>
  <c r="D67" i="13"/>
  <c r="B71" i="13"/>
  <c r="E73" i="13"/>
  <c r="B76" i="13"/>
  <c r="D78" i="13"/>
  <c r="F80" i="13"/>
  <c r="C17" i="13"/>
  <c r="F20" i="13"/>
  <c r="D24" i="13"/>
  <c r="B28" i="13"/>
  <c r="E31" i="13"/>
  <c r="C35" i="13"/>
  <c r="F38" i="13"/>
  <c r="D42" i="13"/>
  <c r="B46" i="13"/>
  <c r="E49" i="13"/>
  <c r="C53" i="13"/>
  <c r="F56" i="13"/>
  <c r="D60" i="13"/>
  <c r="B64" i="13"/>
  <c r="E67" i="13"/>
  <c r="C71" i="13"/>
  <c r="C74" i="13"/>
  <c r="E76" i="13"/>
  <c r="B79" i="13"/>
  <c r="D81" i="13"/>
  <c r="L33" i="1" a="1"/>
  <c r="L33" i="1" s="1"/>
  <c r="K29" i="4"/>
  <c r="K42" i="1" s="1" a="1"/>
  <c r="K42" i="1" s="1"/>
  <c r="K13" i="4"/>
  <c r="K50" i="1" s="1" a="1"/>
  <c r="K50" i="1" s="1"/>
  <c r="K20" i="4"/>
  <c r="K74" i="1" s="1" a="1"/>
  <c r="K74" i="1" s="1"/>
  <c r="K4" i="4"/>
  <c r="K8" i="1" s="1" a="1"/>
  <c r="K8" i="1" s="1"/>
  <c r="K23" i="4"/>
  <c r="K56" i="1" s="1" a="1"/>
  <c r="K56" i="1" s="1"/>
  <c r="K6" i="4"/>
  <c r="K7" i="1" s="1" a="1"/>
  <c r="K7" i="1" s="1"/>
  <c r="K7" i="4"/>
  <c r="K13" i="1" s="1" a="1"/>
  <c r="K13" i="1" s="1"/>
  <c r="K14" i="4"/>
  <c r="L57" i="1" a="1"/>
  <c r="L57" i="1" s="1"/>
  <c r="K34" i="4"/>
  <c r="K64" i="1" s="1" a="1"/>
  <c r="K64" i="1" s="1"/>
  <c r="K17" i="4"/>
  <c r="K73" i="1" s="1" a="1"/>
  <c r="K73" i="1" s="1"/>
  <c r="K36" i="4"/>
  <c r="K52" i="1" s="1" a="1"/>
  <c r="K52" i="1" s="1"/>
  <c r="K37" i="4"/>
  <c r="K65" i="1" s="1" a="1"/>
  <c r="K65" i="1" s="1"/>
  <c r="K8" i="4"/>
  <c r="K23" i="1" s="1" a="1"/>
  <c r="K23" i="1" s="1"/>
  <c r="K21" i="4"/>
  <c r="K28" i="4"/>
  <c r="K30" i="4"/>
  <c r="K63" i="1" s="1" a="1"/>
  <c r="K63" i="1" s="1"/>
  <c r="K31" i="4"/>
  <c r="K38" i="4"/>
  <c r="K12" i="1" s="1" a="1"/>
  <c r="K12" i="1" s="1"/>
  <c r="K15" i="4"/>
  <c r="K46" i="1" s="1" a="1"/>
  <c r="K46" i="1" s="1"/>
  <c r="K22" i="4"/>
  <c r="K61" i="1" s="1" a="1"/>
  <c r="K61" i="1" s="1"/>
  <c r="K41" i="4"/>
  <c r="K77" i="1" s="1" a="1"/>
  <c r="K77" i="1" s="1"/>
  <c r="K5" i="4"/>
  <c r="K16" i="1" s="1" a="1"/>
  <c r="K16" i="1" s="1"/>
  <c r="K24" i="4"/>
  <c r="K32" i="4"/>
  <c r="K71" i="1" s="1" a="1"/>
  <c r="K71" i="1" s="1"/>
  <c r="K9" i="4"/>
  <c r="K24" i="1" s="1" a="1"/>
  <c r="K24" i="1" s="1"/>
  <c r="K16" i="4"/>
  <c r="K80" i="1" s="1" a="1"/>
  <c r="K80" i="1" s="1"/>
  <c r="K35" i="4"/>
  <c r="K68" i="1" s="1" a="1"/>
  <c r="K68" i="1" s="1"/>
  <c r="K18" i="4"/>
  <c r="K26" i="4"/>
  <c r="K14" i="1" s="1" a="1"/>
  <c r="K14" i="1" s="1"/>
  <c r="K3" i="4"/>
  <c r="K9" i="1" a="1"/>
  <c r="K9" i="1" s="1"/>
  <c r="K3" i="1" a="1"/>
  <c r="K3" i="1" s="1"/>
  <c r="K11" i="1" a="1"/>
  <c r="K11" i="1" s="1"/>
  <c r="K2" i="1" a="1"/>
  <c r="K2" i="1" s="1"/>
  <c r="D2" i="8"/>
  <c r="G2" i="8" s="1"/>
  <c r="E2" i="8"/>
  <c r="H2" i="8" s="1"/>
  <c r="J70" i="12"/>
  <c r="J188" i="12"/>
  <c r="H94" i="12"/>
  <c r="J14" i="12"/>
  <c r="J235" i="12"/>
  <c r="J401" i="12"/>
  <c r="H226" i="12"/>
  <c r="K58" i="12"/>
  <c r="J125" i="12"/>
  <c r="H124" i="12"/>
  <c r="J18" i="12"/>
  <c r="J214" i="12"/>
  <c r="H185" i="12"/>
  <c r="H59" i="12"/>
  <c r="J71" i="12"/>
  <c r="H370" i="12"/>
  <c r="J43" i="12"/>
  <c r="J107" i="12"/>
  <c r="K125" i="12"/>
  <c r="H254" i="12"/>
  <c r="J434" i="12"/>
  <c r="H432" i="12"/>
  <c r="J237" i="12"/>
  <c r="J116" i="12"/>
  <c r="H411" i="12"/>
  <c r="K70" i="12"/>
  <c r="K64" i="12"/>
  <c r="H229" i="12"/>
  <c r="J105" i="12"/>
  <c r="J9" i="12"/>
  <c r="H123" i="12"/>
  <c r="K103" i="12"/>
  <c r="H201" i="12"/>
  <c r="J384" i="12"/>
  <c r="H194" i="12"/>
  <c r="H148" i="12"/>
  <c r="J403" i="12"/>
  <c r="K219" i="12"/>
  <c r="H315" i="12"/>
  <c r="J172" i="12"/>
  <c r="K104" i="12"/>
  <c r="J115" i="12"/>
  <c r="K21" i="12"/>
  <c r="K93" i="12"/>
  <c r="K55" i="12"/>
  <c r="J258" i="12"/>
  <c r="K185" i="12"/>
  <c r="H270" i="12"/>
  <c r="H241" i="12"/>
  <c r="H57" i="12"/>
  <c r="J310" i="12"/>
  <c r="K76" i="12"/>
  <c r="K156" i="12"/>
  <c r="J68" i="12"/>
  <c r="H67" i="12"/>
  <c r="H183" i="12"/>
  <c r="K24" i="12"/>
  <c r="J318" i="12"/>
  <c r="K150" i="12"/>
  <c r="J210" i="12"/>
  <c r="K190" i="12"/>
  <c r="K176" i="12"/>
  <c r="K22" i="12"/>
  <c r="J425" i="12"/>
  <c r="H298" i="12"/>
  <c r="H264" i="12"/>
  <c r="K135" i="12"/>
  <c r="H157" i="12"/>
  <c r="H348" i="12"/>
  <c r="J332" i="12"/>
  <c r="J142" i="12"/>
  <c r="H90" i="12"/>
  <c r="K223" i="12"/>
  <c r="J192" i="12"/>
  <c r="H364" i="12"/>
  <c r="K193" i="12"/>
  <c r="J40" i="12"/>
  <c r="K239" i="12"/>
  <c r="J159" i="12"/>
  <c r="J222" i="12"/>
  <c r="H233" i="12"/>
  <c r="K242" i="12"/>
  <c r="K117" i="12"/>
  <c r="H268" i="12"/>
  <c r="J207" i="12"/>
  <c r="J346" i="12"/>
  <c r="J431" i="12"/>
  <c r="H149" i="12"/>
  <c r="H60" i="12"/>
  <c r="K229" i="12"/>
  <c r="H31" i="12"/>
  <c r="H70" i="12"/>
  <c r="K251" i="12"/>
  <c r="H384" i="12"/>
  <c r="H75" i="12"/>
  <c r="H413" i="12"/>
  <c r="J6" i="12"/>
  <c r="H408" i="12"/>
  <c r="H426" i="12"/>
  <c r="J394" i="12"/>
  <c r="H352" i="12"/>
  <c r="H353" i="12"/>
  <c r="H100" i="12"/>
  <c r="K172" i="12"/>
  <c r="H209" i="12"/>
  <c r="J25" i="12"/>
  <c r="J102" i="12"/>
  <c r="H317" i="12"/>
  <c r="J361" i="12"/>
  <c r="H164" i="12"/>
  <c r="H425" i="12"/>
  <c r="H403" i="12"/>
  <c r="H93" i="12"/>
  <c r="J267" i="12"/>
  <c r="K129" i="12"/>
  <c r="K44" i="12"/>
  <c r="J49" i="12"/>
  <c r="H112" i="12"/>
  <c r="J227" i="12"/>
  <c r="J136" i="12"/>
  <c r="K54" i="12"/>
  <c r="J313" i="12"/>
  <c r="J83" i="12"/>
  <c r="H234" i="12"/>
  <c r="J35" i="12"/>
  <c r="J22" i="12"/>
  <c r="K119" i="12"/>
  <c r="K146" i="12"/>
  <c r="J146" i="12"/>
  <c r="J264" i="12"/>
  <c r="J362" i="12"/>
  <c r="J397" i="12"/>
  <c r="K186" i="12"/>
  <c r="K166" i="12"/>
  <c r="J215" i="12"/>
  <c r="K77" i="12"/>
  <c r="J443" i="12"/>
  <c r="J364" i="12"/>
  <c r="J223" i="12"/>
  <c r="J411" i="12"/>
  <c r="H62" i="12"/>
  <c r="J348" i="12"/>
  <c r="K152" i="12"/>
  <c r="H95" i="12"/>
  <c r="J352" i="12"/>
  <c r="J206" i="12"/>
  <c r="J356" i="12"/>
  <c r="K199" i="12"/>
  <c r="H20" i="12"/>
  <c r="J337" i="12"/>
  <c r="H141" i="12"/>
  <c r="J183" i="12"/>
  <c r="J252" i="12"/>
  <c r="J45" i="12"/>
  <c r="H325" i="12"/>
  <c r="H391" i="12"/>
  <c r="H383" i="12"/>
  <c r="H228" i="12"/>
  <c r="J198" i="12"/>
  <c r="H47" i="12"/>
  <c r="K217" i="12"/>
  <c r="H392" i="12"/>
  <c r="J360" i="12"/>
  <c r="H200" i="12"/>
  <c r="H388" i="12"/>
  <c r="H65" i="12"/>
  <c r="H119" i="12"/>
  <c r="K132" i="12"/>
  <c r="J389" i="12"/>
  <c r="J212" i="12"/>
  <c r="J47" i="12"/>
  <c r="J171" i="12"/>
  <c r="J108" i="12"/>
  <c r="J341" i="12"/>
  <c r="J357" i="12"/>
  <c r="J242" i="12"/>
  <c r="J20" i="12"/>
  <c r="J44" i="12"/>
  <c r="J285" i="12"/>
  <c r="H376" i="12"/>
  <c r="J418" i="12"/>
  <c r="H28" i="12"/>
  <c r="H219" i="12"/>
  <c r="K3" i="12"/>
  <c r="K38" i="12"/>
  <c r="K153" i="12"/>
  <c r="K33" i="12"/>
  <c r="H350" i="12"/>
  <c r="H344" i="12"/>
  <c r="H373" i="12"/>
  <c r="J205" i="12"/>
  <c r="J79" i="12"/>
  <c r="H399" i="12"/>
  <c r="H246" i="12"/>
  <c r="K154" i="12"/>
  <c r="J106" i="12"/>
  <c r="H372" i="12"/>
  <c r="J95" i="12"/>
  <c r="J15" i="12"/>
  <c r="J383" i="12"/>
  <c r="K8" i="12"/>
  <c r="K241" i="12"/>
  <c r="H263" i="12"/>
  <c r="H336" i="12"/>
  <c r="K180" i="12"/>
  <c r="H174" i="12"/>
  <c r="J308" i="12"/>
  <c r="H307" i="12"/>
  <c r="J367" i="12"/>
  <c r="H387" i="12"/>
  <c r="H189" i="12"/>
  <c r="K39" i="12"/>
  <c r="J147" i="12"/>
  <c r="K123" i="12"/>
  <c r="J99" i="12"/>
  <c r="H378" i="12"/>
  <c r="J430" i="12"/>
  <c r="H276" i="12"/>
  <c r="J302" i="12"/>
  <c r="J446" i="12"/>
  <c r="J173" i="12"/>
  <c r="H23" i="12"/>
  <c r="J414" i="12"/>
  <c r="H53" i="12"/>
  <c r="J232" i="12"/>
  <c r="J417" i="12"/>
  <c r="K12" i="12"/>
  <c r="J177" i="12"/>
  <c r="J276" i="12"/>
  <c r="J327" i="12"/>
  <c r="H340" i="12"/>
  <c r="H419" i="12"/>
  <c r="H56" i="12"/>
  <c r="J112" i="12"/>
  <c r="K249" i="12"/>
  <c r="J175" i="12"/>
  <c r="J338" i="12"/>
  <c r="H360" i="12"/>
  <c r="H244" i="12"/>
  <c r="H400" i="12"/>
  <c r="H76" i="12"/>
  <c r="H368" i="12"/>
  <c r="J149" i="12"/>
  <c r="K102" i="12"/>
  <c r="H197" i="12"/>
  <c r="H72" i="12"/>
  <c r="H272" i="12"/>
  <c r="H375" i="12"/>
  <c r="K192" i="12"/>
  <c r="H261" i="12"/>
  <c r="H111" i="12"/>
  <c r="K178" i="12"/>
  <c r="J312" i="12"/>
  <c r="H359" i="12"/>
  <c r="H196" i="12"/>
  <c r="H117" i="12"/>
  <c r="H203" i="12"/>
  <c r="J16" i="12"/>
  <c r="J178" i="12"/>
  <c r="J415" i="12"/>
  <c r="J261" i="12"/>
  <c r="K81" i="12"/>
  <c r="K90" i="12"/>
  <c r="K23" i="12"/>
  <c r="H16" i="12"/>
  <c r="H417" i="12"/>
  <c r="J441" i="12"/>
  <c r="H187" i="12"/>
  <c r="J121" i="12"/>
  <c r="J67" i="12"/>
  <c r="H313" i="12"/>
  <c r="J321" i="12"/>
  <c r="H52" i="12"/>
  <c r="K74" i="12"/>
  <c r="J265" i="12"/>
  <c r="K128" i="12"/>
  <c r="H210" i="12"/>
  <c r="H24" i="12"/>
  <c r="J165" i="12"/>
  <c r="K4" i="12"/>
  <c r="J12" i="12"/>
  <c r="J249" i="12"/>
  <c r="H248" i="12"/>
  <c r="J32" i="12"/>
  <c r="J160" i="12"/>
  <c r="H355" i="12"/>
  <c r="H137" i="12"/>
  <c r="H365" i="12"/>
  <c r="H135" i="12"/>
  <c r="J41" i="12"/>
  <c r="K113" i="12"/>
  <c r="J377" i="12"/>
  <c r="K80" i="12"/>
  <c r="K15" i="12"/>
  <c r="J433" i="12"/>
  <c r="K20" i="12"/>
  <c r="J131" i="12"/>
  <c r="K126" i="12"/>
  <c r="H206" i="12"/>
  <c r="J97" i="12"/>
  <c r="J366" i="12"/>
  <c r="H247" i="12"/>
  <c r="H2" i="12"/>
  <c r="J179" i="12"/>
  <c r="K88" i="12"/>
  <c r="H152" i="12"/>
  <c r="J224" i="12"/>
  <c r="J28" i="12"/>
  <c r="H271" i="12"/>
  <c r="K208" i="12"/>
  <c r="H73" i="12"/>
  <c r="H225" i="12"/>
  <c r="J400" i="12"/>
  <c r="K158" i="12"/>
  <c r="K194" i="12"/>
  <c r="J317" i="12"/>
  <c r="J244" i="12"/>
  <c r="K69" i="12"/>
  <c r="J334" i="12"/>
  <c r="J202" i="12"/>
  <c r="J63" i="12"/>
  <c r="H230" i="12"/>
  <c r="J132" i="12"/>
  <c r="K66" i="12"/>
  <c r="H389" i="12"/>
  <c r="J374" i="12"/>
  <c r="H118" i="12"/>
  <c r="J280" i="12"/>
  <c r="J429" i="12"/>
  <c r="J117" i="12"/>
  <c r="J323" i="12"/>
  <c r="H433" i="12"/>
  <c r="H301" i="12"/>
  <c r="H204" i="12"/>
  <c r="J300" i="12"/>
  <c r="H334" i="12"/>
  <c r="K122" i="12"/>
  <c r="J363" i="12"/>
  <c r="H211" i="12"/>
  <c r="J371" i="12"/>
  <c r="J266" i="12"/>
  <c r="H435" i="12"/>
  <c r="H422" i="12"/>
  <c r="J398" i="12"/>
  <c r="H173" i="12"/>
  <c r="K116" i="12"/>
  <c r="J143" i="12"/>
  <c r="J30" i="12"/>
  <c r="J303" i="12"/>
  <c r="H121" i="12"/>
  <c r="K11" i="12"/>
  <c r="H382" i="12"/>
  <c r="J262" i="12"/>
  <c r="H253" i="12"/>
  <c r="K177" i="12"/>
  <c r="J241" i="12"/>
  <c r="K78" i="12"/>
  <c r="J380" i="12"/>
  <c r="H386" i="12"/>
  <c r="J36" i="12"/>
  <c r="K105" i="12"/>
  <c r="K10" i="12"/>
  <c r="H163" i="12"/>
  <c r="J270" i="12"/>
  <c r="H186" i="12"/>
  <c r="J38" i="12"/>
  <c r="H357" i="12"/>
  <c r="J42" i="12"/>
  <c r="H278" i="12"/>
  <c r="K138" i="12"/>
  <c r="H48" i="12"/>
  <c r="H198" i="12"/>
  <c r="K94" i="12"/>
  <c r="K6" i="12"/>
  <c r="H88" i="12"/>
  <c r="H415" i="12"/>
  <c r="H235" i="12"/>
  <c r="J62" i="12"/>
  <c r="H212" i="12"/>
  <c r="H346" i="12"/>
  <c r="J225" i="12"/>
  <c r="J101" i="12"/>
  <c r="H331" i="12"/>
  <c r="J349" i="12"/>
  <c r="K187" i="12"/>
  <c r="J139" i="12"/>
  <c r="K41" i="12"/>
  <c r="H324" i="12"/>
  <c r="J77" i="12"/>
  <c r="J216" i="12"/>
  <c r="K82" i="12"/>
  <c r="J84" i="12"/>
  <c r="K60" i="12"/>
  <c r="J376" i="12"/>
  <c r="K148" i="12"/>
  <c r="J351" i="12"/>
  <c r="J59" i="12"/>
  <c r="H105" i="12"/>
  <c r="J282" i="12"/>
  <c r="H431" i="12"/>
  <c r="H320" i="12"/>
  <c r="J283" i="12"/>
  <c r="J340" i="12"/>
  <c r="H398" i="12"/>
  <c r="J385" i="12"/>
  <c r="H162" i="12"/>
  <c r="H249" i="12"/>
  <c r="J228" i="12"/>
  <c r="J72" i="12"/>
  <c r="H311" i="12"/>
  <c r="H416" i="12"/>
  <c r="J10" i="12"/>
  <c r="J233" i="12"/>
  <c r="J193" i="12"/>
  <c r="J208" i="12"/>
  <c r="H295" i="12"/>
  <c r="H71" i="12"/>
  <c r="K29" i="12"/>
  <c r="K100" i="12"/>
  <c r="J89" i="12"/>
  <c r="H120" i="12"/>
  <c r="H231" i="12"/>
  <c r="J3" i="12"/>
  <c r="H102" i="12"/>
  <c r="K245" i="12"/>
  <c r="J154" i="12"/>
  <c r="H158" i="12"/>
  <c r="H371" i="12"/>
  <c r="H64" i="12"/>
  <c r="H126" i="12"/>
  <c r="H256" i="12"/>
  <c r="J196" i="12"/>
  <c r="H169" i="12"/>
  <c r="J55" i="12"/>
  <c r="K83" i="12"/>
  <c r="J185" i="12"/>
  <c r="K72" i="12"/>
  <c r="H255" i="12"/>
  <c r="J275" i="12"/>
  <c r="H309" i="12"/>
  <c r="J375" i="12"/>
  <c r="H402" i="12"/>
  <c r="H242" i="12"/>
  <c r="J413" i="12"/>
  <c r="H35" i="12"/>
  <c r="H131" i="12"/>
  <c r="H61" i="12"/>
  <c r="J134" i="12"/>
  <c r="J217" i="12"/>
  <c r="H274" i="12"/>
  <c r="H223" i="12"/>
  <c r="H322" i="12"/>
  <c r="J402" i="12"/>
  <c r="H281" i="12"/>
  <c r="H133" i="12"/>
  <c r="J328" i="12"/>
  <c r="J333" i="12"/>
  <c r="K48" i="12"/>
  <c r="J350" i="12"/>
  <c r="J445" i="12"/>
  <c r="J255" i="12"/>
  <c r="K207" i="12"/>
  <c r="H319" i="12"/>
  <c r="H326" i="12"/>
  <c r="H356" i="12"/>
  <c r="K92" i="12"/>
  <c r="H191" i="12"/>
  <c r="H305" i="12"/>
  <c r="J322" i="12"/>
  <c r="J256" i="12"/>
  <c r="H109" i="12"/>
  <c r="H394" i="12"/>
  <c r="H9" i="12"/>
  <c r="H184" i="12"/>
  <c r="H318" i="12"/>
  <c r="J8" i="12"/>
  <c r="K165" i="12"/>
  <c r="K147" i="12"/>
  <c r="H308" i="12"/>
  <c r="J161" i="12"/>
  <c r="H409" i="12"/>
  <c r="H4" i="12"/>
  <c r="H393" i="12"/>
  <c r="K145" i="12"/>
  <c r="J305" i="12"/>
  <c r="K195" i="12"/>
  <c r="H273" i="12"/>
  <c r="H345" i="12"/>
  <c r="K115" i="12"/>
  <c r="J396" i="12"/>
  <c r="J96" i="12"/>
  <c r="H91" i="12"/>
  <c r="H89" i="12"/>
  <c r="J420" i="12"/>
  <c r="H292" i="12"/>
  <c r="J197" i="12"/>
  <c r="J325" i="12"/>
  <c r="H347" i="12"/>
  <c r="H113" i="12"/>
  <c r="K204" i="12"/>
  <c r="J145" i="12"/>
  <c r="K235" i="12"/>
  <c r="K28" i="12"/>
  <c r="K47" i="12"/>
  <c r="H280" i="12"/>
  <c r="H312" i="12"/>
  <c r="H160" i="12"/>
  <c r="K45" i="12"/>
  <c r="H434" i="12"/>
  <c r="H332" i="12"/>
  <c r="J170" i="12"/>
  <c r="H239" i="12"/>
  <c r="K111" i="12"/>
  <c r="J247" i="12"/>
  <c r="K171" i="12"/>
  <c r="H19" i="12"/>
  <c r="J123" i="12"/>
  <c r="K57" i="12"/>
  <c r="H107" i="12"/>
  <c r="H342" i="12"/>
  <c r="J435" i="12"/>
  <c r="J271" i="12"/>
  <c r="H22" i="12"/>
  <c r="J281" i="12"/>
  <c r="J295" i="12"/>
  <c r="H236" i="12"/>
  <c r="J194" i="12"/>
  <c r="K155" i="12"/>
  <c r="K203" i="12"/>
  <c r="K202" i="12"/>
  <c r="J293" i="12"/>
  <c r="J253" i="12"/>
  <c r="H192" i="12"/>
  <c r="K151" i="12"/>
  <c r="J114" i="12"/>
  <c r="J87" i="12"/>
  <c r="J86" i="12"/>
  <c r="H428" i="12"/>
  <c r="H215" i="12"/>
  <c r="K110" i="12"/>
  <c r="J329" i="12"/>
  <c r="J82" i="12"/>
  <c r="H55" i="12"/>
  <c r="J294" i="12"/>
  <c r="J204" i="12"/>
  <c r="J292" i="12"/>
  <c r="J331" i="12"/>
  <c r="H151" i="12"/>
  <c r="K236" i="12"/>
  <c r="K130" i="12"/>
  <c r="H106" i="12"/>
  <c r="H412" i="12"/>
  <c r="J33" i="12"/>
  <c r="H32" i="12"/>
  <c r="J113" i="12"/>
  <c r="K17" i="12"/>
  <c r="H297" i="12"/>
  <c r="H26" i="12"/>
  <c r="J124" i="12"/>
  <c r="K196" i="12"/>
  <c r="J220" i="12"/>
  <c r="H138" i="12"/>
  <c r="H46" i="12"/>
  <c r="J94" i="12"/>
  <c r="H30" i="12"/>
  <c r="J51" i="12"/>
  <c r="J421" i="12"/>
  <c r="K35" i="12"/>
  <c r="J422" i="12"/>
  <c r="J191" i="12"/>
  <c r="K43" i="12"/>
  <c r="J269" i="12"/>
  <c r="J23" i="12"/>
  <c r="H260" i="12"/>
  <c r="H237" i="12"/>
  <c r="K225" i="12"/>
  <c r="H58" i="12"/>
  <c r="J250" i="12"/>
  <c r="J373" i="12"/>
  <c r="H414" i="12"/>
  <c r="H49" i="12"/>
  <c r="H339" i="12"/>
  <c r="K161" i="12"/>
  <c r="J5" i="12"/>
  <c r="H250" i="12"/>
  <c r="H361" i="12"/>
  <c r="J90" i="12"/>
  <c r="J405" i="12"/>
  <c r="J174" i="12"/>
  <c r="H14" i="12"/>
  <c r="K25" i="12"/>
  <c r="J298" i="12"/>
  <c r="H354" i="12"/>
  <c r="J330" i="12"/>
  <c r="J369" i="12"/>
  <c r="J98" i="12"/>
  <c r="H266" i="12"/>
  <c r="J390" i="12"/>
  <c r="J50" i="12"/>
  <c r="H180" i="12"/>
  <c r="J354" i="12"/>
  <c r="J440" i="12"/>
  <c r="J246" i="12"/>
  <c r="H97" i="12"/>
  <c r="H80" i="12"/>
  <c r="H116" i="12"/>
  <c r="K114" i="12"/>
  <c r="J91" i="12"/>
  <c r="H380" i="12"/>
  <c r="J290" i="12"/>
  <c r="J365" i="12"/>
  <c r="H101" i="12"/>
  <c r="K5" i="12"/>
  <c r="H10" i="12"/>
  <c r="J190" i="12"/>
  <c r="H427" i="12"/>
  <c r="J169" i="12"/>
  <c r="H406" i="12"/>
  <c r="J272" i="12"/>
  <c r="J203" i="12"/>
  <c r="H395" i="12"/>
  <c r="J393" i="12"/>
  <c r="H190" i="12"/>
  <c r="K226" i="12"/>
  <c r="K173" i="12"/>
  <c r="K9" i="12"/>
  <c r="H92" i="12"/>
  <c r="H328" i="12"/>
  <c r="H224" i="12"/>
  <c r="J219" i="12"/>
  <c r="H99" i="12"/>
  <c r="K210" i="12"/>
  <c r="J432" i="12"/>
  <c r="J309" i="12"/>
  <c r="H168" i="12"/>
  <c r="J155" i="12"/>
  <c r="H310" i="12"/>
  <c r="K27" i="12"/>
  <c r="J100" i="12"/>
  <c r="K32" i="12"/>
  <c r="J26" i="12"/>
  <c r="J279" i="12"/>
  <c r="H222" i="12"/>
  <c r="H401" i="12"/>
  <c r="H155" i="12"/>
  <c r="H11" i="12"/>
  <c r="H166" i="12"/>
  <c r="H5" i="12"/>
  <c r="J152" i="12"/>
  <c r="H277" i="12"/>
  <c r="J201" i="12"/>
  <c r="J372" i="12"/>
  <c r="H143" i="12"/>
  <c r="H130" i="12"/>
  <c r="J7" i="12"/>
  <c r="J226" i="12"/>
  <c r="H74" i="12"/>
  <c r="H136" i="12"/>
  <c r="H381" i="12"/>
  <c r="H161" i="12"/>
  <c r="J211" i="12"/>
  <c r="J358" i="12"/>
  <c r="H245" i="12"/>
  <c r="J162" i="12"/>
  <c r="H259" i="12"/>
  <c r="H390" i="12"/>
  <c r="H358" i="12"/>
  <c r="J189" i="12"/>
  <c r="J248" i="12"/>
  <c r="K179" i="12"/>
  <c r="J320" i="12"/>
  <c r="H289" i="12"/>
  <c r="K168" i="12"/>
  <c r="H288" i="12"/>
  <c r="K244" i="12"/>
  <c r="H17" i="12"/>
  <c r="J37" i="12"/>
  <c r="J88" i="12"/>
  <c r="K42" i="12"/>
  <c r="J254" i="12"/>
  <c r="H303" i="12"/>
  <c r="H404" i="12"/>
  <c r="J130" i="12"/>
  <c r="K228" i="12"/>
  <c r="H220" i="12"/>
  <c r="J182" i="12"/>
  <c r="J109" i="12"/>
  <c r="H176" i="12"/>
  <c r="H43" i="12"/>
  <c r="J399" i="12"/>
  <c r="H154" i="12"/>
  <c r="H142" i="12"/>
  <c r="H385" i="12"/>
  <c r="J343" i="12"/>
  <c r="J166" i="12"/>
  <c r="J218" i="12"/>
  <c r="H407" i="12"/>
  <c r="H171" i="12"/>
  <c r="K118" i="12"/>
  <c r="K18" i="12"/>
  <c r="H82" i="12"/>
  <c r="K51" i="12"/>
  <c r="H202" i="12"/>
  <c r="J75" i="12"/>
  <c r="J73" i="12"/>
  <c r="J153" i="12"/>
  <c r="J355" i="12"/>
  <c r="K108" i="12"/>
  <c r="H341" i="12"/>
  <c r="K234" i="12"/>
  <c r="H81" i="12"/>
  <c r="H338" i="12"/>
  <c r="H29" i="12"/>
  <c r="J234" i="12"/>
  <c r="J286" i="12"/>
  <c r="J176" i="12"/>
  <c r="J76" i="12"/>
  <c r="J245" i="12"/>
  <c r="H34" i="12"/>
  <c r="K40" i="12"/>
  <c r="H285" i="12"/>
  <c r="K97" i="12"/>
  <c r="H349" i="12"/>
  <c r="K71" i="12"/>
  <c r="J273" i="12"/>
  <c r="J370" i="12"/>
  <c r="H3" i="12"/>
  <c r="J311" i="12"/>
  <c r="H33" i="12"/>
  <c r="H178" i="12"/>
  <c r="J209" i="12"/>
  <c r="K62" i="12"/>
  <c r="K68" i="12"/>
  <c r="J231" i="12"/>
  <c r="J347" i="12"/>
  <c r="H50" i="12"/>
  <c r="K238" i="12"/>
  <c r="H377" i="12"/>
  <c r="K139" i="12"/>
  <c r="K133" i="12"/>
  <c r="H240" i="12"/>
  <c r="H290" i="12"/>
  <c r="H12" i="12"/>
  <c r="H38" i="12"/>
  <c r="J187" i="12"/>
  <c r="H269" i="12"/>
  <c r="H323" i="12"/>
  <c r="K230" i="12"/>
  <c r="K170" i="12"/>
  <c r="H140" i="12"/>
  <c r="J315" i="12"/>
  <c r="H127" i="12"/>
  <c r="J29" i="12"/>
  <c r="K149" i="12"/>
  <c r="H128" i="12"/>
  <c r="H306" i="12"/>
  <c r="H314" i="12"/>
  <c r="J81" i="12"/>
  <c r="K252" i="12"/>
  <c r="K7" i="12"/>
  <c r="H216" i="12"/>
  <c r="K233" i="12"/>
  <c r="J31" i="12"/>
  <c r="H175" i="12"/>
  <c r="H257" i="12"/>
  <c r="H172" i="12"/>
  <c r="J236" i="12"/>
  <c r="K160" i="12"/>
  <c r="J381" i="12"/>
  <c r="H221" i="12"/>
  <c r="J368" i="12"/>
  <c r="K67" i="12"/>
  <c r="K53" i="12"/>
  <c r="H40" i="12"/>
  <c r="J342" i="12"/>
  <c r="H78" i="12"/>
  <c r="H114" i="12"/>
  <c r="K224" i="12"/>
  <c r="J344" i="12"/>
  <c r="H146" i="12"/>
  <c r="J387" i="12"/>
  <c r="K209" i="12"/>
  <c r="J335" i="12"/>
  <c r="J164" i="12"/>
  <c r="H396" i="12"/>
  <c r="H304" i="12"/>
  <c r="H430" i="12"/>
  <c r="H13" i="12"/>
  <c r="J163" i="12"/>
  <c r="J2" i="12"/>
  <c r="H374" i="12"/>
  <c r="H125" i="12"/>
  <c r="H132" i="12"/>
  <c r="J296" i="12"/>
  <c r="H293" i="12"/>
  <c r="K49" i="12"/>
  <c r="H296" i="12"/>
  <c r="H294" i="12"/>
  <c r="J137" i="12"/>
  <c r="J438" i="12"/>
  <c r="J64" i="12"/>
  <c r="J444" i="12"/>
  <c r="J416" i="12"/>
  <c r="J240" i="12"/>
  <c r="J168" i="12"/>
  <c r="K191" i="12"/>
  <c r="J304" i="12"/>
  <c r="K75" i="12"/>
  <c r="K201" i="12"/>
  <c r="J238" i="12"/>
  <c r="K205" i="12"/>
  <c r="J442" i="12"/>
  <c r="J289" i="12"/>
  <c r="H167" i="12"/>
  <c r="J13" i="12"/>
  <c r="J186" i="12"/>
  <c r="J229" i="12"/>
  <c r="J184" i="12"/>
  <c r="H42" i="12"/>
  <c r="K61" i="12"/>
  <c r="J419" i="12"/>
  <c r="H214" i="12"/>
  <c r="J140" i="12"/>
  <c r="H7" i="12"/>
  <c r="H147" i="12"/>
  <c r="H177" i="12"/>
  <c r="H86" i="12"/>
  <c r="K142" i="12"/>
  <c r="J167" i="12"/>
  <c r="H156" i="12"/>
  <c r="K37" i="12"/>
  <c r="H84" i="12"/>
  <c r="H181" i="12"/>
  <c r="K56" i="12"/>
  <c r="H21" i="12"/>
  <c r="J21" i="12"/>
  <c r="H252" i="12"/>
  <c r="J391" i="12"/>
  <c r="H83" i="12"/>
  <c r="H302" i="12"/>
  <c r="K16" i="12"/>
  <c r="J407" i="12"/>
  <c r="J382" i="12"/>
  <c r="H139" i="12"/>
  <c r="K198" i="12"/>
  <c r="H333" i="12"/>
  <c r="H129" i="12"/>
  <c r="J57" i="12"/>
  <c r="H424" i="12"/>
  <c r="K162" i="12"/>
  <c r="J288" i="12"/>
  <c r="J339" i="12"/>
  <c r="H421" i="12"/>
  <c r="H63" i="12"/>
  <c r="K52" i="12"/>
  <c r="J128" i="12"/>
  <c r="K143" i="12"/>
  <c r="J48" i="12"/>
  <c r="H85" i="12"/>
  <c r="K175" i="12"/>
  <c r="H122" i="12"/>
  <c r="H145" i="12"/>
  <c r="K197" i="12"/>
  <c r="K222" i="12"/>
  <c r="H77" i="12"/>
  <c r="H265" i="12"/>
  <c r="J424" i="12"/>
  <c r="J39" i="12"/>
  <c r="K227" i="12"/>
  <c r="J199" i="12"/>
  <c r="K84" i="12"/>
  <c r="K79" i="12"/>
  <c r="J78" i="12"/>
  <c r="J53" i="12"/>
  <c r="H150" i="12"/>
  <c r="H258" i="12"/>
  <c r="J60" i="12"/>
  <c r="H193" i="12"/>
  <c r="J437" i="12"/>
  <c r="J263" i="12"/>
  <c r="J56" i="12"/>
  <c r="H363" i="12"/>
  <c r="J326" i="12"/>
  <c r="J319" i="12"/>
  <c r="H170" i="12"/>
  <c r="H199" i="12"/>
  <c r="K2" i="12"/>
  <c r="J291" i="12"/>
  <c r="K19" i="12"/>
  <c r="H335" i="12"/>
  <c r="H37" i="12"/>
  <c r="H108" i="12"/>
  <c r="J52" i="12"/>
  <c r="J141" i="12"/>
  <c r="H299" i="12"/>
  <c r="J158" i="12"/>
  <c r="H213" i="12"/>
  <c r="J359" i="12"/>
  <c r="K189" i="12"/>
  <c r="H153" i="12"/>
  <c r="K221" i="12"/>
  <c r="K30" i="12"/>
  <c r="K231" i="12"/>
  <c r="K248" i="12"/>
  <c r="H104" i="12"/>
  <c r="K85" i="12"/>
  <c r="H227" i="12"/>
  <c r="J74" i="12"/>
  <c r="H251" i="12"/>
  <c r="H286" i="12"/>
  <c r="K124" i="12"/>
  <c r="K215" i="12"/>
  <c r="J277" i="12"/>
  <c r="J439" i="12"/>
  <c r="J307" i="12"/>
  <c r="H351" i="12"/>
  <c r="K182" i="12"/>
  <c r="J213" i="12"/>
  <c r="K73" i="12"/>
  <c r="K50" i="12"/>
  <c r="H36" i="12"/>
  <c r="K36" i="12"/>
  <c r="K34" i="12"/>
  <c r="H208" i="12"/>
  <c r="H6" i="12"/>
  <c r="H343" i="12"/>
  <c r="K59" i="12"/>
  <c r="J378" i="12"/>
  <c r="H405" i="12"/>
  <c r="H327" i="12"/>
  <c r="J336" i="12"/>
  <c r="K157" i="12"/>
  <c r="H96" i="12"/>
  <c r="H367" i="12"/>
  <c r="H291" i="12"/>
  <c r="H18" i="12"/>
  <c r="K101" i="12"/>
  <c r="J259" i="12"/>
  <c r="J314" i="12"/>
  <c r="K141" i="12"/>
  <c r="J395" i="12"/>
  <c r="K212" i="12"/>
  <c r="H321" i="12"/>
  <c r="J406" i="12"/>
  <c r="J180" i="12"/>
  <c r="J93" i="12"/>
  <c r="K120" i="12"/>
  <c r="J274" i="12"/>
  <c r="K159" i="12"/>
  <c r="K112" i="12"/>
  <c r="J408" i="12"/>
  <c r="K96" i="12"/>
  <c r="H205" i="12"/>
  <c r="J379" i="12"/>
  <c r="J34" i="12"/>
  <c r="J324" i="12"/>
  <c r="K134" i="12"/>
  <c r="J133" i="12"/>
  <c r="K91" i="12"/>
  <c r="K13" i="12"/>
  <c r="J404" i="12"/>
  <c r="J386" i="12"/>
  <c r="J144" i="12"/>
  <c r="J297" i="12"/>
  <c r="J268" i="12"/>
  <c r="J61" i="12"/>
  <c r="H287" i="12"/>
  <c r="J200" i="12"/>
  <c r="J120" i="12"/>
  <c r="K164" i="12"/>
  <c r="J306" i="12"/>
  <c r="K184" i="12"/>
  <c r="H279" i="12"/>
  <c r="H98" i="12"/>
  <c r="H282" i="12"/>
  <c r="J58" i="12"/>
  <c r="J239" i="12"/>
  <c r="J69" i="12"/>
  <c r="H243" i="12"/>
  <c r="K200" i="12"/>
  <c r="J65" i="12"/>
  <c r="K246" i="12"/>
  <c r="J92" i="12"/>
  <c r="K140" i="12"/>
  <c r="J257" i="12"/>
  <c r="H330" i="12"/>
  <c r="K87" i="12"/>
  <c r="K65" i="12"/>
  <c r="H144" i="12"/>
  <c r="H316" i="12"/>
  <c r="H41" i="12"/>
  <c r="H159" i="12"/>
  <c r="H283" i="12"/>
  <c r="J46" i="12"/>
  <c r="J66" i="12"/>
  <c r="H366" i="12"/>
  <c r="J427" i="12"/>
  <c r="J428" i="12"/>
  <c r="K14" i="12"/>
  <c r="J151" i="12"/>
  <c r="H44" i="12"/>
  <c r="J287" i="12"/>
  <c r="H218" i="12"/>
  <c r="H165" i="12"/>
  <c r="H8" i="12"/>
  <c r="J4" i="12"/>
  <c r="J24" i="12"/>
  <c r="J181" i="12"/>
  <c r="K174" i="12"/>
  <c r="H300" i="12"/>
  <c r="J345" i="12"/>
  <c r="J409" i="12"/>
  <c r="H87" i="12"/>
  <c r="K218" i="12"/>
  <c r="K232" i="12"/>
  <c r="J148" i="12"/>
  <c r="H337" i="12"/>
  <c r="J85" i="12"/>
  <c r="K136" i="12"/>
  <c r="H68" i="12"/>
  <c r="H436" i="12"/>
  <c r="H267" i="12"/>
  <c r="J104" i="12"/>
  <c r="H115" i="12"/>
  <c r="J27" i="12"/>
  <c r="H232" i="12"/>
  <c r="K144" i="12"/>
  <c r="K106" i="12"/>
  <c r="H207" i="12"/>
  <c r="J388" i="12"/>
  <c r="K95" i="12"/>
  <c r="K206" i="12"/>
  <c r="K89" i="12"/>
  <c r="H284" i="12"/>
  <c r="K220" i="12"/>
  <c r="J157" i="12"/>
  <c r="K211" i="12"/>
  <c r="J19" i="12"/>
  <c r="J301" i="12"/>
  <c r="J230" i="12"/>
  <c r="H110" i="12"/>
  <c r="H369" i="12"/>
  <c r="H379" i="12"/>
  <c r="J299" i="12"/>
  <c r="K243" i="12"/>
  <c r="H429" i="12"/>
  <c r="J436" i="12"/>
  <c r="K86" i="12"/>
  <c r="H238" i="12"/>
  <c r="K163" i="12"/>
  <c r="J80" i="12"/>
  <c r="K247" i="12"/>
  <c r="J11" i="12"/>
  <c r="J278" i="12"/>
  <c r="K183" i="12"/>
  <c r="K98" i="12"/>
  <c r="K46" i="12"/>
  <c r="H418" i="12"/>
  <c r="J423" i="12"/>
  <c r="H25" i="12"/>
  <c r="H54" i="12"/>
  <c r="H39" i="12"/>
  <c r="J126" i="12"/>
  <c r="J17" i="12"/>
  <c r="H134" i="12"/>
  <c r="H27" i="12"/>
  <c r="K137" i="12"/>
  <c r="K26" i="12"/>
  <c r="J150" i="12"/>
  <c r="J122" i="12"/>
  <c r="K250" i="12"/>
  <c r="K169" i="12"/>
  <c r="H103" i="12"/>
  <c r="H69" i="12"/>
  <c r="H362" i="12"/>
  <c r="H79" i="12"/>
  <c r="J118" i="12"/>
  <c r="K31" i="12"/>
  <c r="J111" i="12"/>
  <c r="K188" i="12"/>
  <c r="H51" i="12"/>
  <c r="J129" i="12"/>
  <c r="H217" i="12"/>
  <c r="K253" i="12"/>
  <c r="J412" i="12"/>
  <c r="K109" i="12"/>
  <c r="J392" i="12"/>
  <c r="K131" i="12"/>
  <c r="J127" i="12"/>
  <c r="K127" i="12"/>
  <c r="H182" i="12"/>
  <c r="K107" i="12"/>
  <c r="J284" i="12"/>
  <c r="K216" i="12"/>
  <c r="J135" i="12"/>
  <c r="J243" i="12"/>
  <c r="H329" i="12"/>
  <c r="H188" i="12"/>
  <c r="H423" i="12"/>
  <c r="H410" i="12"/>
  <c r="H262" i="12"/>
  <c r="H195" i="12"/>
  <c r="K214" i="12"/>
  <c r="J110" i="12"/>
  <c r="K237" i="12"/>
  <c r="J54" i="12"/>
  <c r="K121" i="12"/>
  <c r="J251" i="12"/>
  <c r="J260" i="12"/>
  <c r="J316" i="12"/>
  <c r="H397" i="12"/>
  <c r="J353" i="12"/>
  <c r="J138" i="12"/>
  <c r="K213" i="12"/>
  <c r="K240" i="12"/>
  <c r="K99" i="12"/>
  <c r="H420" i="12"/>
  <c r="J156" i="12"/>
  <c r="H15" i="12"/>
  <c r="K63" i="12"/>
  <c r="J195" i="12"/>
  <c r="H179" i="12"/>
  <c r="K181" i="12"/>
  <c r="J426" i="12"/>
  <c r="H45" i="12"/>
  <c r="H66" i="12"/>
  <c r="K167" i="12"/>
  <c r="H275" i="12"/>
  <c r="J119" i="12"/>
  <c r="J410" i="12"/>
  <c r="J221" i="12"/>
  <c r="J103" i="12"/>
  <c r="K44" i="1" l="1" a="1"/>
  <c r="K44" i="1" s="1"/>
  <c r="K19" i="1" a="1"/>
  <c r="K19" i="1" s="1"/>
  <c r="K51" i="1" a="1"/>
  <c r="K51" i="1" s="1"/>
  <c r="K20" i="1" a="1"/>
  <c r="K20" i="1" s="1"/>
  <c r="K54" i="1" a="1"/>
  <c r="K54" i="1" s="1"/>
  <c r="K26" i="1" a="1"/>
  <c r="K26" i="1" s="1"/>
  <c r="K58" i="1" a="1"/>
  <c r="K58" i="1" s="1"/>
  <c r="K15" i="1" a="1"/>
  <c r="K15" i="1" s="1"/>
  <c r="K5" i="1" a="1"/>
  <c r="K5" i="1" s="1"/>
  <c r="K66" i="1" a="1"/>
  <c r="K66" i="1" s="1"/>
  <c r="K17" i="1" a="1"/>
  <c r="K17" i="1" s="1"/>
  <c r="K67" i="1" a="1"/>
  <c r="K67" i="1" s="1"/>
  <c r="K18" i="1" a="1"/>
  <c r="K18" i="1" s="1"/>
  <c r="A2" i="13"/>
  <c r="B3" i="13"/>
  <c r="C4" i="13"/>
  <c r="D5" i="13"/>
  <c r="E6" i="13"/>
  <c r="B9" i="13"/>
  <c r="C10" i="13"/>
  <c r="D11" i="13"/>
  <c r="E12" i="13"/>
  <c r="B15" i="13"/>
  <c r="C16" i="13"/>
  <c r="C3" i="13"/>
  <c r="D4" i="13"/>
  <c r="E5" i="13"/>
  <c r="B8" i="13"/>
  <c r="C9" i="13"/>
  <c r="D10" i="13"/>
  <c r="E11" i="13"/>
  <c r="B14" i="13"/>
  <c r="C15" i="13"/>
  <c r="D16" i="13"/>
  <c r="D3" i="13"/>
  <c r="E4" i="13"/>
  <c r="B7" i="13"/>
  <c r="C8" i="13"/>
  <c r="D9" i="13"/>
  <c r="E10" i="13"/>
  <c r="B13" i="13"/>
  <c r="C14" i="13"/>
  <c r="D15" i="13"/>
  <c r="E16" i="13"/>
  <c r="E3" i="13"/>
  <c r="B6" i="13"/>
  <c r="C7" i="13"/>
  <c r="D8" i="13"/>
  <c r="E9" i="13"/>
  <c r="B12" i="13"/>
  <c r="C13" i="13"/>
  <c r="D14" i="13"/>
  <c r="E15" i="13"/>
  <c r="D7" i="13"/>
  <c r="B11" i="13"/>
  <c r="E14" i="13"/>
  <c r="B4" i="13"/>
  <c r="E7" i="13"/>
  <c r="C11" i="13"/>
  <c r="B5" i="13"/>
  <c r="E8" i="13"/>
  <c r="C12" i="13"/>
  <c r="C5" i="13"/>
  <c r="D12" i="13"/>
  <c r="B16" i="13"/>
  <c r="C6" i="13"/>
  <c r="D13" i="13"/>
  <c r="D6" i="13"/>
  <c r="B10" i="13"/>
  <c r="E13" i="13"/>
  <c r="K72" i="1" a="1"/>
  <c r="K72" i="1" s="1"/>
  <c r="K34" i="1" a="1"/>
  <c r="K34" i="1" s="1"/>
  <c r="K78" i="1" a="1"/>
  <c r="K78" i="1" s="1"/>
  <c r="K29" i="1" a="1"/>
  <c r="K29" i="1" s="1"/>
  <c r="K81" i="1" a="1"/>
  <c r="K81" i="1" s="1"/>
  <c r="K31" i="1" a="1"/>
  <c r="K31" i="1" s="1"/>
  <c r="K60" i="1" a="1"/>
  <c r="K60" i="1" s="1"/>
  <c r="K35" i="1" a="1"/>
  <c r="K35" i="1" s="1"/>
  <c r="K70" i="1" a="1"/>
  <c r="K70" i="1" s="1"/>
  <c r="K32" i="1" a="1"/>
  <c r="K32" i="1" s="1"/>
  <c r="K43" i="1" a="1"/>
  <c r="K43" i="1" s="1"/>
  <c r="K30" i="1" a="1"/>
  <c r="K30" i="1" s="1"/>
  <c r="K62" i="1" a="1"/>
  <c r="K62" i="1" s="1"/>
  <c r="K36" i="1" a="1"/>
  <c r="K36" i="1" s="1"/>
  <c r="M107" i="12" a="1"/>
  <c r="M107" i="12" s="1"/>
  <c r="M98" i="12" a="1"/>
  <c r="M98" i="12" s="1"/>
  <c r="L85" i="12" a="1"/>
  <c r="L85" i="12" s="1"/>
  <c r="L231" i="12" a="1"/>
  <c r="L231" i="12" s="1"/>
  <c r="M157" i="12" a="1"/>
  <c r="M157" i="12" s="1"/>
  <c r="M167" i="12" a="1"/>
  <c r="M167" i="12" s="1"/>
  <c r="M2" i="12" a="1"/>
  <c r="M2" i="12" s="1"/>
  <c r="N2" i="12" s="1"/>
  <c r="AC2" i="4" s="1"/>
  <c r="L11" i="12" a="1"/>
  <c r="L11" i="12" s="1"/>
  <c r="M68" i="12" a="1"/>
  <c r="M68" i="12" s="1"/>
  <c r="L61" i="12" a="1"/>
  <c r="L61" i="12" s="1"/>
  <c r="L103" i="12" a="1"/>
  <c r="L103" i="12" s="1"/>
  <c r="I66" i="12" a="1"/>
  <c r="I66" i="12" s="1"/>
  <c r="M62" i="12" a="1"/>
  <c r="M62" i="12" s="1"/>
  <c r="M127" i="12" a="1"/>
  <c r="M127" i="12" s="1"/>
  <c r="L148" i="12" a="1"/>
  <c r="L148" i="12" s="1"/>
  <c r="L209" i="12" a="1"/>
  <c r="L209" i="12" s="1"/>
  <c r="L92" i="12" a="1"/>
  <c r="L92" i="12" s="1"/>
  <c r="I45" i="12" a="1"/>
  <c r="I45" i="12" s="1"/>
  <c r="L127" i="12" a="1"/>
  <c r="L127" i="12" s="1"/>
  <c r="L80" i="12" a="1"/>
  <c r="L80" i="12" s="1"/>
  <c r="M232" i="12" a="1"/>
  <c r="M232" i="12" s="1"/>
  <c r="I33" i="12" a="1"/>
  <c r="I33" i="12" s="1"/>
  <c r="M131" i="12" a="1"/>
  <c r="M131" i="12" s="1"/>
  <c r="M163" i="12" a="1"/>
  <c r="M163" i="12" s="1"/>
  <c r="M218" i="12" a="1"/>
  <c r="M218" i="12" s="1"/>
  <c r="L144" i="12" a="1"/>
  <c r="L144" i="12" s="1"/>
  <c r="L221" i="12" a="1"/>
  <c r="L221" i="12" s="1"/>
  <c r="M181" i="12" a="1"/>
  <c r="M181" i="12" s="1"/>
  <c r="L56" i="12" a="1"/>
  <c r="L56" i="12" s="1"/>
  <c r="I3" i="12" a="1"/>
  <c r="I3" i="12" s="1"/>
  <c r="I87" i="12" a="1"/>
  <c r="I87" i="12" s="1"/>
  <c r="M109" i="12" a="1"/>
  <c r="M109" i="12" s="1"/>
  <c r="M86" i="12" a="1"/>
  <c r="M86" i="12" s="1"/>
  <c r="L65" i="12" a="1"/>
  <c r="L65" i="12" s="1"/>
  <c r="L195" i="12" a="1"/>
  <c r="L195" i="12" s="1"/>
  <c r="M71" i="12" a="1"/>
  <c r="M71" i="12" s="1"/>
  <c r="M13" i="12" a="1"/>
  <c r="M13" i="12" s="1"/>
  <c r="M183" i="12" a="1"/>
  <c r="M183" i="12" s="1"/>
  <c r="L60" i="12" a="1"/>
  <c r="L60" i="12" s="1"/>
  <c r="M63" i="12" a="1"/>
  <c r="M63" i="12" s="1"/>
  <c r="M91" i="12" a="1"/>
  <c r="M91" i="12" s="1"/>
  <c r="M97" i="12" a="1"/>
  <c r="M97" i="12" s="1"/>
  <c r="M200" i="12" a="1"/>
  <c r="M200" i="12" s="1"/>
  <c r="I15" i="12" a="1"/>
  <c r="I15" i="12" s="1"/>
  <c r="M174" i="12" a="1"/>
  <c r="M174" i="12" s="1"/>
  <c r="L133" i="12" a="1"/>
  <c r="L133" i="12" s="1"/>
  <c r="L53" i="12" a="1"/>
  <c r="L53" i="12" s="1"/>
  <c r="L156" i="12" a="1"/>
  <c r="L156" i="12" s="1"/>
  <c r="M40" i="12" a="1"/>
  <c r="M40" i="12" s="1"/>
  <c r="L129" i="12" a="1"/>
  <c r="L129" i="12" s="1"/>
  <c r="L181" i="12" a="1"/>
  <c r="L181" i="12" s="1"/>
  <c r="L78" i="12" a="1"/>
  <c r="L78" i="12" s="1"/>
  <c r="M134" i="12" a="1"/>
  <c r="M134" i="12" s="1"/>
  <c r="I34" i="12" a="1"/>
  <c r="I34" i="12" s="1"/>
  <c r="I51" i="12" a="1"/>
  <c r="I51" i="12" s="1"/>
  <c r="M79" i="12" a="1"/>
  <c r="M79" i="12" s="1"/>
  <c r="L245" i="12" a="1"/>
  <c r="L245" i="12" s="1"/>
  <c r="M32" i="12" a="1"/>
  <c r="M32" i="12" s="1"/>
  <c r="L24" i="12" a="1"/>
  <c r="L24" i="12" s="1"/>
  <c r="M84" i="12" a="1"/>
  <c r="M84" i="12" s="1"/>
  <c r="L76" i="12" a="1"/>
  <c r="L76" i="12" s="1"/>
  <c r="L100" i="12" a="1"/>
  <c r="L100" i="12" s="1"/>
  <c r="M99" i="12" a="1"/>
  <c r="M99" i="12" s="1"/>
  <c r="M188" i="12" a="1"/>
  <c r="M188" i="12" s="1"/>
  <c r="L199" i="12" a="1"/>
  <c r="L199" i="12" s="1"/>
  <c r="L176" i="12" a="1"/>
  <c r="L176" i="12" s="1"/>
  <c r="M27" i="12" a="1"/>
  <c r="M27" i="12" s="1"/>
  <c r="L4" i="12" a="1"/>
  <c r="L4" i="12" s="1"/>
  <c r="L34" i="12" a="1"/>
  <c r="L34" i="12" s="1"/>
  <c r="M227" i="12" a="1"/>
  <c r="M227" i="12" s="1"/>
  <c r="L69" i="12" a="1"/>
  <c r="L69" i="12" s="1"/>
  <c r="L111" i="12" a="1"/>
  <c r="L111" i="12" s="1"/>
  <c r="L39" i="12" a="1"/>
  <c r="L39" i="12" s="1"/>
  <c r="L234" i="12" a="1"/>
  <c r="L234" i="12" s="1"/>
  <c r="L155" i="12" a="1"/>
  <c r="L155" i="12" s="1"/>
  <c r="I8" i="12" a="1"/>
  <c r="I8" i="12" s="1"/>
  <c r="I29" i="12" a="1"/>
  <c r="I29" i="12" s="1"/>
  <c r="M213" i="12" a="1"/>
  <c r="M213" i="12" s="1"/>
  <c r="M31" i="12" a="1"/>
  <c r="M31" i="12" s="1"/>
  <c r="L230" i="12" a="1"/>
  <c r="L230" i="12" s="1"/>
  <c r="I77" i="12" a="1"/>
  <c r="I77" i="12" s="1"/>
  <c r="L239" i="12" a="1"/>
  <c r="L239" i="12" s="1"/>
  <c r="I81" i="12" a="1"/>
  <c r="I81" i="12" s="1"/>
  <c r="L138" i="12" a="1"/>
  <c r="L138" i="12" s="1"/>
  <c r="L118" i="12" a="1"/>
  <c r="L118" i="12" s="1"/>
  <c r="M222" i="12" a="1"/>
  <c r="M222" i="12" s="1"/>
  <c r="M234" i="12" a="1"/>
  <c r="M234" i="12" s="1"/>
  <c r="M210" i="12" a="1"/>
  <c r="M210" i="12" s="1"/>
  <c r="M96" i="12" a="1"/>
  <c r="M96" i="12" s="1"/>
  <c r="M197" i="12" a="1"/>
  <c r="M197" i="12" s="1"/>
  <c r="L58" i="12" a="1"/>
  <c r="L58" i="12" s="1"/>
  <c r="I99" i="12" a="1"/>
  <c r="I99" i="12" s="1"/>
  <c r="I79" i="12" a="1"/>
  <c r="I79" i="12" s="1"/>
  <c r="L19" i="12" a="1"/>
  <c r="L19" i="12" s="1"/>
  <c r="M108" i="12" a="1"/>
  <c r="M108" i="12" s="1"/>
  <c r="L219" i="12" a="1"/>
  <c r="L219" i="12" s="1"/>
  <c r="L119" i="12" a="1"/>
  <c r="L119" i="12" s="1"/>
  <c r="M175" i="12" a="1"/>
  <c r="M175" i="12" s="1"/>
  <c r="M211" i="12" a="1"/>
  <c r="M211" i="12" s="1"/>
  <c r="L153" i="12" a="1"/>
  <c r="L153" i="12" s="1"/>
  <c r="I44" i="12" a="1"/>
  <c r="I44" i="12" s="1"/>
  <c r="M112" i="12" a="1"/>
  <c r="M112" i="12" s="1"/>
  <c r="I85" i="12" a="1"/>
  <c r="I85" i="12" s="1"/>
  <c r="L73" i="12" a="1"/>
  <c r="L73" i="12" s="1"/>
  <c r="I92" i="12" a="1"/>
  <c r="I92" i="12" s="1"/>
  <c r="I69" i="12" a="1"/>
  <c r="I69" i="12" s="1"/>
  <c r="L48" i="12" a="1"/>
  <c r="L48" i="12" s="1"/>
  <c r="L157" i="12" a="1"/>
  <c r="L157" i="12" s="1"/>
  <c r="L75" i="12" a="1"/>
  <c r="L75" i="12" s="1"/>
  <c r="M9" i="12" a="1"/>
  <c r="M9" i="12" s="1"/>
  <c r="L151" i="12" a="1"/>
  <c r="L151" i="12" s="1"/>
  <c r="M159" i="12" a="1"/>
  <c r="M159" i="12" s="1"/>
  <c r="M143" i="12" a="1"/>
  <c r="M143" i="12" s="1"/>
  <c r="M173" i="12" a="1"/>
  <c r="M173" i="12" s="1"/>
  <c r="L128" i="12" a="1"/>
  <c r="L128" i="12" s="1"/>
  <c r="M220" i="12" a="1"/>
  <c r="M220" i="12" s="1"/>
  <c r="M51" i="12" a="1"/>
  <c r="M51" i="12" s="1"/>
  <c r="M226" i="12" a="1"/>
  <c r="M226" i="12" s="1"/>
  <c r="M14" i="12" a="1"/>
  <c r="M14" i="12" s="1"/>
  <c r="M52" i="12" a="1"/>
  <c r="M52" i="12" s="1"/>
  <c r="I98" i="12" a="1"/>
  <c r="I98" i="12" s="1"/>
  <c r="I82" i="12" a="1"/>
  <c r="I82" i="12" s="1"/>
  <c r="L251" i="12" a="1"/>
  <c r="L251" i="12" s="1"/>
  <c r="M169" i="12" a="1"/>
  <c r="M169" i="12" s="1"/>
  <c r="I63" i="12" a="1"/>
  <c r="I63" i="12" s="1"/>
  <c r="M18" i="12" a="1"/>
  <c r="M18" i="12" s="1"/>
  <c r="M120" i="12" a="1"/>
  <c r="M120" i="12" s="1"/>
  <c r="M118" i="12" a="1"/>
  <c r="M118" i="12" s="1"/>
  <c r="M121" i="12" a="1"/>
  <c r="M121" i="12" s="1"/>
  <c r="M89" i="12" a="1"/>
  <c r="M89" i="12" s="1"/>
  <c r="L203" i="12" a="1"/>
  <c r="L203" i="12" s="1"/>
  <c r="L93" i="12" a="1"/>
  <c r="L93" i="12" s="1"/>
  <c r="L54" i="12" a="1"/>
  <c r="L54" i="12" s="1"/>
  <c r="M162" i="12" a="1"/>
  <c r="M162" i="12" s="1"/>
  <c r="L218" i="12" a="1"/>
  <c r="L218" i="12" s="1"/>
  <c r="L122" i="12" a="1"/>
  <c r="L122" i="12" s="1"/>
  <c r="M206" i="12" a="1"/>
  <c r="M206" i="12" s="1"/>
  <c r="M170" i="12" a="1"/>
  <c r="M170" i="12" s="1"/>
  <c r="L166" i="12" a="1"/>
  <c r="L166" i="12" s="1"/>
  <c r="L169" i="12" a="1"/>
  <c r="L169" i="12" s="1"/>
  <c r="L180" i="12" a="1"/>
  <c r="L180" i="12" s="1"/>
  <c r="L57" i="12" a="1"/>
  <c r="L57" i="12" s="1"/>
  <c r="M184" i="12" a="1"/>
  <c r="M184" i="12" s="1"/>
  <c r="M230" i="12" a="1"/>
  <c r="M230" i="12" s="1"/>
  <c r="L190" i="12" a="1"/>
  <c r="L190" i="12" s="1"/>
  <c r="L150" i="12" a="1"/>
  <c r="L150" i="12" s="1"/>
  <c r="M95" i="12" a="1"/>
  <c r="M95" i="12" s="1"/>
  <c r="I10" i="12" a="1"/>
  <c r="I10" i="12" s="1"/>
  <c r="L66" i="12" a="1"/>
  <c r="L66" i="12" s="1"/>
  <c r="M198" i="12" a="1"/>
  <c r="M198" i="12" s="1"/>
  <c r="M5" i="12" a="1"/>
  <c r="M5" i="12" s="1"/>
  <c r="M59" i="12" a="1"/>
  <c r="M59" i="12" s="1"/>
  <c r="L110" i="12" a="1"/>
  <c r="L110" i="12" s="1"/>
  <c r="M26" i="12" a="1"/>
  <c r="M26" i="12" s="1"/>
  <c r="L187" i="12" a="1"/>
  <c r="L187" i="12" s="1"/>
  <c r="I43" i="12" a="1"/>
  <c r="I43" i="12" s="1"/>
  <c r="L46" i="12" a="1"/>
  <c r="L46" i="12" s="1"/>
  <c r="L2" i="12" a="1"/>
  <c r="L2" i="12" s="1"/>
  <c r="M214" i="12" a="1"/>
  <c r="M214" i="12" s="1"/>
  <c r="M16" i="12" a="1"/>
  <c r="M16" i="12" s="1"/>
  <c r="I38" i="12" a="1"/>
  <c r="I38" i="12" s="1"/>
  <c r="L109" i="12" a="1"/>
  <c r="L109" i="12" s="1"/>
  <c r="N109" i="12" s="1"/>
  <c r="M137" i="12" a="1"/>
  <c r="M137" i="12" s="1"/>
  <c r="I12" i="12" a="1"/>
  <c r="I12" i="12" s="1"/>
  <c r="L182" i="12" a="1"/>
  <c r="L182" i="12" s="1"/>
  <c r="L91" i="12" a="1"/>
  <c r="L91" i="12" s="1"/>
  <c r="M212" i="12" a="1"/>
  <c r="M212" i="12" s="1"/>
  <c r="I83" i="12" a="1"/>
  <c r="I83" i="12" s="1"/>
  <c r="L163" i="12" a="1"/>
  <c r="L163" i="12" s="1"/>
  <c r="M114" i="12" a="1"/>
  <c r="M114" i="12" s="1"/>
  <c r="M164" i="12" a="1"/>
  <c r="M164" i="12" s="1"/>
  <c r="M228" i="12" a="1"/>
  <c r="M228" i="12" s="1"/>
  <c r="I27" i="12" a="1"/>
  <c r="I27" i="12" s="1"/>
  <c r="M106" i="12" a="1"/>
  <c r="M106" i="12" s="1"/>
  <c r="I13" i="12" a="1"/>
  <c r="I13" i="12" s="1"/>
  <c r="T14" i="6" s="1"/>
  <c r="L130" i="12" a="1"/>
  <c r="L130" i="12" s="1"/>
  <c r="I80" i="12" a="1"/>
  <c r="I80" i="12" s="1"/>
  <c r="L21" i="12" a="1"/>
  <c r="L21" i="12" s="1"/>
  <c r="I97" i="12" a="1"/>
  <c r="I97" i="12" s="1"/>
  <c r="I21" i="12" a="1"/>
  <c r="I21" i="12" s="1"/>
  <c r="L246" i="12" a="1"/>
  <c r="L246" i="12" s="1"/>
  <c r="M144" i="12" a="1"/>
  <c r="M144" i="12" s="1"/>
  <c r="M56" i="12" a="1"/>
  <c r="M56" i="12" s="1"/>
  <c r="M133" i="12" a="1"/>
  <c r="M133" i="12" s="1"/>
  <c r="I41" i="12" a="1"/>
  <c r="I41" i="12" s="1"/>
  <c r="M141" i="12" a="1"/>
  <c r="M141" i="12" s="1"/>
  <c r="M42" i="12" a="1"/>
  <c r="M42" i="12" s="1"/>
  <c r="I84" i="12" a="1"/>
  <c r="I84" i="12" s="1"/>
  <c r="M139" i="12" a="1"/>
  <c r="M139" i="12" s="1"/>
  <c r="L88" i="12" a="1"/>
  <c r="L88" i="12" s="1"/>
  <c r="L17" i="12" a="1"/>
  <c r="L17" i="12" s="1"/>
  <c r="M37" i="12" a="1"/>
  <c r="M37" i="12" s="1"/>
  <c r="L37" i="12" a="1"/>
  <c r="L37" i="12" s="1"/>
  <c r="L50" i="12" a="1"/>
  <c r="L50" i="12" s="1"/>
  <c r="I17" i="12" a="1"/>
  <c r="I17" i="12" s="1"/>
  <c r="L120" i="12" a="1"/>
  <c r="L120" i="12" s="1"/>
  <c r="L167" i="12" a="1"/>
  <c r="L167" i="12" s="1"/>
  <c r="L164" i="12" a="1"/>
  <c r="L164" i="12" s="1"/>
  <c r="L126" i="12" a="1"/>
  <c r="L126" i="12" s="1"/>
  <c r="L27" i="12" a="1"/>
  <c r="L27" i="12" s="1"/>
  <c r="M142" i="12" a="1"/>
  <c r="M142" i="12" s="1"/>
  <c r="L98" i="12" a="1"/>
  <c r="L98" i="12" s="1"/>
  <c r="N98" i="12" s="1"/>
  <c r="I86" i="12" a="1"/>
  <c r="I86" i="12" s="1"/>
  <c r="M119" i="12" a="1"/>
  <c r="M119" i="12" s="1"/>
  <c r="M168" i="12" a="1"/>
  <c r="M168" i="12" s="1"/>
  <c r="I6" i="12" a="1"/>
  <c r="I6" i="12" s="1"/>
  <c r="L22" i="12" a="1"/>
  <c r="L22" i="12" s="1"/>
  <c r="M209" i="12" a="1"/>
  <c r="M209" i="12" s="1"/>
  <c r="I39" i="12" a="1"/>
  <c r="I39" i="12" s="1"/>
  <c r="L35" i="12" a="1"/>
  <c r="L35" i="12" s="1"/>
  <c r="M50" i="12" a="1"/>
  <c r="M50" i="12" s="1"/>
  <c r="M73" i="12" a="1"/>
  <c r="M73" i="12" s="1"/>
  <c r="I7" i="12" a="1"/>
  <c r="I7" i="12" s="1"/>
  <c r="M179" i="12" a="1"/>
  <c r="M179" i="12" s="1"/>
  <c r="L83" i="12" a="1"/>
  <c r="L83" i="12" s="1"/>
  <c r="M65" i="12" a="1"/>
  <c r="M65" i="12" s="1"/>
  <c r="L213" i="12" a="1"/>
  <c r="L213" i="12" s="1"/>
  <c r="L140" i="12" a="1"/>
  <c r="L140" i="12" s="1"/>
  <c r="L220" i="12" a="1"/>
  <c r="L220" i="12" s="1"/>
  <c r="L248" i="12" a="1"/>
  <c r="L248" i="12" s="1"/>
  <c r="M25" i="12" a="1"/>
  <c r="M25" i="12" s="1"/>
  <c r="M54" i="12" a="1"/>
  <c r="M54" i="12" s="1"/>
  <c r="M101" i="12" a="1"/>
  <c r="M101" i="12" s="1"/>
  <c r="M196" i="12" a="1"/>
  <c r="M196" i="12" s="1"/>
  <c r="M182" i="12" a="1"/>
  <c r="M182" i="12" s="1"/>
  <c r="L136" i="12" a="1"/>
  <c r="L136" i="12" s="1"/>
  <c r="M224" i="12" a="1"/>
  <c r="M224" i="12" s="1"/>
  <c r="L124" i="12" a="1"/>
  <c r="L124" i="12" s="1"/>
  <c r="L189" i="12" a="1"/>
  <c r="L189" i="12" s="1"/>
  <c r="I14" i="12" a="1"/>
  <c r="I14" i="12" s="1"/>
  <c r="L227" i="12" a="1"/>
  <c r="L227" i="12" s="1"/>
  <c r="L200" i="12" a="1"/>
  <c r="L200" i="12" s="1"/>
  <c r="I26" i="12" a="1"/>
  <c r="I26" i="12" s="1"/>
  <c r="L174" i="12" a="1"/>
  <c r="L174" i="12" s="1"/>
  <c r="L49" i="12" a="1"/>
  <c r="L49" i="12" s="1"/>
  <c r="M17" i="12" a="1"/>
  <c r="M17" i="12" s="1"/>
  <c r="M61" i="12" a="1"/>
  <c r="M61" i="12" s="1"/>
  <c r="M44" i="12" a="1"/>
  <c r="M44" i="12" s="1"/>
  <c r="I78" i="12" a="1"/>
  <c r="I78" i="12" s="1"/>
  <c r="L113" i="12" a="1"/>
  <c r="L113" i="12" s="1"/>
  <c r="M129" i="12" a="1"/>
  <c r="M129" i="12" s="1"/>
  <c r="I54" i="12" a="1"/>
  <c r="I54" i="12" s="1"/>
  <c r="I32" i="12" a="1"/>
  <c r="I32" i="12" s="1"/>
  <c r="M122" i="12" a="1"/>
  <c r="M122" i="12" s="1"/>
  <c r="I42" i="12" a="1"/>
  <c r="I42" i="12" s="1"/>
  <c r="L33" i="12" a="1"/>
  <c r="L33" i="12" s="1"/>
  <c r="L90" i="12" a="1"/>
  <c r="L90" i="12" s="1"/>
  <c r="I93" i="12" a="1"/>
  <c r="I93" i="12" s="1"/>
  <c r="L104" i="12" a="1"/>
  <c r="L104" i="12" s="1"/>
  <c r="L184" i="12" a="1"/>
  <c r="L184" i="12" s="1"/>
  <c r="I40" i="12" a="1"/>
  <c r="I40" i="12" s="1"/>
  <c r="L162" i="12" a="1"/>
  <c r="L162" i="12" s="1"/>
  <c r="M87" i="12" a="1"/>
  <c r="M87" i="12" s="1"/>
  <c r="M130" i="12" a="1"/>
  <c r="M130" i="12" s="1"/>
  <c r="M215" i="12" a="1"/>
  <c r="M215" i="12" s="1"/>
  <c r="L229" i="12" a="1"/>
  <c r="L229" i="12" s="1"/>
  <c r="M53" i="12" a="1"/>
  <c r="M53" i="12" s="1"/>
  <c r="I18" i="12" a="1"/>
  <c r="I18" i="12" s="1"/>
  <c r="M124" i="12" a="1"/>
  <c r="M124" i="12" s="1"/>
  <c r="L186" i="12" a="1"/>
  <c r="L186" i="12" s="1"/>
  <c r="I50" i="12" a="1"/>
  <c r="I50" i="12" s="1"/>
  <c r="L117" i="12" a="1"/>
  <c r="L117" i="12" s="1"/>
  <c r="L5" i="12" a="1"/>
  <c r="L5" i="12" s="1"/>
  <c r="L102" i="12" a="1"/>
  <c r="L102" i="12" s="1"/>
  <c r="L13" i="12" a="1"/>
  <c r="L13" i="12" s="1"/>
  <c r="N13" i="12" s="1"/>
  <c r="L25" i="12" a="1"/>
  <c r="L25" i="12" s="1"/>
  <c r="M67" i="12" a="1"/>
  <c r="M67" i="12" s="1"/>
  <c r="L204" i="12" a="1"/>
  <c r="L204" i="12" s="1"/>
  <c r="L211" i="12" a="1"/>
  <c r="L211" i="12" s="1"/>
  <c r="M161" i="12" a="1"/>
  <c r="M161" i="12" s="1"/>
  <c r="L243" i="12" a="1"/>
  <c r="L243" i="12" s="1"/>
  <c r="M172" i="12" a="1"/>
  <c r="M172" i="12" s="1"/>
  <c r="I55" i="12" a="1"/>
  <c r="I55" i="12" s="1"/>
  <c r="I100" i="12" a="1"/>
  <c r="I100" i="12" s="1"/>
  <c r="I25" i="12" a="1"/>
  <c r="I25" i="12" s="1"/>
  <c r="L82" i="12" a="1"/>
  <c r="L82" i="12" s="1"/>
  <c r="L74" i="12" a="1"/>
  <c r="L74" i="12" s="1"/>
  <c r="M66" i="12" a="1"/>
  <c r="M66" i="12" s="1"/>
  <c r="I49" i="12" a="1"/>
  <c r="I49" i="12" s="1"/>
  <c r="M110" i="12" a="1"/>
  <c r="M110" i="12" s="1"/>
  <c r="L132" i="12" a="1"/>
  <c r="L132" i="12" s="1"/>
  <c r="M85" i="12" a="1"/>
  <c r="M85" i="12" s="1"/>
  <c r="L63" i="12" a="1"/>
  <c r="L63" i="12" s="1"/>
  <c r="M205" i="12" a="1"/>
  <c r="M205" i="12" s="1"/>
  <c r="M160" i="12" a="1"/>
  <c r="M160" i="12" s="1"/>
  <c r="L86" i="12" a="1"/>
  <c r="L86" i="12" s="1"/>
  <c r="N86" i="12" s="1"/>
  <c r="I74" i="12" a="1"/>
  <c r="I74" i="12" s="1"/>
  <c r="L202" i="12" a="1"/>
  <c r="L202" i="12" s="1"/>
  <c r="L6" i="12" a="1"/>
  <c r="L6" i="12" s="1"/>
  <c r="L87" i="12" a="1"/>
  <c r="L87" i="12" s="1"/>
  <c r="N87" i="12" s="1"/>
  <c r="L238" i="12" a="1"/>
  <c r="L238" i="12" s="1"/>
  <c r="L236" i="12" a="1"/>
  <c r="L236" i="12" s="1"/>
  <c r="L114" i="12" a="1"/>
  <c r="L114" i="12" s="1"/>
  <c r="L226" i="12" a="1"/>
  <c r="L226" i="12" s="1"/>
  <c r="M69" i="12" a="1"/>
  <c r="M69" i="12" s="1"/>
  <c r="I23" i="12" a="1"/>
  <c r="I23" i="12" s="1"/>
  <c r="I75" i="12" a="1"/>
  <c r="I75" i="12" s="1"/>
  <c r="L250" i="12" a="1"/>
  <c r="L250" i="12" s="1"/>
  <c r="M151" i="12" a="1"/>
  <c r="M151" i="12" s="1"/>
  <c r="L244" i="12" a="1"/>
  <c r="L244" i="12" s="1"/>
  <c r="L173" i="12" a="1"/>
  <c r="L173" i="12" s="1"/>
  <c r="M34" i="12" a="1"/>
  <c r="M34" i="12" s="1"/>
  <c r="L253" i="12" a="1"/>
  <c r="L253" i="12" s="1"/>
  <c r="M72" i="12" a="1"/>
  <c r="M72" i="12" s="1"/>
  <c r="M194" i="12" a="1"/>
  <c r="M194" i="12" s="1"/>
  <c r="I70" i="12" a="1"/>
  <c r="I70" i="12" s="1"/>
  <c r="M201" i="12" a="1"/>
  <c r="M201" i="12" s="1"/>
  <c r="L185" i="12" a="1"/>
  <c r="L185" i="12" s="1"/>
  <c r="M158" i="12" a="1"/>
  <c r="M158" i="12" s="1"/>
  <c r="I31" i="12" a="1"/>
  <c r="I31" i="12" s="1"/>
  <c r="M202" i="12" a="1"/>
  <c r="M202" i="12" s="1"/>
  <c r="M83" i="12" a="1"/>
  <c r="M83" i="12" s="1"/>
  <c r="M229" i="12" a="1"/>
  <c r="M229" i="12" s="1"/>
  <c r="L7" i="12" a="1"/>
  <c r="L7" i="12" s="1"/>
  <c r="M203" i="12" a="1"/>
  <c r="M203" i="12" s="1"/>
  <c r="L55" i="12" a="1"/>
  <c r="L55" i="12" s="1"/>
  <c r="I60" i="12" a="1"/>
  <c r="I60" i="12" s="1"/>
  <c r="I58" i="12" a="1"/>
  <c r="I58" i="12" s="1"/>
  <c r="M155" i="12" a="1"/>
  <c r="M155" i="12" s="1"/>
  <c r="I73" i="12" a="1"/>
  <c r="I73" i="12" s="1"/>
  <c r="L99" i="12" a="1"/>
  <c r="L99" i="12" s="1"/>
  <c r="L135" i="12" a="1"/>
  <c r="L135" i="12" s="1"/>
  <c r="L194" i="12" a="1"/>
  <c r="L194" i="12" s="1"/>
  <c r="L196" i="12" a="1"/>
  <c r="L196" i="12" s="1"/>
  <c r="M208" i="12" a="1"/>
  <c r="M208" i="12" s="1"/>
  <c r="M123" i="12" a="1"/>
  <c r="M123" i="12" s="1"/>
  <c r="M231" i="12" a="1"/>
  <c r="M231" i="12" s="1"/>
  <c r="L147" i="12" a="1"/>
  <c r="L147" i="12" s="1"/>
  <c r="M75" i="12" a="1"/>
  <c r="M75" i="12" s="1"/>
  <c r="N75" i="12" s="1"/>
  <c r="L28" i="12" a="1"/>
  <c r="L28" i="12" s="1"/>
  <c r="M39" i="12" a="1"/>
  <c r="M39" i="12" s="1"/>
  <c r="L207" i="12" a="1"/>
  <c r="L207" i="12" s="1"/>
  <c r="I64" i="12" a="1"/>
  <c r="I64" i="12" s="1"/>
  <c r="L224" i="12" a="1"/>
  <c r="L224" i="12" s="1"/>
  <c r="I22" i="12" a="1"/>
  <c r="I22" i="12" s="1"/>
  <c r="M117" i="12" a="1"/>
  <c r="M117" i="12" s="1"/>
  <c r="M225" i="12" a="1"/>
  <c r="M225" i="12" s="1"/>
  <c r="M88" i="12" a="1"/>
  <c r="M88" i="12" s="1"/>
  <c r="L154" i="12" a="1"/>
  <c r="L154" i="12" s="1"/>
  <c r="L179" i="12" a="1"/>
  <c r="L179" i="12" s="1"/>
  <c r="M30" i="12" a="1"/>
  <c r="M30" i="12" s="1"/>
  <c r="I2" i="12" a="1"/>
  <c r="I2" i="12" s="1"/>
  <c r="L222" i="12" a="1"/>
  <c r="L222" i="12" s="1"/>
  <c r="L159" i="12" a="1"/>
  <c r="L159" i="12" s="1"/>
  <c r="M57" i="12" a="1"/>
  <c r="M57" i="12" s="1"/>
  <c r="L3" i="12" a="1"/>
  <c r="L3" i="12" s="1"/>
  <c r="M180" i="12" a="1"/>
  <c r="M180" i="12" s="1"/>
  <c r="L123" i="12" a="1"/>
  <c r="L123" i="12" s="1"/>
  <c r="L97" i="12" a="1"/>
  <c r="L97" i="12" s="1"/>
  <c r="L40" i="12" a="1"/>
  <c r="L40" i="12" s="1"/>
  <c r="I19" i="12" a="1"/>
  <c r="I19" i="12" s="1"/>
  <c r="M193" i="12" a="1"/>
  <c r="M193" i="12" s="1"/>
  <c r="M171" i="12" a="1"/>
  <c r="M171" i="12" s="1"/>
  <c r="L89" i="12" a="1"/>
  <c r="L89" i="12" s="1"/>
  <c r="M126" i="12" a="1"/>
  <c r="M126" i="12" s="1"/>
  <c r="M221" i="12" a="1"/>
  <c r="M221" i="12" s="1"/>
  <c r="L247" i="12" a="1"/>
  <c r="L247" i="12" s="1"/>
  <c r="M100" i="12" a="1"/>
  <c r="M100" i="12" s="1"/>
  <c r="N100" i="12" s="1"/>
  <c r="L131" i="12" a="1"/>
  <c r="L131" i="12" s="1"/>
  <c r="M8" i="12" a="1"/>
  <c r="M8" i="12" s="1"/>
  <c r="L192" i="12" a="1"/>
  <c r="L192" i="12" s="1"/>
  <c r="M191" i="12" a="1"/>
  <c r="M191" i="12" s="1"/>
  <c r="M111" i="12" a="1"/>
  <c r="M111" i="12" s="1"/>
  <c r="M29" i="12" a="1"/>
  <c r="M29" i="12" s="1"/>
  <c r="M20" i="12" a="1"/>
  <c r="M20" i="12" s="1"/>
  <c r="M223" i="12" a="1"/>
  <c r="M223" i="12" s="1"/>
  <c r="L31" i="12" a="1"/>
  <c r="L31" i="12" s="1"/>
  <c r="N31" i="12" s="1"/>
  <c r="I71" i="12" a="1"/>
  <c r="I71" i="12" s="1"/>
  <c r="L15" i="12" a="1"/>
  <c r="L15" i="12" s="1"/>
  <c r="I90" i="12" a="1"/>
  <c r="I90" i="12" s="1"/>
  <c r="L170" i="12" a="1"/>
  <c r="L170" i="12" s="1"/>
  <c r="M15" i="12" a="1"/>
  <c r="M15" i="12" s="1"/>
  <c r="L95" i="12" a="1"/>
  <c r="L95" i="12" s="1"/>
  <c r="L142" i="12" a="1"/>
  <c r="L142" i="12" s="1"/>
  <c r="L208" i="12" a="1"/>
  <c r="L208" i="12" s="1"/>
  <c r="M80" i="12" a="1"/>
  <c r="M80" i="12" s="1"/>
  <c r="N80" i="12" s="1"/>
  <c r="L193" i="12" a="1"/>
  <c r="L193" i="12" s="1"/>
  <c r="L106" i="12" a="1"/>
  <c r="L106" i="12" s="1"/>
  <c r="N106" i="12" s="1"/>
  <c r="M45" i="12" a="1"/>
  <c r="M45" i="12" s="1"/>
  <c r="L233" i="12" a="1"/>
  <c r="L233" i="12" s="1"/>
  <c r="M113" i="12" a="1"/>
  <c r="M113" i="12" s="1"/>
  <c r="M154" i="12" a="1"/>
  <c r="M154" i="12" s="1"/>
  <c r="L168" i="12" a="1"/>
  <c r="L168" i="12" s="1"/>
  <c r="L10" i="12" a="1"/>
  <c r="L10" i="12" s="1"/>
  <c r="L41" i="12" a="1"/>
  <c r="L41" i="12" s="1"/>
  <c r="M135" i="12" a="1"/>
  <c r="M135" i="12" s="1"/>
  <c r="M233" i="12" a="1"/>
  <c r="M233" i="12" s="1"/>
  <c r="L201" i="12" a="1"/>
  <c r="L201" i="12" s="1"/>
  <c r="L79" i="12" a="1"/>
  <c r="L79" i="12" s="1"/>
  <c r="N79" i="12" s="1"/>
  <c r="L23" i="12" a="1"/>
  <c r="L23" i="12" s="1"/>
  <c r="M47" i="12" a="1"/>
  <c r="M47" i="12" s="1"/>
  <c r="L72" i="12" a="1"/>
  <c r="L72" i="12" s="1"/>
  <c r="L205" i="12" a="1"/>
  <c r="L205" i="12" s="1"/>
  <c r="M28" i="12" a="1"/>
  <c r="M28" i="12" s="1"/>
  <c r="L228" i="12" a="1"/>
  <c r="L228" i="12" s="1"/>
  <c r="M22" i="12" a="1"/>
  <c r="M22" i="12" s="1"/>
  <c r="M189" i="12" a="1"/>
  <c r="M189" i="12" s="1"/>
  <c r="M235" i="12" a="1"/>
  <c r="M235" i="12" s="1"/>
  <c r="L160" i="12" a="1"/>
  <c r="L160" i="12" s="1"/>
  <c r="M176" i="12" a="1"/>
  <c r="M176" i="12" s="1"/>
  <c r="L240" i="12" a="1"/>
  <c r="L240" i="12" s="1"/>
  <c r="L145" i="12" a="1"/>
  <c r="L145" i="12" s="1"/>
  <c r="L32" i="12" a="1"/>
  <c r="L32" i="12" s="1"/>
  <c r="M190" i="12" a="1"/>
  <c r="M190" i="12" s="1"/>
  <c r="M204" i="12" a="1"/>
  <c r="M204" i="12" s="1"/>
  <c r="M33" i="12" a="1"/>
  <c r="M33" i="12" s="1"/>
  <c r="L210" i="12" a="1"/>
  <c r="L210" i="12" s="1"/>
  <c r="L249" i="12" a="1"/>
  <c r="L249" i="12" s="1"/>
  <c r="M153" i="12" a="1"/>
  <c r="M153" i="12" s="1"/>
  <c r="M150" i="12" a="1"/>
  <c r="M150" i="12" s="1"/>
  <c r="L12" i="12" a="1"/>
  <c r="L12" i="12" s="1"/>
  <c r="M38" i="12" a="1"/>
  <c r="M38" i="12" s="1"/>
  <c r="M36" i="12" a="1"/>
  <c r="M36" i="12" s="1"/>
  <c r="M4" i="12" a="1"/>
  <c r="M4" i="12" s="1"/>
  <c r="N4" i="12" s="1"/>
  <c r="M3" i="12" a="1"/>
  <c r="M3" i="12" s="1"/>
  <c r="M24" i="12" a="1"/>
  <c r="M24" i="12" s="1"/>
  <c r="L197" i="12" a="1"/>
  <c r="L197" i="12" s="1"/>
  <c r="L165" i="12" a="1"/>
  <c r="L165" i="12" s="1"/>
  <c r="I24" i="12" a="1"/>
  <c r="I24" i="12" s="1"/>
  <c r="I28" i="12" a="1"/>
  <c r="I28" i="12" s="1"/>
  <c r="I67" i="12" a="1"/>
  <c r="I67" i="12" s="1"/>
  <c r="M7" i="12" a="1"/>
  <c r="M7" i="12" s="1"/>
  <c r="L68" i="12" a="1"/>
  <c r="L68" i="12" s="1"/>
  <c r="N68" i="12" s="1"/>
  <c r="L152" i="12" a="1"/>
  <c r="L152" i="12" s="1"/>
  <c r="I89" i="12" a="1"/>
  <c r="I89" i="12" s="1"/>
  <c r="M128" i="12" a="1"/>
  <c r="M128" i="12" s="1"/>
  <c r="M156" i="12" a="1"/>
  <c r="M156" i="12" s="1"/>
  <c r="M43" i="12" a="1"/>
  <c r="M43" i="12" s="1"/>
  <c r="I91" i="12" a="1"/>
  <c r="I91" i="12" s="1"/>
  <c r="L59" i="12" a="1"/>
  <c r="L59" i="12" s="1"/>
  <c r="N59" i="12" s="1"/>
  <c r="M76" i="12" a="1"/>
  <c r="M76" i="12" s="1"/>
  <c r="N76" i="12" s="1"/>
  <c r="M216" i="12" a="1"/>
  <c r="M216" i="12" s="1"/>
  <c r="L96" i="12" a="1"/>
  <c r="L96" i="12" s="1"/>
  <c r="N96" i="12" s="1"/>
  <c r="M74" i="12" a="1"/>
  <c r="M74" i="12" s="1"/>
  <c r="L44" i="12" a="1"/>
  <c r="L44" i="12" s="1"/>
  <c r="M148" i="12" a="1"/>
  <c r="M148" i="12" s="1"/>
  <c r="I52" i="12" a="1"/>
  <c r="I52" i="12" s="1"/>
  <c r="L20" i="12" a="1"/>
  <c r="L20" i="12" s="1"/>
  <c r="I57" i="12" a="1"/>
  <c r="I57" i="12" s="1"/>
  <c r="M115" i="12" a="1"/>
  <c r="M115" i="12" s="1"/>
  <c r="L242" i="12" a="1"/>
  <c r="L242" i="12" s="1"/>
  <c r="M60" i="12" a="1"/>
  <c r="M60" i="12" s="1"/>
  <c r="N60" i="12" s="1"/>
  <c r="I5" i="12" a="1"/>
  <c r="I5" i="12" s="1"/>
  <c r="L84" i="12" a="1"/>
  <c r="L84" i="12" s="1"/>
  <c r="N84" i="12" s="1"/>
  <c r="L67" i="12" a="1"/>
  <c r="L67" i="12" s="1"/>
  <c r="M185" i="12" a="1"/>
  <c r="M185" i="12" s="1"/>
  <c r="L191" i="12" a="1"/>
  <c r="L191" i="12" s="1"/>
  <c r="M195" i="12" a="1"/>
  <c r="M195" i="12" s="1"/>
  <c r="M82" i="12" a="1"/>
  <c r="M82" i="12" s="1"/>
  <c r="L121" i="12" a="1"/>
  <c r="L121" i="12" s="1"/>
  <c r="L108" i="12" a="1"/>
  <c r="L108" i="12" s="1"/>
  <c r="N108" i="12" s="1"/>
  <c r="L216" i="12" a="1"/>
  <c r="L216" i="12" s="1"/>
  <c r="L171" i="12" a="1"/>
  <c r="L171" i="12" s="1"/>
  <c r="M55" i="12" a="1"/>
  <c r="M55" i="12" s="1"/>
  <c r="L158" i="12" a="1"/>
  <c r="L158" i="12" s="1"/>
  <c r="M145" i="12" a="1"/>
  <c r="M145" i="12" s="1"/>
  <c r="L77" i="12" a="1"/>
  <c r="L77" i="12" s="1"/>
  <c r="L47" i="12" a="1"/>
  <c r="L47" i="12" s="1"/>
  <c r="M93" i="12" a="1"/>
  <c r="M93" i="12" s="1"/>
  <c r="L64" i="12" a="1"/>
  <c r="L64" i="12" s="1"/>
  <c r="L212" i="12" a="1"/>
  <c r="L212" i="12" s="1"/>
  <c r="M21" i="12" a="1"/>
  <c r="M21" i="12" s="1"/>
  <c r="L81" i="12" a="1"/>
  <c r="L81" i="12" s="1"/>
  <c r="I4" i="12" a="1"/>
  <c r="I4" i="12" s="1"/>
  <c r="M41" i="12" a="1"/>
  <c r="M41" i="12" s="1"/>
  <c r="I16" i="12" a="1"/>
  <c r="I16" i="12" s="1"/>
  <c r="L115" i="12" a="1"/>
  <c r="L115" i="12" s="1"/>
  <c r="L139" i="12" a="1"/>
  <c r="L139" i="12" s="1"/>
  <c r="M23" i="12" a="1"/>
  <c r="M23" i="12" s="1"/>
  <c r="M132" i="12" a="1"/>
  <c r="M132" i="12" s="1"/>
  <c r="M104" i="12" a="1"/>
  <c r="M104" i="12" s="1"/>
  <c r="L161" i="12" a="1"/>
  <c r="L161" i="12" s="1"/>
  <c r="M187" i="12" a="1"/>
  <c r="M187" i="12" s="1"/>
  <c r="M90" i="12" a="1"/>
  <c r="M90" i="12" s="1"/>
  <c r="N90" i="12" s="1"/>
  <c r="L172" i="12" a="1"/>
  <c r="L172" i="12" s="1"/>
  <c r="I68" i="12" a="1"/>
  <c r="I68" i="12" s="1"/>
  <c r="M81" i="12" a="1"/>
  <c r="M81" i="12" s="1"/>
  <c r="I65" i="12" a="1"/>
  <c r="I65" i="12" s="1"/>
  <c r="M147" i="12" a="1"/>
  <c r="M147" i="12" s="1"/>
  <c r="M219" i="12" a="1"/>
  <c r="M219" i="12" s="1"/>
  <c r="M165" i="12" a="1"/>
  <c r="M165" i="12" s="1"/>
  <c r="L101" i="12" a="1"/>
  <c r="L101" i="12" s="1"/>
  <c r="N101" i="12" s="1"/>
  <c r="L8" i="12" a="1"/>
  <c r="L8" i="12" s="1"/>
  <c r="L225" i="12" a="1"/>
  <c r="L225" i="12" s="1"/>
  <c r="L178" i="12" a="1"/>
  <c r="L178" i="12" s="1"/>
  <c r="I11" i="12" a="1"/>
  <c r="I11" i="12" s="1"/>
  <c r="L16" i="12" a="1"/>
  <c r="L16" i="12" s="1"/>
  <c r="M35" i="12" a="1"/>
  <c r="M35" i="12" s="1"/>
  <c r="M217" i="12" a="1"/>
  <c r="M217" i="12" s="1"/>
  <c r="M140" i="12" a="1"/>
  <c r="M140" i="12" s="1"/>
  <c r="I9" i="12" a="1"/>
  <c r="I9" i="12" s="1"/>
  <c r="L62" i="12" a="1"/>
  <c r="L62" i="12" s="1"/>
  <c r="N62" i="12" s="1"/>
  <c r="I47" i="12" a="1"/>
  <c r="I47" i="12" s="1"/>
  <c r="L141" i="12" a="1"/>
  <c r="L141" i="12" s="1"/>
  <c r="L198" i="12" a="1"/>
  <c r="L198" i="12" s="1"/>
  <c r="M103" i="12" a="1"/>
  <c r="M103" i="12" s="1"/>
  <c r="L137" i="12" a="1"/>
  <c r="L137" i="12" s="1"/>
  <c r="I88" i="12" a="1"/>
  <c r="I88" i="12" s="1"/>
  <c r="L9" i="12" a="1"/>
  <c r="L9" i="12" s="1"/>
  <c r="N9" i="12" s="1"/>
  <c r="M6" i="12" a="1"/>
  <c r="M6" i="12" s="1"/>
  <c r="M178" i="12" a="1"/>
  <c r="M178" i="12" s="1"/>
  <c r="L105" i="12" a="1"/>
  <c r="L105" i="12" s="1"/>
  <c r="M94" i="12" a="1"/>
  <c r="M94" i="12" s="1"/>
  <c r="I96" i="12" a="1"/>
  <c r="I96" i="12" s="1"/>
  <c r="L45" i="12" a="1"/>
  <c r="L45" i="12" s="1"/>
  <c r="N45" i="12" s="1"/>
  <c r="M64" i="12" a="1"/>
  <c r="M64" i="12" s="1"/>
  <c r="L52" i="12" a="1"/>
  <c r="L52" i="12" s="1"/>
  <c r="M92" i="12" a="1"/>
  <c r="M92" i="12" s="1"/>
  <c r="N92" i="12" s="1"/>
  <c r="I48" i="12" a="1"/>
  <c r="I48" i="12" s="1"/>
  <c r="M192" i="12" a="1"/>
  <c r="M192" i="12" s="1"/>
  <c r="L252" i="12" a="1"/>
  <c r="L252" i="12" s="1"/>
  <c r="M70" i="12" a="1"/>
  <c r="M70" i="12" s="1"/>
  <c r="M138" i="12" a="1"/>
  <c r="M138" i="12" s="1"/>
  <c r="L183" i="12" a="1"/>
  <c r="L183" i="12" s="1"/>
  <c r="L116" i="12" a="1"/>
  <c r="L116" i="12" s="1"/>
  <c r="L42" i="12" a="1"/>
  <c r="L42" i="12" s="1"/>
  <c r="N42" i="12" s="1"/>
  <c r="I72" i="12" a="1"/>
  <c r="I72" i="12" s="1"/>
  <c r="L237" i="12" a="1"/>
  <c r="L237" i="12" s="1"/>
  <c r="L51" i="12" a="1"/>
  <c r="L51" i="12" s="1"/>
  <c r="N51" i="12" s="1"/>
  <c r="M207" i="12" a="1"/>
  <c r="M207" i="12" s="1"/>
  <c r="I20" i="12" a="1"/>
  <c r="I20" i="12" s="1"/>
  <c r="I36" i="12" a="1"/>
  <c r="I36" i="12" s="1"/>
  <c r="L38" i="12" a="1"/>
  <c r="L38" i="12" s="1"/>
  <c r="M102" i="12" a="1"/>
  <c r="M102" i="12" s="1"/>
  <c r="M199" i="12" a="1"/>
  <c r="M199" i="12" s="1"/>
  <c r="L149" i="12" a="1"/>
  <c r="L149" i="12" s="1"/>
  <c r="L206" i="12" a="1"/>
  <c r="L206" i="12" s="1"/>
  <c r="M125" i="12" a="1"/>
  <c r="M125" i="12" s="1"/>
  <c r="M149" i="12" a="1"/>
  <c r="M149" i="12" s="1"/>
  <c r="M48" i="12" a="1"/>
  <c r="M48" i="12" s="1"/>
  <c r="I76" i="12" a="1"/>
  <c r="I76" i="12" s="1"/>
  <c r="L107" i="12" a="1"/>
  <c r="L107" i="12" s="1"/>
  <c r="N107" i="12" s="1"/>
  <c r="M10" i="12" a="1"/>
  <c r="M10" i="12" s="1"/>
  <c r="I95" i="12" a="1"/>
  <c r="I95" i="12" s="1"/>
  <c r="L43" i="12" a="1"/>
  <c r="L43" i="12" s="1"/>
  <c r="I30" i="12" a="1"/>
  <c r="I30" i="12" s="1"/>
  <c r="M105" i="12" a="1"/>
  <c r="M105" i="12" s="1"/>
  <c r="M152" i="12" a="1"/>
  <c r="M152" i="12" s="1"/>
  <c r="L36" i="12" a="1"/>
  <c r="L36" i="12" s="1"/>
  <c r="N36" i="12" s="1"/>
  <c r="L71" i="12" a="1"/>
  <c r="L71" i="12" s="1"/>
  <c r="N71" i="12" s="1"/>
  <c r="I37" i="12" a="1"/>
  <c r="I37" i="12" s="1"/>
  <c r="I62" i="12" a="1"/>
  <c r="I62" i="12" s="1"/>
  <c r="I59" i="12" a="1"/>
  <c r="I59" i="12" s="1"/>
  <c r="M49" i="12" a="1"/>
  <c r="M49" i="12" s="1"/>
  <c r="N49" i="12" s="1"/>
  <c r="L175" i="12" a="1"/>
  <c r="L175" i="12" s="1"/>
  <c r="L29" i="12" a="1"/>
  <c r="L29" i="12" s="1"/>
  <c r="M78" i="12" a="1"/>
  <c r="M78" i="12" s="1"/>
  <c r="L223" i="12" a="1"/>
  <c r="L223" i="12" s="1"/>
  <c r="L214" i="12" a="1"/>
  <c r="L214" i="12" s="1"/>
  <c r="L241" i="12" a="1"/>
  <c r="L241" i="12" s="1"/>
  <c r="L112" i="12" a="1"/>
  <c r="L112" i="12" s="1"/>
  <c r="L18" i="12" a="1"/>
  <c r="L18" i="12" s="1"/>
  <c r="N18" i="12" s="1"/>
  <c r="L94" i="12" a="1"/>
  <c r="L94" i="12" s="1"/>
  <c r="M177" i="12" a="1"/>
  <c r="M177" i="12" s="1"/>
  <c r="I56" i="12" a="1"/>
  <c r="I56" i="12" s="1"/>
  <c r="M46" i="12" a="1"/>
  <c r="M46" i="12" s="1"/>
  <c r="L217" i="12" a="1"/>
  <c r="L217" i="12" s="1"/>
  <c r="M77" i="12" a="1"/>
  <c r="M77" i="12" s="1"/>
  <c r="L125" i="12" a="1"/>
  <c r="L125" i="12" s="1"/>
  <c r="L134" i="12" a="1"/>
  <c r="L134" i="12" s="1"/>
  <c r="L215" i="12" a="1"/>
  <c r="L215" i="12" s="1"/>
  <c r="M58" i="12" a="1"/>
  <c r="M58" i="12" s="1"/>
  <c r="N58" i="12" s="1"/>
  <c r="I61" i="12" a="1"/>
  <c r="I61" i="12" s="1"/>
  <c r="M166" i="12" a="1"/>
  <c r="M166" i="12" s="1"/>
  <c r="M11" i="12" a="1"/>
  <c r="M11" i="12" s="1"/>
  <c r="N11" i="12" s="1"/>
  <c r="M186" i="12" a="1"/>
  <c r="M186" i="12" s="1"/>
  <c r="L26" i="12" a="1"/>
  <c r="L26" i="12" s="1"/>
  <c r="I35" i="12" a="1"/>
  <c r="I35" i="12" s="1"/>
  <c r="L177" i="12" a="1"/>
  <c r="L177" i="12" s="1"/>
  <c r="L235" i="12" a="1"/>
  <c r="L235" i="12" s="1"/>
  <c r="I46" i="12" a="1"/>
  <c r="I46" i="12" s="1"/>
  <c r="M12" i="12" a="1"/>
  <c r="M12" i="12" s="1"/>
  <c r="L14" i="12" a="1"/>
  <c r="L14" i="12" s="1"/>
  <c r="M136" i="12" a="1"/>
  <c r="M136" i="12" s="1"/>
  <c r="L30" i="12" a="1"/>
  <c r="L30" i="12" s="1"/>
  <c r="N30" i="12" s="1"/>
  <c r="I94" i="12" a="1"/>
  <c r="I94" i="12" s="1"/>
  <c r="M19" i="12" a="1"/>
  <c r="M19" i="12" s="1"/>
  <c r="L143" i="12" a="1"/>
  <c r="L143" i="12" s="1"/>
  <c r="L232" i="12" a="1"/>
  <c r="L232" i="12" s="1"/>
  <c r="L146" i="12" a="1"/>
  <c r="L146" i="12" s="1"/>
  <c r="L188" i="12" a="1"/>
  <c r="L188" i="12" s="1"/>
  <c r="M116" i="12" a="1"/>
  <c r="M116" i="12" s="1"/>
  <c r="I53" i="12" a="1"/>
  <c r="I53" i="12" s="1"/>
  <c r="M146" i="12" a="1"/>
  <c r="M146" i="12" s="1"/>
  <c r="L70" i="12" a="1"/>
  <c r="L70" i="12" s="1"/>
  <c r="N70" i="12" s="1"/>
  <c r="N67" i="12"/>
  <c r="N40" i="12"/>
  <c r="N74" i="12"/>
  <c r="N47" i="12"/>
  <c r="P81" i="1" a="1"/>
  <c r="P81" i="1" s="1"/>
  <c r="N95" i="12"/>
  <c r="N24" i="12"/>
  <c r="N39" i="12"/>
  <c r="N53" i="12"/>
  <c r="N99" i="12"/>
  <c r="N66" i="12"/>
  <c r="I2" i="8"/>
  <c r="K2" i="4" s="1"/>
  <c r="K33" i="1" s="1" a="1"/>
  <c r="K33" i="1" s="1"/>
  <c r="U23" i="6" l="1"/>
  <c r="U20" i="6"/>
  <c r="U19" i="6"/>
  <c r="T16" i="6"/>
  <c r="T24" i="6"/>
  <c r="P25" i="1" s="1" a="1"/>
  <c r="P25" i="1" s="1"/>
  <c r="AB112" i="4"/>
  <c r="T20" i="6"/>
  <c r="P20" i="1" s="1" a="1"/>
  <c r="P20" i="1" s="1"/>
  <c r="T22" i="6"/>
  <c r="T11" i="6"/>
  <c r="P11" i="1" s="1" a="1"/>
  <c r="P11" i="1" s="1"/>
  <c r="F9" i="13" s="1"/>
  <c r="T13" i="6"/>
  <c r="U14" i="6"/>
  <c r="V14" i="6" s="1"/>
  <c r="U25" i="6"/>
  <c r="V25" i="6" s="1"/>
  <c r="U10" i="6"/>
  <c r="V10" i="6" s="1"/>
  <c r="T23" i="6"/>
  <c r="T19" i="6"/>
  <c r="P19" i="1" s="1" a="1"/>
  <c r="P19" i="1" s="1"/>
  <c r="F14" i="13" s="1"/>
  <c r="N5" i="12"/>
  <c r="U16" i="6" s="1"/>
  <c r="T12" i="6"/>
  <c r="T21" i="6"/>
  <c r="N14" i="12"/>
  <c r="U17" i="6" s="1"/>
  <c r="V17" i="6" s="1"/>
  <c r="T10" i="6"/>
  <c r="T17" i="6"/>
  <c r="P17" i="1" s="1" a="1"/>
  <c r="P17" i="1" s="1"/>
  <c r="F15" i="13"/>
  <c r="D2" i="13"/>
  <c r="C2" i="13"/>
  <c r="E2" i="13"/>
  <c r="B2" i="13"/>
  <c r="N27" i="12"/>
  <c r="N34" i="12"/>
  <c r="N22" i="12"/>
  <c r="N85" i="12"/>
  <c r="N6" i="12"/>
  <c r="U7" i="6" s="1"/>
  <c r="V7" i="6" s="1"/>
  <c r="N77" i="12"/>
  <c r="N12" i="12"/>
  <c r="U8" i="6" s="1"/>
  <c r="V8" i="6" s="1"/>
  <c r="AB67" i="4"/>
  <c r="N64" i="12"/>
  <c r="N88" i="12"/>
  <c r="N57" i="12"/>
  <c r="N63" i="12"/>
  <c r="N61" i="12"/>
  <c r="N26" i="12"/>
  <c r="U4" i="6" s="1"/>
  <c r="V4" i="6" s="1"/>
  <c r="N44" i="12"/>
  <c r="AB136" i="4"/>
  <c r="N72" i="12"/>
  <c r="AB188" i="4"/>
  <c r="N19" i="12"/>
  <c r="U11" i="6" s="1"/>
  <c r="V11" i="6" s="1"/>
  <c r="N16" i="12"/>
  <c r="N32" i="12"/>
  <c r="N29" i="12"/>
  <c r="U12" i="6" s="1"/>
  <c r="V12" i="6" s="1"/>
  <c r="N21" i="12"/>
  <c r="U18" i="6" s="1"/>
  <c r="Q18" i="1" s="1" a="1"/>
  <c r="Q18" i="1" s="1"/>
  <c r="N89" i="12"/>
  <c r="N65" i="12"/>
  <c r="N20" i="12"/>
  <c r="U5" i="6" s="1"/>
  <c r="V5" i="6" s="1"/>
  <c r="V16" i="6"/>
  <c r="Q17" i="1" a="1"/>
  <c r="Q17" i="1" s="1"/>
  <c r="V20" i="6"/>
  <c r="Q20" i="1" a="1"/>
  <c r="Q20" i="1" s="1"/>
  <c r="V23" i="6"/>
  <c r="Q26" i="1" a="1"/>
  <c r="Q26" i="1" s="1"/>
  <c r="AB36" i="4"/>
  <c r="P52" i="1" s="1" a="1"/>
  <c r="P52" i="1" s="1"/>
  <c r="AB11" i="4"/>
  <c r="P55" i="1" s="1" a="1"/>
  <c r="P55" i="1" s="1"/>
  <c r="N23" i="12"/>
  <c r="T5" i="6"/>
  <c r="P5" i="1" s="1" a="1"/>
  <c r="P5" i="1" s="1"/>
  <c r="F3" i="13" s="1"/>
  <c r="AB137" i="4"/>
  <c r="AB84" i="4"/>
  <c r="U40" i="6"/>
  <c r="V40" i="6" s="1"/>
  <c r="U27" i="6"/>
  <c r="V27" i="6" s="1"/>
  <c r="U45" i="6"/>
  <c r="V45" i="6" s="1"/>
  <c r="U32" i="6"/>
  <c r="V32" i="6" s="1"/>
  <c r="U50" i="6"/>
  <c r="V50" i="6" s="1"/>
  <c r="U43" i="6"/>
  <c r="V43" i="6" s="1"/>
  <c r="U30" i="6"/>
  <c r="V30" i="6" s="1"/>
  <c r="U48" i="6"/>
  <c r="V48" i="6" s="1"/>
  <c r="U35" i="6"/>
  <c r="V35" i="6" s="1"/>
  <c r="U28" i="6"/>
  <c r="V28" i="6" s="1"/>
  <c r="U46" i="6"/>
  <c r="V46" i="6" s="1"/>
  <c r="U33" i="6"/>
  <c r="V33" i="6" s="1"/>
  <c r="U51" i="6"/>
  <c r="V51" i="6" s="1"/>
  <c r="U38" i="6"/>
  <c r="V38" i="6" s="1"/>
  <c r="U31" i="6"/>
  <c r="V31" i="6" s="1"/>
  <c r="U49" i="6"/>
  <c r="V49" i="6" s="1"/>
  <c r="U36" i="6"/>
  <c r="V36" i="6" s="1"/>
  <c r="U41" i="6"/>
  <c r="V41" i="6" s="1"/>
  <c r="U34" i="6"/>
  <c r="V34" i="6" s="1"/>
  <c r="U52" i="6"/>
  <c r="V52" i="6" s="1"/>
  <c r="U39" i="6"/>
  <c r="V39" i="6" s="1"/>
  <c r="U26" i="6"/>
  <c r="V26" i="6" s="1"/>
  <c r="U44" i="6"/>
  <c r="V44" i="6" s="1"/>
  <c r="U37" i="6"/>
  <c r="V37" i="6" s="1"/>
  <c r="U42" i="6"/>
  <c r="V42" i="6" s="1"/>
  <c r="U29" i="6"/>
  <c r="V29" i="6" s="1"/>
  <c r="U47" i="6"/>
  <c r="V47" i="6" s="1"/>
  <c r="AB28" i="4"/>
  <c r="P58" i="1" s="1" a="1"/>
  <c r="P58" i="1" s="1"/>
  <c r="T15" i="6"/>
  <c r="P15" i="1" s="1" a="1"/>
  <c r="P15" i="1" s="1"/>
  <c r="AB18" i="4"/>
  <c r="P54" i="1" s="1" a="1"/>
  <c r="P54" i="1" s="1"/>
  <c r="T25" i="6"/>
  <c r="P26" i="1" s="1" a="1"/>
  <c r="P26" i="1" s="1"/>
  <c r="AB21" i="4"/>
  <c r="P67" i="1" s="1" a="1"/>
  <c r="P67" i="1" s="1"/>
  <c r="T18" i="6"/>
  <c r="P18" i="1" s="1" a="1"/>
  <c r="P18" i="1" s="1"/>
  <c r="F13" i="13" s="1"/>
  <c r="T31" i="6"/>
  <c r="T49" i="6"/>
  <c r="T33" i="6"/>
  <c r="T51" i="6"/>
  <c r="T38" i="6"/>
  <c r="T34" i="6"/>
  <c r="T52" i="6"/>
  <c r="T36" i="6"/>
  <c r="T41" i="6"/>
  <c r="T37" i="6"/>
  <c r="T39" i="6"/>
  <c r="T26" i="6"/>
  <c r="T44" i="6"/>
  <c r="T40" i="6"/>
  <c r="T42" i="6"/>
  <c r="T29" i="6"/>
  <c r="T47" i="6"/>
  <c r="T43" i="6"/>
  <c r="T27" i="6"/>
  <c r="T45" i="6"/>
  <c r="T32" i="6"/>
  <c r="T50" i="6"/>
  <c r="T28" i="6"/>
  <c r="T46" i="6"/>
  <c r="T30" i="6"/>
  <c r="T48" i="6"/>
  <c r="T35" i="6"/>
  <c r="V19" i="6"/>
  <c r="Q19" i="1" a="1"/>
  <c r="Q19" i="1" s="1"/>
  <c r="Q57" i="1" a="1"/>
  <c r="Q57" i="1" s="1"/>
  <c r="Q33" i="1" a="1"/>
  <c r="Q33" i="1" s="1"/>
  <c r="N94" i="12"/>
  <c r="AB141" i="4"/>
  <c r="AB59" i="4"/>
  <c r="AB162" i="4"/>
  <c r="AB240" i="4"/>
  <c r="AB49" i="4"/>
  <c r="AB168" i="4"/>
  <c r="AB139" i="4"/>
  <c r="AB224" i="4"/>
  <c r="AB99" i="4"/>
  <c r="AB209" i="4"/>
  <c r="AB132" i="4"/>
  <c r="N50" i="12"/>
  <c r="AB117" i="4"/>
  <c r="N10" i="12"/>
  <c r="U21" i="6" s="1"/>
  <c r="N28" i="12"/>
  <c r="U15" i="6" s="1"/>
  <c r="N102" i="12"/>
  <c r="N33" i="12"/>
  <c r="U9" i="6" s="1"/>
  <c r="Q10" i="1" s="1" a="1"/>
  <c r="Q10" i="1" s="1"/>
  <c r="N35" i="12"/>
  <c r="N93" i="12"/>
  <c r="N111" i="12"/>
  <c r="N48" i="12"/>
  <c r="N91" i="12"/>
  <c r="N103" i="12"/>
  <c r="N43" i="12"/>
  <c r="T6" i="6"/>
  <c r="P6" i="1" s="1" a="1"/>
  <c r="P6" i="1" s="1"/>
  <c r="F4" i="13" s="1"/>
  <c r="T2" i="6"/>
  <c r="P2" i="1" s="1" a="1"/>
  <c r="P2" i="1" s="1"/>
  <c r="AB214" i="4"/>
  <c r="AB157" i="4"/>
  <c r="AB145" i="4"/>
  <c r="AB126" i="4"/>
  <c r="AB135" i="4"/>
  <c r="AB155" i="4"/>
  <c r="AB243" i="4"/>
  <c r="AB46" i="4"/>
  <c r="AB138" i="4"/>
  <c r="AB176" i="4"/>
  <c r="AB66" i="4"/>
  <c r="AB131" i="4"/>
  <c r="AB134" i="4"/>
  <c r="AB121" i="4"/>
  <c r="AB239" i="4"/>
  <c r="AB181" i="4"/>
  <c r="AB236" i="4"/>
  <c r="AB220" i="4"/>
  <c r="AB120" i="4"/>
  <c r="AB238" i="4"/>
  <c r="AB143" i="4"/>
  <c r="AB235" i="4"/>
  <c r="AB217" i="4"/>
  <c r="AB103" i="4"/>
  <c r="AB72" i="4"/>
  <c r="AB90" i="4"/>
  <c r="AB186" i="4"/>
  <c r="AB34" i="4"/>
  <c r="P64" i="1" s="1" a="1"/>
  <c r="P64" i="1" s="1"/>
  <c r="AB16" i="4"/>
  <c r="P80" i="1" s="1" a="1"/>
  <c r="P80" i="1" s="1"/>
  <c r="AB130" i="4"/>
  <c r="AB50" i="4"/>
  <c r="AB65" i="4"/>
  <c r="AB196" i="4"/>
  <c r="AB48" i="4"/>
  <c r="AB230" i="4"/>
  <c r="AB237" i="4"/>
  <c r="AB199" i="4"/>
  <c r="AB167" i="4"/>
  <c r="AB115" i="4"/>
  <c r="AB107" i="4"/>
  <c r="AB221" i="4"/>
  <c r="AB86" i="4"/>
  <c r="AB82" i="4"/>
  <c r="AB180" i="4"/>
  <c r="AB44" i="4"/>
  <c r="AB108" i="4"/>
  <c r="AB246" i="4"/>
  <c r="AB64" i="4"/>
  <c r="AB80" i="4"/>
  <c r="AB169" i="4"/>
  <c r="AB87" i="4"/>
  <c r="AB245" i="4"/>
  <c r="AB95" i="4"/>
  <c r="AB159" i="4"/>
  <c r="AB7" i="4"/>
  <c r="P13" i="1" s="1" a="1"/>
  <c r="P13" i="1" s="1"/>
  <c r="F11" i="13" s="1"/>
  <c r="AB153" i="4"/>
  <c r="AB79" i="4"/>
  <c r="AB5" i="4"/>
  <c r="P16" i="1" s="1" a="1"/>
  <c r="P16" i="1" s="1"/>
  <c r="F12" i="13" s="1"/>
  <c r="AB22" i="4"/>
  <c r="P61" i="1" s="1" a="1"/>
  <c r="P61" i="1" s="1"/>
  <c r="AB25" i="4"/>
  <c r="P45" i="1" s="1" a="1"/>
  <c r="P45" i="1" s="1"/>
  <c r="AB40" i="4"/>
  <c r="P53" i="1" s="1" a="1"/>
  <c r="P53" i="1" s="1"/>
  <c r="AB26" i="4"/>
  <c r="P14" i="1" s="1" a="1"/>
  <c r="P14" i="1" s="1"/>
  <c r="AB39" i="4"/>
  <c r="P69" i="1" s="1" a="1"/>
  <c r="P69" i="1" s="1"/>
  <c r="AB41" i="4"/>
  <c r="P77" i="1" s="1" a="1"/>
  <c r="P77" i="1" s="1"/>
  <c r="AB27" i="4"/>
  <c r="AB38" i="4"/>
  <c r="P12" i="1" s="1" a="1"/>
  <c r="P12" i="1" s="1"/>
  <c r="F10" i="13" s="1"/>
  <c r="AB241" i="4"/>
  <c r="AB163" i="4"/>
  <c r="AB77" i="4"/>
  <c r="AB113" i="4"/>
  <c r="AB69" i="4"/>
  <c r="AB33" i="4"/>
  <c r="P48" i="1" s="1" a="1"/>
  <c r="P48" i="1" s="1"/>
  <c r="AB9" i="4"/>
  <c r="P31" i="1" s="1" a="1"/>
  <c r="P31" i="1" s="1"/>
  <c r="AB232" i="4"/>
  <c r="AB190" i="4"/>
  <c r="AB119" i="4"/>
  <c r="AB70" i="4"/>
  <c r="AB96" i="4"/>
  <c r="AB175" i="4"/>
  <c r="AB206" i="4"/>
  <c r="AB71" i="4"/>
  <c r="AB179" i="4"/>
  <c r="AB74" i="4"/>
  <c r="AB62" i="4"/>
  <c r="AB81" i="4"/>
  <c r="AB226" i="4"/>
  <c r="AB178" i="4"/>
  <c r="AB116" i="4"/>
  <c r="AB73" i="4"/>
  <c r="AB192" i="4"/>
  <c r="T7" i="6"/>
  <c r="AB148" i="4"/>
  <c r="AB122" i="4"/>
  <c r="AB227" i="4"/>
  <c r="AB125" i="4"/>
  <c r="AB207" i="4"/>
  <c r="AB24" i="4"/>
  <c r="P44" i="1" s="1" a="1"/>
  <c r="P44" i="1" s="1"/>
  <c r="AB45" i="4"/>
  <c r="AB182" i="4"/>
  <c r="AB201" i="4"/>
  <c r="AB215" i="4"/>
  <c r="AB222" i="4"/>
  <c r="AB83" i="4"/>
  <c r="AB211" i="4"/>
  <c r="AB247" i="4"/>
  <c r="AB109" i="4"/>
  <c r="AB154" i="4"/>
  <c r="AB144" i="4"/>
  <c r="AB147" i="4"/>
  <c r="AB140" i="4"/>
  <c r="AB114" i="4"/>
  <c r="AB29" i="4"/>
  <c r="P42" i="1" s="1" a="1"/>
  <c r="P42" i="1" s="1"/>
  <c r="AB23" i="4"/>
  <c r="P56" i="1" s="1" a="1"/>
  <c r="P56" i="1" s="1"/>
  <c r="N52" i="12"/>
  <c r="AB51" i="4"/>
  <c r="AB193" i="4"/>
  <c r="AB93" i="4"/>
  <c r="AB68" i="4"/>
  <c r="AB101" i="4"/>
  <c r="AB88" i="4"/>
  <c r="AB160" i="4"/>
  <c r="AB118" i="4"/>
  <c r="AB129" i="4"/>
  <c r="AB252" i="4"/>
  <c r="AB231" i="4"/>
  <c r="AB102" i="4"/>
  <c r="AB212" i="4"/>
  <c r="AB173" i="4"/>
  <c r="AB161" i="4"/>
  <c r="AB204" i="4"/>
  <c r="AB244" i="4"/>
  <c r="AB216" i="4"/>
  <c r="N112" i="12"/>
  <c r="AB20" i="4"/>
  <c r="P74" i="1" s="1" a="1"/>
  <c r="P74" i="1" s="1"/>
  <c r="AB63" i="4"/>
  <c r="AB111" i="4"/>
  <c r="AB171" i="4"/>
  <c r="AB58" i="4"/>
  <c r="AB85" i="4"/>
  <c r="AB156" i="4"/>
  <c r="AB146" i="4"/>
  <c r="AB52" i="4"/>
  <c r="AB127" i="4"/>
  <c r="AB56" i="4"/>
  <c r="AB164" i="4"/>
  <c r="AB185" i="4"/>
  <c r="AB151" i="4"/>
  <c r="AB200" i="4"/>
  <c r="AB133" i="4"/>
  <c r="AB105" i="4"/>
  <c r="AB76" i="4"/>
  <c r="AB142" i="4"/>
  <c r="AB165" i="4"/>
  <c r="AB75" i="4"/>
  <c r="AB55" i="4"/>
  <c r="AB123" i="4"/>
  <c r="AB248" i="4"/>
  <c r="T4" i="6"/>
  <c r="P4" i="1" s="1" a="1"/>
  <c r="P4" i="1" s="1"/>
  <c r="F2" i="13" s="1"/>
  <c r="T8" i="6"/>
  <c r="P9" i="1" s="1" a="1"/>
  <c r="P9" i="1" s="1"/>
  <c r="F7" i="13" s="1"/>
  <c r="AB35" i="4"/>
  <c r="P68" i="1" s="1" a="1"/>
  <c r="P68" i="1" s="1"/>
  <c r="N3" i="12"/>
  <c r="AC35" i="4" s="1"/>
  <c r="Q68" i="1" s="1" a="1"/>
  <c r="Q68" i="1" s="1"/>
  <c r="AB31" i="4"/>
  <c r="P51" i="1" s="1" a="1"/>
  <c r="P51" i="1" s="1"/>
  <c r="AB10" i="4"/>
  <c r="P76" i="1" s="1" a="1"/>
  <c r="P76" i="1" s="1"/>
  <c r="AB8" i="4"/>
  <c r="P23" i="1" s="1" a="1"/>
  <c r="P23" i="1" s="1"/>
  <c r="N8" i="12"/>
  <c r="U22" i="6" s="1"/>
  <c r="N113" i="12"/>
  <c r="N15" i="12"/>
  <c r="U3" i="6" s="1"/>
  <c r="AB19" i="4"/>
  <c r="P8" i="1" s="1" a="1"/>
  <c r="P8" i="1" s="1"/>
  <c r="F6" i="13" s="1"/>
  <c r="AB32" i="4"/>
  <c r="P71" i="1" s="1" a="1"/>
  <c r="P71" i="1" s="1"/>
  <c r="AB17" i="4"/>
  <c r="P73" i="1" s="1" a="1"/>
  <c r="P73" i="1" s="1"/>
  <c r="N56" i="12"/>
  <c r="AB30" i="4"/>
  <c r="P63" i="1" s="1" a="1"/>
  <c r="P63" i="1" s="1"/>
  <c r="AB4" i="4"/>
  <c r="N25" i="12"/>
  <c r="U24" i="6" s="1"/>
  <c r="AB14" i="4"/>
  <c r="P66" i="1" s="1" a="1"/>
  <c r="P66" i="1" s="1"/>
  <c r="AB6" i="4"/>
  <c r="AB12" i="4"/>
  <c r="P75" i="1" s="1" a="1"/>
  <c r="P75" i="1" s="1"/>
  <c r="AB15" i="4"/>
  <c r="P46" i="1" s="1" a="1"/>
  <c r="P46" i="1" s="1"/>
  <c r="AC9" i="4"/>
  <c r="Q31" i="1" s="1" a="1"/>
  <c r="Q31" i="1" s="1"/>
  <c r="U6" i="6"/>
  <c r="AB37" i="4"/>
  <c r="P65" i="1" s="1" a="1"/>
  <c r="P65" i="1" s="1"/>
  <c r="N97" i="12"/>
  <c r="AB13" i="4"/>
  <c r="P50" i="1" s="1" a="1"/>
  <c r="P50" i="1" s="1"/>
  <c r="AB2" i="4"/>
  <c r="T9" i="6"/>
  <c r="P10" i="1" s="1" a="1"/>
  <c r="P10" i="1" s="1"/>
  <c r="F8" i="13" s="1"/>
  <c r="T3" i="6"/>
  <c r="P3" i="1" s="1" a="1"/>
  <c r="P3" i="1" s="1"/>
  <c r="N82" i="12"/>
  <c r="AB3" i="4"/>
  <c r="AB184" i="4"/>
  <c r="AB229" i="4"/>
  <c r="AB228" i="4"/>
  <c r="AB234" i="4"/>
  <c r="AB213" i="4"/>
  <c r="AB170" i="4"/>
  <c r="AB223" i="4"/>
  <c r="AB210" i="4"/>
  <c r="AB250" i="4"/>
  <c r="AB106" i="4"/>
  <c r="AB104" i="4"/>
  <c r="AB219" i="4"/>
  <c r="AB57" i="4"/>
  <c r="AB174" i="4"/>
  <c r="AB166" i="4"/>
  <c r="AB189" i="4"/>
  <c r="AB78" i="4"/>
  <c r="AB233" i="4"/>
  <c r="AB124" i="4"/>
  <c r="AB197" i="4"/>
  <c r="AB198" i="4"/>
  <c r="AB92" i="4"/>
  <c r="AB225" i="4"/>
  <c r="AB47" i="4"/>
  <c r="AB89" i="4"/>
  <c r="AB158" i="4"/>
  <c r="AB60" i="4"/>
  <c r="AB187" i="4"/>
  <c r="AB128" i="4"/>
  <c r="AB97" i="4"/>
  <c r="AB177" i="4"/>
  <c r="AB110" i="4"/>
  <c r="AB208" i="4"/>
  <c r="AB91" i="4"/>
  <c r="AB150" i="4"/>
  <c r="AB203" i="4"/>
  <c r="AB191" i="4"/>
  <c r="AB183" i="4"/>
  <c r="AB152" i="4"/>
  <c r="AB100" i="4"/>
  <c r="AB242" i="4"/>
  <c r="AB149" i="4"/>
  <c r="AB43" i="4"/>
  <c r="AB61" i="4"/>
  <c r="AB249" i="4"/>
  <c r="AB94" i="4"/>
  <c r="AB42" i="4"/>
  <c r="AB205" i="4"/>
  <c r="AB202" i="4"/>
  <c r="AB194" i="4"/>
  <c r="AB218" i="4"/>
  <c r="AB172" i="4"/>
  <c r="AB195" i="4"/>
  <c r="AB53" i="4"/>
  <c r="AB98" i="4"/>
  <c r="AB251" i="4"/>
  <c r="AB54" i="4"/>
  <c r="N83" i="12"/>
  <c r="N17" i="12"/>
  <c r="U2" i="6" s="1"/>
  <c r="N69" i="12"/>
  <c r="N105" i="12"/>
  <c r="N55" i="12"/>
  <c r="N78" i="12"/>
  <c r="N104" i="12"/>
  <c r="N110" i="12"/>
  <c r="N7" i="12"/>
  <c r="U13" i="6" s="1"/>
  <c r="N73" i="12"/>
  <c r="N38" i="12"/>
  <c r="N81" i="12"/>
  <c r="N41" i="12"/>
  <c r="N37" i="12"/>
  <c r="N46" i="12"/>
  <c r="N54" i="12"/>
  <c r="Q81" i="1" a="1"/>
  <c r="Q81" i="1" s="1"/>
  <c r="AC99" i="4"/>
  <c r="AC92" i="4"/>
  <c r="AC51" i="4"/>
  <c r="AC244" i="4"/>
  <c r="AC166" i="4"/>
  <c r="AC116" i="4"/>
  <c r="AC52" i="4"/>
  <c r="AC170" i="4"/>
  <c r="AC224" i="4"/>
  <c r="AC177" i="4"/>
  <c r="AC66" i="4"/>
  <c r="AC90" i="4"/>
  <c r="AC81" i="4"/>
  <c r="AC169" i="4"/>
  <c r="AC167" i="4"/>
  <c r="AC250" i="4"/>
  <c r="AC141" i="4"/>
  <c r="AC228" i="4"/>
  <c r="K4" i="1" a="1"/>
  <c r="K4" i="1" s="1"/>
  <c r="K57" i="1" a="1"/>
  <c r="K57" i="1" s="1"/>
  <c r="AC151" i="4" l="1"/>
  <c r="AC176" i="4"/>
  <c r="AC196" i="4"/>
  <c r="AC162" i="4"/>
  <c r="AC226" i="4"/>
  <c r="AC57" i="4"/>
  <c r="AC221" i="4"/>
  <c r="AC129" i="4"/>
  <c r="AC252" i="4"/>
  <c r="AC60" i="4"/>
  <c r="AC241" i="4"/>
  <c r="AC62" i="4"/>
  <c r="AC128" i="4"/>
  <c r="AC182" i="4"/>
  <c r="AC130" i="4"/>
  <c r="AC136" i="4"/>
  <c r="AC100" i="4"/>
  <c r="AC131" i="4"/>
  <c r="AC84" i="4"/>
  <c r="AC108" i="4"/>
  <c r="AC215" i="4"/>
  <c r="AC199" i="4"/>
  <c r="AC94" i="4"/>
  <c r="AC222" i="4"/>
  <c r="AC110" i="4"/>
  <c r="AC187" i="4"/>
  <c r="AC48" i="4"/>
  <c r="AC138" i="4"/>
  <c r="AC103" i="4"/>
  <c r="AC124" i="4"/>
  <c r="AC64" i="4"/>
  <c r="AC86" i="4"/>
  <c r="AC240" i="4"/>
  <c r="AC158" i="4"/>
  <c r="AC213" i="4"/>
  <c r="P7" i="1" a="1"/>
  <c r="P7" i="1" s="1"/>
  <c r="F5" i="13" s="1"/>
  <c r="P24" i="1" a="1"/>
  <c r="P24" i="1" s="1"/>
  <c r="F16" i="13" s="1"/>
  <c r="Q24" i="1" a="1"/>
  <c r="Q24" i="1" s="1"/>
  <c r="P21" i="1" a="1"/>
  <c r="P21" i="1" s="1"/>
  <c r="Q7" i="1" a="1"/>
  <c r="Q7" i="1" s="1"/>
  <c r="Q4" i="1" a="1"/>
  <c r="Q4" i="1" s="1"/>
  <c r="Q9" i="1" a="1"/>
  <c r="Q9" i="1" s="1"/>
  <c r="Q5" i="1" a="1"/>
  <c r="Q5" i="1" s="1"/>
  <c r="V18" i="6"/>
  <c r="Q11" i="1" a="1"/>
  <c r="Q11" i="1" s="1"/>
  <c r="V22" i="6"/>
  <c r="Q23" i="1" a="1"/>
  <c r="Q23" i="1" s="1"/>
  <c r="V9" i="6"/>
  <c r="V13" i="6"/>
  <c r="V15" i="6"/>
  <c r="Q15" i="1" a="1"/>
  <c r="Q15" i="1" s="1"/>
  <c r="V24" i="6"/>
  <c r="Q25" i="1" a="1"/>
  <c r="Q25" i="1" s="1"/>
  <c r="V21" i="6"/>
  <c r="P43" i="1" a="1"/>
  <c r="P43" i="1" s="1"/>
  <c r="P30" i="1" a="1"/>
  <c r="P30" i="1" s="1"/>
  <c r="P72" i="1" a="1"/>
  <c r="P72" i="1" s="1"/>
  <c r="P34" i="1" a="1"/>
  <c r="P34" i="1" s="1"/>
  <c r="P57" i="1" a="1"/>
  <c r="P57" i="1" s="1"/>
  <c r="P33" i="1" a="1"/>
  <c r="P33" i="1" s="1"/>
  <c r="P78" i="1" a="1"/>
  <c r="P78" i="1" s="1"/>
  <c r="P29" i="1" a="1"/>
  <c r="P29" i="1" s="1"/>
  <c r="P70" i="1" a="1"/>
  <c r="P70" i="1" s="1"/>
  <c r="P32" i="1" a="1"/>
  <c r="P32" i="1" s="1"/>
  <c r="P62" i="1" a="1"/>
  <c r="P62" i="1" s="1"/>
  <c r="P36" i="1" a="1"/>
  <c r="P36" i="1" s="1"/>
  <c r="P60" i="1" a="1"/>
  <c r="P60" i="1" s="1"/>
  <c r="P35" i="1" a="1"/>
  <c r="P35" i="1" s="1"/>
  <c r="V3" i="6"/>
  <c r="Q3" i="1" a="1"/>
  <c r="Q3" i="1" s="1"/>
  <c r="V6" i="6"/>
  <c r="Q6" i="1" a="1"/>
  <c r="Q6" i="1" s="1"/>
  <c r="V2" i="6"/>
  <c r="Q2" i="1" a="1"/>
  <c r="Q2" i="1" s="1"/>
  <c r="AC140" i="4"/>
  <c r="AC184" i="4"/>
  <c r="AC79" i="4"/>
  <c r="AC146" i="4"/>
  <c r="AC200" i="4"/>
  <c r="AC132" i="4"/>
  <c r="AC242" i="4"/>
  <c r="AC97" i="4"/>
  <c r="AC247" i="4"/>
  <c r="AC107" i="4"/>
  <c r="AC193" i="4"/>
  <c r="AC70" i="4"/>
  <c r="AC145" i="4"/>
  <c r="AC230" i="4"/>
  <c r="AC63" i="4"/>
  <c r="AC50" i="4"/>
  <c r="AC198" i="4"/>
  <c r="AC154" i="4"/>
  <c r="AC104" i="4"/>
  <c r="AC211" i="4"/>
  <c r="AC8" i="4"/>
  <c r="AC165" i="4"/>
  <c r="AC164" i="4"/>
  <c r="AC95" i="4"/>
  <c r="AC68" i="4"/>
  <c r="AC218" i="4"/>
  <c r="AC225" i="4"/>
  <c r="AC205" i="4"/>
  <c r="AC234" i="4"/>
  <c r="AC219" i="4"/>
  <c r="AC217" i="4"/>
  <c r="AC216" i="4"/>
  <c r="AC31" i="4"/>
  <c r="Q51" i="1" s="1" a="1"/>
  <c r="Q51" i="1" s="1"/>
  <c r="AC11" i="4"/>
  <c r="Q55" i="1" s="1" a="1"/>
  <c r="Q55" i="1" s="1"/>
  <c r="AC190" i="4"/>
  <c r="AC212" i="4"/>
  <c r="AC243" i="4"/>
  <c r="AC125" i="4"/>
  <c r="AC58" i="4"/>
  <c r="AC106" i="4"/>
  <c r="AC147" i="4"/>
  <c r="AC180" i="4"/>
  <c r="AC44" i="4"/>
  <c r="AC237" i="4"/>
  <c r="AC39" i="4"/>
  <c r="Q69" i="1" s="1" a="1"/>
  <c r="Q69" i="1" s="1"/>
  <c r="AC6" i="4"/>
  <c r="AC40" i="4"/>
  <c r="Q53" i="1" s="1" a="1"/>
  <c r="Q53" i="1" s="1"/>
  <c r="AC55" i="4"/>
  <c r="AC80" i="4"/>
  <c r="AC220" i="4"/>
  <c r="AC179" i="4"/>
  <c r="AC126" i="4"/>
  <c r="AC85" i="4"/>
  <c r="AC75" i="4"/>
  <c r="AC229" i="4"/>
  <c r="AC148" i="4"/>
  <c r="AC202" i="4"/>
  <c r="AC149" i="4"/>
  <c r="AC208" i="4"/>
  <c r="AC98" i="4"/>
  <c r="AC192" i="4"/>
  <c r="AC235" i="4"/>
  <c r="AC93" i="4"/>
  <c r="AC251" i="4"/>
  <c r="AC195" i="4"/>
  <c r="AC246" i="4"/>
  <c r="AC115" i="4"/>
  <c r="AC153" i="4"/>
  <c r="AC45" i="4"/>
  <c r="AC137" i="4"/>
  <c r="AC87" i="4"/>
  <c r="AC37" i="4"/>
  <c r="Q65" i="1" s="1" a="1"/>
  <c r="Q65" i="1" s="1"/>
  <c r="AC7" i="4"/>
  <c r="Q13" i="1" s="1" a="1"/>
  <c r="Q13" i="1" s="1"/>
  <c r="AC27" i="4"/>
  <c r="AC19" i="4"/>
  <c r="AC59" i="4"/>
  <c r="AC43" i="4"/>
  <c r="AC121" i="4"/>
  <c r="AC46" i="4"/>
  <c r="AC105" i="4"/>
  <c r="AC249" i="4"/>
  <c r="AC67" i="4"/>
  <c r="AC188" i="4"/>
  <c r="AC78" i="4"/>
  <c r="AC117" i="4"/>
  <c r="AC181" i="4"/>
  <c r="AC207" i="4"/>
  <c r="AC191" i="4"/>
  <c r="AC91" i="4"/>
  <c r="AC233" i="4"/>
  <c r="AC134" i="4"/>
  <c r="AC96" i="4"/>
  <c r="AC236" i="4"/>
  <c r="AC201" i="4"/>
  <c r="AC109" i="4"/>
  <c r="AC206" i="4"/>
  <c r="AC161" i="4"/>
  <c r="AC65" i="4"/>
  <c r="AC34" i="4"/>
  <c r="Q64" i="1" s="1" a="1"/>
  <c r="Q64" i="1" s="1"/>
  <c r="AC5" i="4"/>
  <c r="Q16" i="1" s="1" a="1"/>
  <c r="Q16" i="1" s="1"/>
  <c r="AC26" i="4"/>
  <c r="Q14" i="1" s="1" a="1"/>
  <c r="Q14" i="1" s="1"/>
  <c r="AC21" i="4"/>
  <c r="Q67" i="1" s="1" a="1"/>
  <c r="Q67" i="1" s="1"/>
  <c r="AC20" i="4"/>
  <c r="Q74" i="1" s="1" a="1"/>
  <c r="Q74" i="1" s="1"/>
  <c r="AC3" i="4"/>
  <c r="AC42" i="4"/>
  <c r="AC18" i="4"/>
  <c r="Q54" i="1" s="1" a="1"/>
  <c r="Q54" i="1" s="1"/>
  <c r="AC173" i="4"/>
  <c r="AC102" i="4"/>
  <c r="AC171" i="4"/>
  <c r="AC183" i="4"/>
  <c r="AC47" i="4"/>
  <c r="AC168" i="4"/>
  <c r="AC238" i="4"/>
  <c r="AC89" i="4"/>
  <c r="AC239" i="4"/>
  <c r="AC174" i="4"/>
  <c r="AC172" i="4"/>
  <c r="AC32" i="4"/>
  <c r="Q71" i="1" s="1" a="1"/>
  <c r="Q71" i="1" s="1"/>
  <c r="AC209" i="4"/>
  <c r="AC88" i="4"/>
  <c r="AC120" i="4"/>
  <c r="AC231" i="4"/>
  <c r="AC185" i="4"/>
  <c r="AC186" i="4"/>
  <c r="AC113" i="4"/>
  <c r="AC13" i="4"/>
  <c r="Q50" i="1" s="1" a="1"/>
  <c r="Q50" i="1" s="1"/>
  <c r="AC15" i="4"/>
  <c r="Q46" i="1" s="1" a="1"/>
  <c r="Q46" i="1" s="1"/>
  <c r="AC54" i="4"/>
  <c r="AC139" i="4"/>
  <c r="AC114" i="4"/>
  <c r="AC144" i="4"/>
  <c r="AC111" i="4"/>
  <c r="AC204" i="4"/>
  <c r="AC112" i="4"/>
  <c r="AC232" i="4"/>
  <c r="AC156" i="4"/>
  <c r="AC152" i="4"/>
  <c r="AC61" i="4"/>
  <c r="AC71" i="4"/>
  <c r="AC118" i="4"/>
  <c r="AC197" i="4"/>
  <c r="AC142" i="4"/>
  <c r="AC119" i="4"/>
  <c r="AC135" i="4"/>
  <c r="AC56" i="4"/>
  <c r="AC203" i="4"/>
  <c r="AC83" i="4"/>
  <c r="AC143" i="4"/>
  <c r="AC25" i="4"/>
  <c r="Q45" i="1" s="1" a="1"/>
  <c r="Q45" i="1" s="1"/>
  <c r="AC163" i="4"/>
  <c r="AC189" i="4"/>
  <c r="AC41" i="4"/>
  <c r="Q77" i="1" s="1" a="1"/>
  <c r="Q77" i="1" s="1"/>
  <c r="AC16" i="4"/>
  <c r="Q80" i="1" s="1" a="1"/>
  <c r="Q80" i="1" s="1"/>
  <c r="AC245" i="4"/>
  <c r="AC69" i="4"/>
  <c r="AC73" i="4"/>
  <c r="AC157" i="4"/>
  <c r="AC76" i="4"/>
  <c r="AC122" i="4"/>
  <c r="AC38" i="4"/>
  <c r="Q12" i="1" s="1" a="1"/>
  <c r="Q12" i="1" s="1"/>
  <c r="AC214" i="4"/>
  <c r="AC155" i="4"/>
  <c r="AC194" i="4"/>
  <c r="AC210" i="4"/>
  <c r="AC74" i="4"/>
  <c r="AC123" i="4"/>
  <c r="AC127" i="4"/>
  <c r="AC101" i="4"/>
  <c r="AC159" i="4"/>
  <c r="AC175" i="4"/>
  <c r="AC49" i="4"/>
  <c r="AC77" i="4"/>
  <c r="AC150" i="4"/>
  <c r="AC248" i="4"/>
  <c r="AC17" i="4"/>
  <c r="Q73" i="1" s="1" a="1"/>
  <c r="Q73" i="1" s="1"/>
  <c r="AC22" i="4"/>
  <c r="Q61" i="1" s="1" a="1"/>
  <c r="Q61" i="1" s="1"/>
  <c r="AC72" i="4"/>
  <c r="AC227" i="4"/>
  <c r="AC223" i="4"/>
  <c r="AC133" i="4"/>
  <c r="AC178" i="4"/>
  <c r="AC53" i="4"/>
  <c r="AC160" i="4"/>
  <c r="AC82" i="4"/>
  <c r="AC14" i="4"/>
  <c r="Q66" i="1" s="1" a="1"/>
  <c r="Q66" i="1" s="1"/>
  <c r="AC36" i="4"/>
  <c r="Q52" i="1" s="1" a="1"/>
  <c r="Q52" i="1" s="1"/>
  <c r="AC24" i="4"/>
  <c r="Q44" i="1" s="1" a="1"/>
  <c r="Q44" i="1" s="1"/>
  <c r="AC28" i="4"/>
  <c r="Q58" i="1" s="1" a="1"/>
  <c r="Q58" i="1" s="1"/>
  <c r="AC12" i="4"/>
  <c r="Q75" i="1" s="1" a="1"/>
  <c r="Q75" i="1" s="1"/>
  <c r="AC10" i="4"/>
  <c r="Q76" i="1" s="1" a="1"/>
  <c r="Q76" i="1" s="1"/>
  <c r="AC33" i="4"/>
  <c r="Q48" i="1" s="1" a="1"/>
  <c r="Q48" i="1" s="1"/>
  <c r="AC30" i="4"/>
  <c r="Q63" i="1" s="1" a="1"/>
  <c r="Q63" i="1" s="1"/>
  <c r="AC23" i="4"/>
  <c r="Q56" i="1" s="1" a="1"/>
  <c r="Q56" i="1" s="1"/>
  <c r="AC29" i="4"/>
  <c r="Q42" i="1" s="1" a="1"/>
  <c r="Q42" i="1" s="1"/>
  <c r="AC4" i="4"/>
  <c r="Q8" i="1" l="1" a="1"/>
  <c r="Q8" i="1" s="1"/>
  <c r="Q21" i="1" a="1"/>
  <c r="Q21" i="1" s="1"/>
  <c r="Q72" i="1" a="1"/>
  <c r="Q72" i="1" s="1"/>
  <c r="Q34" i="1" a="1"/>
  <c r="Q34" i="1" s="1"/>
  <c r="Q78" i="1" a="1"/>
  <c r="Q78" i="1" s="1"/>
  <c r="Q29" i="1" a="1"/>
  <c r="Q29" i="1" s="1"/>
  <c r="Q62" i="1" a="1"/>
  <c r="Q62" i="1" s="1"/>
  <c r="Q36" i="1" a="1"/>
  <c r="Q36" i="1" s="1"/>
  <c r="Q60" i="1" a="1"/>
  <c r="Q60" i="1" s="1"/>
  <c r="Q35" i="1" a="1"/>
  <c r="Q35" i="1" s="1"/>
  <c r="Q70" i="1" a="1"/>
  <c r="Q70" i="1" s="1"/>
  <c r="Q32" i="1" a="1"/>
  <c r="Q32" i="1" s="1"/>
  <c r="Q43" i="1" a="1"/>
  <c r="Q43" i="1" s="1"/>
  <c r="Q30" i="1" a="1"/>
  <c r="Q30" i="1" s="1"/>
</calcChain>
</file>

<file path=xl/metadata.xml><?xml version="1.0" encoding="utf-8"?>
<metadata xmlns="http://schemas.openxmlformats.org/spreadsheetml/2006/main" xmlns:xlrd="http://schemas.microsoft.com/office/spreadsheetml/2017/richdata" xmlns:xda="http://schemas.microsoft.com/office/spreadsheetml/2017/dynamicarray">
  <metadataTypes count="2">
    <metadataType name="XLDAPR" minSupportedVersion="120000" copy="1" pasteAll="1" pasteValues="1" merge="1" splitFirst="1" rowColShift="1" clearFormats="1" clearComments="1" assign="1" coerce="1" cellMeta="1"/>
    <metadataType name="XLRICHVALUE" minSupportedVersion="120000" copy="1" pasteAll="1" pasteValues="1" merge="1" splitFirst="1" rowColShift="1" clearFormats="1" clearComments="1" assign="1" coerce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futureMetadata name="XLRICHVALUE" count="2">
    <bk>
      <extLst>
        <ext uri="{3e2802c4-a4d2-4d8b-9148-e3be6c30e623}">
          <xlrd:rvb i="0"/>
        </ext>
      </extLst>
    </bk>
    <bk>
      <extLst>
        <ext uri="{3e2802c4-a4d2-4d8b-9148-e3be6c30e623}">
          <xlrd:rvb i="1"/>
        </ext>
      </extLst>
    </bk>
  </futureMetadata>
  <cellMetadata count="1">
    <bk>
      <rc t="1" v="0"/>
    </bk>
  </cellMetadata>
  <valueMetadata count="2">
    <bk>
      <rc t="2" v="0"/>
    </bk>
    <bk>
      <rc t="2" v="1"/>
    </bk>
  </valueMetadata>
</metadata>
</file>

<file path=xl/sharedStrings.xml><?xml version="1.0" encoding="utf-8"?>
<sst xmlns="http://schemas.openxmlformats.org/spreadsheetml/2006/main" count="974" uniqueCount="569">
  <si>
    <t>Item</t>
  </si>
  <si>
    <t>S.N</t>
  </si>
  <si>
    <t>Type</t>
  </si>
  <si>
    <t>Asset</t>
  </si>
  <si>
    <t>Weight</t>
  </si>
  <si>
    <t>Make</t>
  </si>
  <si>
    <t>Model</t>
  </si>
  <si>
    <t>Screen</t>
  </si>
  <si>
    <t>Year</t>
  </si>
  <si>
    <t>CPU</t>
  </si>
  <si>
    <t>RAM</t>
  </si>
  <si>
    <t>Disk</t>
  </si>
  <si>
    <t>power supply</t>
  </si>
  <si>
    <t>Diagnostics</t>
  </si>
  <si>
    <t>Blancco Yes/No</t>
  </si>
  <si>
    <t>Blancco result</t>
  </si>
  <si>
    <t>S.N. Data carrier</t>
  </si>
  <si>
    <t>No. Data carrier</t>
  </si>
  <si>
    <t>Data Destruction Method</t>
  </si>
  <si>
    <t>Comments</t>
  </si>
  <si>
    <t>Item status</t>
  </si>
  <si>
    <t>Est. Value</t>
  </si>
  <si>
    <t>Mac reports</t>
  </si>
  <si>
    <t>CSV</t>
  </si>
  <si>
    <t>Business name</t>
  </si>
  <si>
    <t>System manufacturer</t>
  </si>
  <si>
    <t>System chassis type</t>
  </si>
  <si>
    <t>Custom 1</t>
  </si>
  <si>
    <t>Device Identifier</t>
  </si>
  <si>
    <t>Erasure state</t>
  </si>
  <si>
    <t>System serial</t>
  </si>
  <si>
    <t>System version</t>
  </si>
  <si>
    <t>System model</t>
  </si>
  <si>
    <t>Battery test</t>
  </si>
  <si>
    <t>Display test comment</t>
  </si>
  <si>
    <t>Keyboard test comment</t>
  </si>
  <si>
    <t>USB port hardware test comment</t>
  </si>
  <si>
    <t>Webcam test comment</t>
  </si>
  <si>
    <t>CPU model</t>
  </si>
  <si>
    <t>Memory capacity</t>
  </si>
  <si>
    <t>Memory type</t>
  </si>
  <si>
    <t>Disk capacity</t>
  </si>
  <si>
    <t>Disk interface type</t>
  </si>
  <si>
    <t>Disk serial</t>
  </si>
  <si>
    <t>Disk model</t>
  </si>
  <si>
    <t>Erasure start time</t>
  </si>
  <si>
    <t>Battery capacity</t>
  </si>
  <si>
    <t>Battery test comment</t>
  </si>
  <si>
    <t>Erasure technician</t>
  </si>
  <si>
    <t>UUID</t>
  </si>
  <si>
    <t>Notebook</t>
  </si>
  <si>
    <t>Laptop</t>
  </si>
  <si>
    <t>Latitude 5420</t>
  </si>
  <si>
    <t>ThinkPad P15v Gen 3</t>
  </si>
  <si>
    <t>Latitude 5410</t>
  </si>
  <si>
    <t>ThinkPad P15v Gen 2i</t>
  </si>
  <si>
    <t>Successful / Failed</t>
  </si>
  <si>
    <t>MacBookPro16,2</t>
  </si>
  <si>
    <t>ThinkPad P15v Gen 1</t>
  </si>
  <si>
    <t>Latitude 5401</t>
  </si>
  <si>
    <t>Latitude 7310</t>
  </si>
  <si>
    <t>Latitude 5400</t>
  </si>
  <si>
    <t>מספר פרויקט</t>
  </si>
  <si>
    <t>Item code</t>
  </si>
  <si>
    <t>לקוח סופי</t>
  </si>
  <si>
    <t>S.N.</t>
  </si>
  <si>
    <t>Ram</t>
  </si>
  <si>
    <t>Battery Health</t>
  </si>
  <si>
    <t>Activation Lock</t>
  </si>
  <si>
    <t>Find My Lock</t>
  </si>
  <si>
    <t>Remote</t>
  </si>
  <si>
    <t>Battery Status</t>
  </si>
  <si>
    <t>Disk S.N.</t>
  </si>
  <si>
    <t>Timestamp</t>
  </si>
  <si>
    <t>Erasure State</t>
  </si>
  <si>
    <t>model id</t>
  </si>
  <si>
    <t>model</t>
  </si>
  <si>
    <t>year</t>
  </si>
  <si>
    <t>size</t>
  </si>
  <si>
    <t>weight</t>
  </si>
  <si>
    <t>MacBookPro16,4</t>
  </si>
  <si>
    <t>A2141</t>
  </si>
  <si>
    <t>MacBookPro16,3</t>
  </si>
  <si>
    <t>A2289</t>
  </si>
  <si>
    <t>A2251</t>
  </si>
  <si>
    <t>MacBookPro16,1</t>
  </si>
  <si>
    <t>MacBookPro15,4</t>
  </si>
  <si>
    <t>A2159</t>
  </si>
  <si>
    <t>MacBookPro15,3</t>
  </si>
  <si>
    <t>A1990</t>
  </si>
  <si>
    <t>MacBookPro15,2</t>
  </si>
  <si>
    <t>A1989</t>
  </si>
  <si>
    <t>MacBookPro15,1</t>
  </si>
  <si>
    <t>MacBookPro14,3</t>
  </si>
  <si>
    <t>A1707</t>
  </si>
  <si>
    <t>MacBookPro14,2</t>
  </si>
  <si>
    <t>A1706</t>
  </si>
  <si>
    <t>MacBookPro14,1</t>
  </si>
  <si>
    <t>A1708</t>
  </si>
  <si>
    <t>MacBookPro13,3</t>
  </si>
  <si>
    <t>MacBookPro13,2</t>
  </si>
  <si>
    <t>MacBookPro13,1</t>
  </si>
  <si>
    <t>MacBookPro12,1</t>
  </si>
  <si>
    <t>A1502</t>
  </si>
  <si>
    <t>MacBookPro11,5</t>
  </si>
  <si>
    <t>A1398</t>
  </si>
  <si>
    <t>MacBookPro11,4</t>
  </si>
  <si>
    <t>MacBookPro11,3</t>
  </si>
  <si>
    <t>MacBookPro11,2</t>
  </si>
  <si>
    <t>MacBookPro17,1</t>
  </si>
  <si>
    <t>A2338</t>
  </si>
  <si>
    <t>MacBookPro18,2</t>
  </si>
  <si>
    <t>A2485</t>
  </si>
  <si>
    <t>MacBookPro18,3</t>
  </si>
  <si>
    <t>A2442</t>
  </si>
  <si>
    <t>MacBookPro18,4</t>
  </si>
  <si>
    <t>MacBookPro18,1</t>
  </si>
  <si>
    <t>Mac14,7</t>
  </si>
  <si>
    <t>Mac14,9</t>
  </si>
  <si>
    <t>A2779</t>
  </si>
  <si>
    <t>Mac14,5</t>
  </si>
  <si>
    <t>Mac14,10</t>
  </si>
  <si>
    <t>A2780</t>
  </si>
  <si>
    <t>Mac14,6</t>
  </si>
  <si>
    <t>Mac15,3</t>
  </si>
  <si>
    <t>A2918</t>
  </si>
  <si>
    <t>Mac15,6</t>
  </si>
  <si>
    <t>A2992</t>
  </si>
  <si>
    <t>Mac15,10</t>
  </si>
  <si>
    <t>Mac15,8</t>
  </si>
  <si>
    <t>Mac15,7</t>
  </si>
  <si>
    <t>A2991</t>
  </si>
  <si>
    <t>Mac15,11</t>
  </si>
  <si>
    <t>Mac15,9</t>
  </si>
  <si>
    <t>MacBookAir7,1</t>
  </si>
  <si>
    <t>A1465</t>
  </si>
  <si>
    <t>MacBookAir7,2</t>
  </si>
  <si>
    <t>A1466</t>
  </si>
  <si>
    <t>MacBookAir8,1</t>
  </si>
  <si>
    <t>A1932</t>
  </si>
  <si>
    <t>MacBookAir8,2</t>
  </si>
  <si>
    <t>MacBookAir9,1</t>
  </si>
  <si>
    <t>A2179</t>
  </si>
  <si>
    <t>MacBookAir10,1</t>
  </si>
  <si>
    <t>A2337</t>
  </si>
  <si>
    <t>Mac14,2</t>
  </si>
  <si>
    <t>A2681</t>
  </si>
  <si>
    <t>Mac14,15</t>
  </si>
  <si>
    <t>A2941</t>
  </si>
  <si>
    <t>Mac15,12</t>
  </si>
  <si>
    <t>A3113</t>
  </si>
  <si>
    <t>Mac15,13</t>
  </si>
  <si>
    <t>A3114</t>
  </si>
  <si>
    <t>MacPro6,1</t>
  </si>
  <si>
    <t>A1481</t>
  </si>
  <si>
    <t>imac17,1</t>
  </si>
  <si>
    <t>A1419</t>
  </si>
  <si>
    <t>imac18,3</t>
  </si>
  <si>
    <t>imac18,1</t>
  </si>
  <si>
    <t>A1418</t>
  </si>
  <si>
    <t>HP ZBook Studio G5</t>
  </si>
  <si>
    <t>HP ZBook Studio G7 Mobile Workstation</t>
  </si>
  <si>
    <t>HP ZBook Studio 15.6 inch G8 Mobile Workstation PC</t>
  </si>
  <si>
    <t>ZBook Studio 16 Inch G9</t>
  </si>
  <si>
    <t>HP EliteBook x360 1030 G4</t>
  </si>
  <si>
    <t>HP EliteBook x360 1030 G3</t>
  </si>
  <si>
    <t>EliteBook x360 1030 G7</t>
  </si>
  <si>
    <t>HP EliteBook x360 1030 G8 Notebook PC</t>
  </si>
  <si>
    <t>Latitude 7390</t>
  </si>
  <si>
    <t>Vostro 5590</t>
  </si>
  <si>
    <t>T490s</t>
  </si>
  <si>
    <t>X13 Gen 4</t>
  </si>
  <si>
    <t>X13 Gen 2i</t>
  </si>
  <si>
    <t>X13 Gen 2</t>
  </si>
  <si>
    <t>ThinkPad X280</t>
  </si>
  <si>
    <t>ThinkPad X240</t>
  </si>
  <si>
    <t>ThinkPad X230</t>
  </si>
  <si>
    <t>ThinkPad X250</t>
  </si>
  <si>
    <t>P2419H</t>
  </si>
  <si>
    <t>T24i-10</t>
  </si>
  <si>
    <t>M91p</t>
  </si>
  <si>
    <t>M70E</t>
  </si>
  <si>
    <t>ThinkCentre M900</t>
  </si>
  <si>
    <t>ThinkCentre M910t</t>
  </si>
  <si>
    <t>OptiPlex XE3</t>
  </si>
  <si>
    <t>LAC/E 32</t>
  </si>
  <si>
    <t>ThinkCentre M93p</t>
  </si>
  <si>
    <t>ThinkCentre M910q</t>
  </si>
  <si>
    <t>OptiPlex 7060</t>
  </si>
  <si>
    <t>ThinkStation P350</t>
  </si>
  <si>
    <t>OptiPlex 7080</t>
  </si>
  <si>
    <t>OptiPlex 7070</t>
  </si>
  <si>
    <t>UX31A</t>
  </si>
  <si>
    <t>S22B300B</t>
  </si>
  <si>
    <t>S22D300BY</t>
  </si>
  <si>
    <t>P2423</t>
  </si>
  <si>
    <t>U2415</t>
  </si>
  <si>
    <t>P2417Hc</t>
  </si>
  <si>
    <t>MS2286</t>
  </si>
  <si>
    <t>EliteBook 840 G2</t>
  </si>
  <si>
    <t>EliteBook 840 G4</t>
  </si>
  <si>
    <t>P2417H</t>
  </si>
  <si>
    <t>2013 UltraSlim</t>
  </si>
  <si>
    <t>AIN650-3</t>
  </si>
  <si>
    <t>ThinkPad T490</t>
  </si>
  <si>
    <t>ThinkPad X1 Carbon 6th</t>
  </si>
  <si>
    <t>ThinkPad X1 Carbon Gen 9</t>
  </si>
  <si>
    <t>ThinkPad T14 Gen 1</t>
  </si>
  <si>
    <t>Latitude 7410</t>
  </si>
  <si>
    <t>Latitude 7280</t>
  </si>
  <si>
    <t>T450</t>
  </si>
  <si>
    <t>ThinkPad T450</t>
  </si>
  <si>
    <t>ThinkPad T470</t>
  </si>
  <si>
    <t>ThinkPad T480</t>
  </si>
  <si>
    <t>ThinkPad T440</t>
  </si>
  <si>
    <t>ThinkPad T470p</t>
  </si>
  <si>
    <t>ThinkPad P1 Gen 3</t>
  </si>
  <si>
    <t>ThinkPad P52</t>
  </si>
  <si>
    <t>ThinkPad P15 Gen 1</t>
  </si>
  <si>
    <t>T22</t>
  </si>
  <si>
    <t>T470</t>
  </si>
  <si>
    <t>T480</t>
  </si>
  <si>
    <t>T440</t>
  </si>
  <si>
    <t>T470p</t>
  </si>
  <si>
    <t>P1 Gen 3</t>
  </si>
  <si>
    <t>P52</t>
  </si>
  <si>
    <t>P15 Gen 1</t>
  </si>
  <si>
    <t>ThinkPad X1 Yoga 4th</t>
  </si>
  <si>
    <t>Latitude 7400</t>
  </si>
  <si>
    <t>ThinkPad P53</t>
  </si>
  <si>
    <t>ThinkPad P1</t>
  </si>
  <si>
    <t>ThinkPad T470s</t>
  </si>
  <si>
    <t>ThinkPad T490s</t>
  </si>
  <si>
    <t>ThinkPad P1 Gen 2</t>
  </si>
  <si>
    <t>ThinkPad T460s</t>
  </si>
  <si>
    <t>Latitude 3520</t>
  </si>
  <si>
    <t>ThinkPad T480s</t>
  </si>
  <si>
    <t>ThinkPad X1 Yoga 1st</t>
  </si>
  <si>
    <t>ThinkPad X1 Yoga 3rd</t>
  </si>
  <si>
    <t>Latitude 7490</t>
  </si>
  <si>
    <t>ThinkPad P51</t>
  </si>
  <si>
    <t>ThinkPad P50</t>
  </si>
  <si>
    <t>ThinkPad P52s</t>
  </si>
  <si>
    <t>ThinkPad P1 Gen 4i</t>
  </si>
  <si>
    <t>Inspiron 3593</t>
  </si>
  <si>
    <t>ThinkPad_P51</t>
  </si>
  <si>
    <t>HP ENVY x360 m6 Convertible</t>
  </si>
  <si>
    <t>ThinkPad P14s Gen 2i</t>
  </si>
  <si>
    <t>ThinkPad X1 Yoga Gen 5</t>
  </si>
  <si>
    <t>Thinkpad P14s gen 2</t>
  </si>
  <si>
    <t>Thinkpad P43s</t>
  </si>
  <si>
    <t>Thinkpad P14s gen 3</t>
  </si>
  <si>
    <t>Thinkpad P14s gen 1</t>
  </si>
  <si>
    <t>Latitude E7450</t>
  </si>
  <si>
    <t>Thinkpad P15s gen 1</t>
  </si>
  <si>
    <t>T430s</t>
  </si>
  <si>
    <t>T460s</t>
  </si>
  <si>
    <t>P43s</t>
  </si>
  <si>
    <t>X280</t>
  </si>
  <si>
    <t>X240</t>
  </si>
  <si>
    <t>X230</t>
  </si>
  <si>
    <t>X250</t>
  </si>
  <si>
    <t>T490</t>
  </si>
  <si>
    <t>X1 Carbon 6th</t>
  </si>
  <si>
    <t>X1 Carbon Gen 9</t>
  </si>
  <si>
    <t>T14 Gen 1</t>
  </si>
  <si>
    <t>X1 Yoga 4th</t>
  </si>
  <si>
    <t>P53</t>
  </si>
  <si>
    <t>P1</t>
  </si>
  <si>
    <t>T470s</t>
  </si>
  <si>
    <t>P1 Gen 2</t>
  </si>
  <si>
    <t>T480s</t>
  </si>
  <si>
    <t>X1 Yoga 1st</t>
  </si>
  <si>
    <t>X1 Yoga 3rd</t>
  </si>
  <si>
    <t>P51</t>
  </si>
  <si>
    <t>P50</t>
  </si>
  <si>
    <t>P52s</t>
  </si>
  <si>
    <t>P1 Gen 4i</t>
  </si>
  <si>
    <t>P14s Gen 2i</t>
  </si>
  <si>
    <t>X1 Yoga Gen 5</t>
  </si>
  <si>
    <t>P14s gen 2</t>
  </si>
  <si>
    <t>P14s gen 3</t>
  </si>
  <si>
    <t>P14s gen 1</t>
  </si>
  <si>
    <t>P15s gen 1</t>
  </si>
  <si>
    <t>Surface Book 3 1899</t>
  </si>
  <si>
    <t>Surface Book 3</t>
  </si>
  <si>
    <t>Surface Book 1793</t>
  </si>
  <si>
    <t>Surface Laptop 4 1950:1951</t>
  </si>
  <si>
    <t>Surface Laptop 3 1867:1868</t>
  </si>
  <si>
    <t>Surface Pro 1796</t>
  </si>
  <si>
    <t>Surface Laptop 4</t>
  </si>
  <si>
    <t>A1286</t>
  </si>
  <si>
    <t>A2348</t>
  </si>
  <si>
    <t>A1993</t>
  </si>
  <si>
    <t>Zbook Firefly 14 G7</t>
  </si>
  <si>
    <t>Latitude E6400</t>
  </si>
  <si>
    <t>A1490</t>
  </si>
  <si>
    <t>s19c450mr</t>
  </si>
  <si>
    <t>L1942PK</t>
  </si>
  <si>
    <t>19S1CB</t>
  </si>
  <si>
    <t>EliteDisplay E190I</t>
  </si>
  <si>
    <t>Vostro 3360</t>
  </si>
  <si>
    <t>ProBook 6540b</t>
  </si>
  <si>
    <t>EliteBook 840 G1</t>
  </si>
  <si>
    <t>EliteBook 840 G3</t>
  </si>
  <si>
    <t>EliteDesk 800 G2</t>
  </si>
  <si>
    <t>All in One</t>
  </si>
  <si>
    <t>Desktop</t>
  </si>
  <si>
    <t>Mac_Model</t>
  </si>
  <si>
    <t>Battery Service</t>
  </si>
  <si>
    <t>Battery %</t>
  </si>
  <si>
    <t>Apple ID</t>
  </si>
  <si>
    <t>Remote Management</t>
  </si>
  <si>
    <t>Blancco Type</t>
  </si>
  <si>
    <t>Convertible</t>
  </si>
  <si>
    <t>PC</t>
  </si>
  <si>
    <t>CorePart</t>
  </si>
  <si>
    <t>RyzenPart</t>
  </si>
  <si>
    <t>UltraPart</t>
  </si>
  <si>
    <t>CoreCode</t>
  </si>
  <si>
    <t>RyzenCode</t>
  </si>
  <si>
    <t>UltraCode</t>
  </si>
  <si>
    <t>CPU Original</t>
  </si>
  <si>
    <t>Ram Type</t>
  </si>
  <si>
    <t>RAM Size</t>
  </si>
  <si>
    <t>RAM Type</t>
  </si>
  <si>
    <t>Yes X?</t>
  </si>
  <si>
    <t>Row Labels</t>
  </si>
  <si>
    <t>Grand Total</t>
  </si>
  <si>
    <t>Column Labels</t>
  </si>
  <si>
    <t>Count of Successful / Failed</t>
  </si>
  <si>
    <t>Passes</t>
  </si>
  <si>
    <t>Fails</t>
  </si>
  <si>
    <t>Pass Text</t>
  </si>
  <si>
    <t>Fail Text</t>
  </si>
  <si>
    <t>Battery</t>
  </si>
  <si>
    <t xml:space="preserve"> Battery %</t>
  </si>
  <si>
    <t>Latitude 5490</t>
  </si>
  <si>
    <t>ThinkPad X1 Extreme Gen 3</t>
  </si>
  <si>
    <t>ThinkPad T14 Gen 2i</t>
  </si>
  <si>
    <t>ThinkPad X1 Gen 3</t>
  </si>
  <si>
    <t>Vostro 5568</t>
  </si>
  <si>
    <t>Vostro 5468</t>
  </si>
  <si>
    <t>HP 250 G6 Notebook PC</t>
  </si>
  <si>
    <t>HP 250 G7 Notebook PC</t>
  </si>
  <si>
    <t>HP 250 G5 Notebook PC</t>
  </si>
  <si>
    <t>HP ProBook 440 G6</t>
  </si>
  <si>
    <t>Lenovo V330-14IKB</t>
  </si>
  <si>
    <t>HP ProBook 440 G5</t>
  </si>
  <si>
    <t>Lenovo ideapad 310-15IKB</t>
  </si>
  <si>
    <t>X556</t>
  </si>
  <si>
    <t>ThinkPad X1 Carbon</t>
  </si>
  <si>
    <t>T14 Gen 2i</t>
  </si>
  <si>
    <t>X1 Gen 3</t>
  </si>
  <si>
    <t>250 G6</t>
  </si>
  <si>
    <t>250 G7</t>
  </si>
  <si>
    <t>250 G5</t>
  </si>
  <si>
    <t>ProBook 440 G6</t>
  </si>
  <si>
    <t>V330-14IKB</t>
  </si>
  <si>
    <t>ProBook 440 G5</t>
  </si>
  <si>
    <t>ideapad 310-15IKB</t>
  </si>
  <si>
    <t>X1 Carbon</t>
  </si>
  <si>
    <t>X555L</t>
  </si>
  <si>
    <t>Latitude 5480</t>
  </si>
  <si>
    <t>Latitude E5470</t>
  </si>
  <si>
    <t>Latitude E5440</t>
  </si>
  <si>
    <t>Latitude 7420</t>
  </si>
  <si>
    <t>Latitude 5411</t>
  </si>
  <si>
    <t>Latitude 7300</t>
  </si>
  <si>
    <t>Vostro 5481</t>
  </si>
  <si>
    <t>Latitude E5450</t>
  </si>
  <si>
    <t>Latitude 5580</t>
  </si>
  <si>
    <t>Latitude 3340</t>
  </si>
  <si>
    <t>ThinkPad E15 Gen 2</t>
  </si>
  <si>
    <t>A1347</t>
  </si>
  <si>
    <t>P2721Q</t>
  </si>
  <si>
    <t>U2720Q</t>
  </si>
  <si>
    <t>U2722D</t>
  </si>
  <si>
    <t>P2415Q</t>
  </si>
  <si>
    <t>S2421HN</t>
  </si>
  <si>
    <t>Precision 5560</t>
  </si>
  <si>
    <t>XPS 15 9500</t>
  </si>
  <si>
    <t>Precision 5550</t>
  </si>
  <si>
    <t>XPS 15 7590</t>
  </si>
  <si>
    <t>XPS 15 9570</t>
  </si>
  <si>
    <t>Precision 7550</t>
  </si>
  <si>
    <t>124I:00036T:000M:0300000D:0B:05F:1C:05P:48S:01E:0Y:1K:0U:08</t>
  </si>
  <si>
    <t>Latitude 5421</t>
  </si>
  <si>
    <t>ThinkPad E14 Gen 2</t>
  </si>
  <si>
    <t>X512FA</t>
  </si>
  <si>
    <t>X406UAR</t>
  </si>
  <si>
    <t>UX410UAR</t>
  </si>
  <si>
    <t>UX331UA</t>
  </si>
  <si>
    <t>UX461UA</t>
  </si>
  <si>
    <t>UX333FA</t>
  </si>
  <si>
    <t>UX430UA</t>
  </si>
  <si>
    <t>14-al003nj</t>
  </si>
  <si>
    <t>P2540UA</t>
  </si>
  <si>
    <t>UX331U</t>
  </si>
  <si>
    <t>Latitude 7480</t>
  </si>
  <si>
    <t>ThinkPad X13 Gen 1</t>
  </si>
  <si>
    <t>U2419H</t>
  </si>
  <si>
    <t>U2422H</t>
  </si>
  <si>
    <t>U2717D</t>
  </si>
  <si>
    <t>U2417H</t>
  </si>
  <si>
    <t>P2723QE</t>
  </si>
  <si>
    <t>P2422H</t>
  </si>
  <si>
    <t>Latitude 5500</t>
  </si>
  <si>
    <t>Latitude 5290</t>
  </si>
  <si>
    <t>Latitude 5440</t>
  </si>
  <si>
    <t>Latitude 7440</t>
  </si>
  <si>
    <t>Precision 7780</t>
  </si>
  <si>
    <t>Precision 7770</t>
  </si>
  <si>
    <t>Vostro 15 3510</t>
  </si>
  <si>
    <t>Latitude 5530</t>
  </si>
  <si>
    <t>Latitude 5520</t>
  </si>
  <si>
    <t>Latitude 5540</t>
  </si>
  <si>
    <t>HP ZBook Fury 15.6 inch G8 Mobile Workstation PC</t>
  </si>
  <si>
    <t>HP EliteBook 850 G3</t>
  </si>
  <si>
    <t>HP ProBook 450 15.6 inch G9 Notebook PC</t>
  </si>
  <si>
    <t>Latitude 3550</t>
  </si>
  <si>
    <t>Latitude E5550</t>
  </si>
  <si>
    <t>ThinkPad E15</t>
  </si>
  <si>
    <t>ThinkPad E15 Gen 4</t>
  </si>
  <si>
    <t>ST2220Tc</t>
  </si>
  <si>
    <t>precision 7510</t>
  </si>
  <si>
    <t>precision M4800</t>
  </si>
  <si>
    <t>XPS 13 9310 2-in-1</t>
  </si>
  <si>
    <t>Latitude 7430</t>
  </si>
  <si>
    <t>precision tower 7810</t>
  </si>
  <si>
    <t>precision tower 3630</t>
  </si>
  <si>
    <t>precision tower 7910</t>
  </si>
  <si>
    <t>A1311</t>
  </si>
  <si>
    <t>optiplex 3010</t>
  </si>
  <si>
    <t>optiplex 7010</t>
  </si>
  <si>
    <t>optiplex 790</t>
  </si>
  <si>
    <t>U2711</t>
  </si>
  <si>
    <t>vostro 460</t>
  </si>
  <si>
    <t>G560</t>
  </si>
  <si>
    <t>HP EliteBook x360 1030 G7 Notebook PC</t>
  </si>
  <si>
    <t>U2414Hb</t>
  </si>
  <si>
    <t>OptiPlex 7040</t>
  </si>
  <si>
    <t>HP EliteDesk 800 G5 SFF</t>
  </si>
  <si>
    <t>OptiPlex 7050</t>
  </si>
  <si>
    <t>OptiPlex 3050</t>
  </si>
  <si>
    <t>OptiPlex 9020</t>
  </si>
  <si>
    <t>PV650</t>
  </si>
  <si>
    <t>PRV1000</t>
  </si>
  <si>
    <t>Latitude 7320</t>
  </si>
  <si>
    <t>LaserJet Pro M477FDW</t>
  </si>
  <si>
    <t>HL-L5100DN</t>
  </si>
  <si>
    <t>Latitude 5320</t>
  </si>
  <si>
    <t>Latitude 5300</t>
  </si>
  <si>
    <t>B2240W</t>
  </si>
  <si>
    <t>ThinkPad X1 Carbon 7th</t>
  </si>
  <si>
    <t>XPS 13 9360</t>
  </si>
  <si>
    <t>Precision 5540</t>
  </si>
  <si>
    <t>XPS 15 9560</t>
  </si>
  <si>
    <t>XPS 13 9370</t>
  </si>
  <si>
    <t>XPS 15 9510</t>
  </si>
  <si>
    <t>UX490U</t>
  </si>
  <si>
    <t>G510</t>
  </si>
  <si>
    <t>Latitude 3450</t>
  </si>
  <si>
    <t>UX330UAK</t>
  </si>
  <si>
    <t>Latitude 3400</t>
  </si>
  <si>
    <t>Yoga 510-14IBK</t>
  </si>
  <si>
    <t>Ideapad Y700-15ISK</t>
  </si>
  <si>
    <t>NUC6i7KYK</t>
  </si>
  <si>
    <t>Latitude 3420</t>
  </si>
  <si>
    <t>GL702V</t>
  </si>
  <si>
    <t>GL502V</t>
  </si>
  <si>
    <t>GL703G</t>
  </si>
  <si>
    <t>HP ProBook 430 G3</t>
  </si>
  <si>
    <t>HP ProBook 430 G6</t>
  </si>
  <si>
    <t>HP ProBook 430 G4</t>
  </si>
  <si>
    <t>ProBook 430 G3</t>
  </si>
  <si>
    <t>ProBook 430 G6</t>
  </si>
  <si>
    <t>ProBook 430 G4</t>
  </si>
  <si>
    <t>Latitude 3510</t>
  </si>
  <si>
    <t>Vostro 15-3568</t>
  </si>
  <si>
    <t>Inspiron 13-7359</t>
  </si>
  <si>
    <t>ThinkBook 14 G2 ITL</t>
  </si>
  <si>
    <t>Lenovo E31-80</t>
  </si>
  <si>
    <t>SATELLITE Z30-B-100</t>
  </si>
  <si>
    <t>thinkpad p14s gen 1</t>
  </si>
  <si>
    <t>thinkpad p14s gen 3</t>
  </si>
  <si>
    <t>T440p</t>
  </si>
  <si>
    <t>ThinkPad T460</t>
  </si>
  <si>
    <t>HP 240 G6 Notebook PC</t>
  </si>
  <si>
    <t>240 g6</t>
  </si>
  <si>
    <t>Latitude 5430</t>
  </si>
  <si>
    <t>Latitude E7270</t>
  </si>
  <si>
    <t>Precision 5520</t>
  </si>
  <si>
    <t>Precision 5510</t>
  </si>
  <si>
    <t>Latitude 5510</t>
  </si>
  <si>
    <t>Latitude E7470</t>
  </si>
  <si>
    <t>X390 Yoga</t>
  </si>
  <si>
    <t>x390</t>
  </si>
  <si>
    <t>x395</t>
  </si>
  <si>
    <t>t495s</t>
  </si>
  <si>
    <t>t14 g2</t>
  </si>
  <si>
    <t>t14s g2</t>
  </si>
  <si>
    <t>t14 g1</t>
  </si>
  <si>
    <t>t460</t>
  </si>
  <si>
    <t>latitude e5430</t>
  </si>
  <si>
    <t>elitebook 2560p</t>
  </si>
  <si>
    <t>latitude e6530</t>
  </si>
  <si>
    <t>latitude e4310</t>
  </si>
  <si>
    <t>precision 7520</t>
  </si>
  <si>
    <t>precision 7740</t>
  </si>
  <si>
    <t>latitude e5420</t>
  </si>
  <si>
    <t>ThinkPad X1 Carbon Gen 8</t>
  </si>
  <si>
    <t>X220i</t>
  </si>
  <si>
    <t>Latitude 7290</t>
  </si>
  <si>
    <t>Latitude E6420</t>
  </si>
  <si>
    <t>Latitude 5310</t>
  </si>
  <si>
    <t>ThinkPad T15 Gen 2i</t>
  </si>
  <si>
    <t>ThinkPad T15g Gen 1</t>
  </si>
  <si>
    <t>ThinkPad T15g Gen 2</t>
  </si>
  <si>
    <t>T550</t>
  </si>
  <si>
    <t>latitude e7250</t>
  </si>
  <si>
    <t>latitude e5270</t>
  </si>
  <si>
    <t>Speakers test</t>
  </si>
  <si>
    <t>Asset Tag</t>
  </si>
  <si>
    <t>Disk Capacity</t>
  </si>
  <si>
    <t>Wiping Yes/No</t>
  </si>
  <si>
    <t>Wiping result</t>
  </si>
  <si>
    <t>X</t>
  </si>
  <si>
    <t>Successful</t>
  </si>
  <si>
    <t>3J9CQV3</t>
  </si>
  <si>
    <t>PF39H3K1</t>
  </si>
  <si>
    <t>HQTW1724MV</t>
  </si>
  <si>
    <t>NFD2J6QF4K</t>
  </si>
  <si>
    <t>V724K59JH3</t>
  </si>
  <si>
    <t>GDJ63RCMJ6</t>
  </si>
  <si>
    <t>FVFG20W1Q05P</t>
  </si>
  <si>
    <t>C02GF7BUMD6R</t>
  </si>
  <si>
    <t>KN42V997P1</t>
  </si>
  <si>
    <t>1M8DQV3</t>
  </si>
  <si>
    <t>QQL7VDKWKV</t>
  </si>
  <si>
    <t>L4759KVCFK</t>
  </si>
  <si>
    <t>FY37MG06T6</t>
  </si>
  <si>
    <t>HQVK23XJJJ</t>
  </si>
  <si>
    <t>22JR6D3</t>
  </si>
  <si>
    <t>C5KF63W44P</t>
  </si>
  <si>
    <t>FVFG927NQ05P</t>
  </si>
  <si>
    <t>CH9QWW0TT2</t>
  </si>
  <si>
    <t>G0VQHYD9LR</t>
  </si>
  <si>
    <t>WWFYF00X2W</t>
  </si>
  <si>
    <t>45CBRQ3</t>
  </si>
  <si>
    <t>FJVL9C3</t>
  </si>
  <si>
    <t>DQ6TW7WWHQ</t>
  </si>
  <si>
    <t>FVFG22V4Q05P</t>
  </si>
  <si>
    <t>M5976HGHX1</t>
  </si>
  <si>
    <t>D7HDQV3</t>
  </si>
  <si>
    <t>HY20C4XHTJ</t>
  </si>
  <si>
    <t>GLWDQ5K9XW</t>
  </si>
  <si>
    <t>RWFDGQJF6H</t>
  </si>
  <si>
    <t>LWC1QFVQ31</t>
  </si>
  <si>
    <t>DV1JH74</t>
  </si>
  <si>
    <t>CFPD7KX472</t>
  </si>
  <si>
    <t>Pointer Test Comment</t>
  </si>
  <si>
    <t>Issue type</t>
  </si>
  <si>
    <t>Wiped</t>
  </si>
  <si>
    <t>Locked and Faulty</t>
  </si>
  <si>
    <t>Locked or Faulty</t>
  </si>
  <si>
    <t>Item Lookup</t>
  </si>
  <si>
    <t>ITEM</t>
  </si>
  <si>
    <t>SHR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</si>
</sst>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2">
    <font>
      <sz val="11"/>
      <color theme="1"/>
      <name val="Aptos Narrow"/>
      <family val="2"/>
      <scheme val="minor"/>
    </font>
    <font>
      <b/>
      <sz val="13"/>
      <color theme="3"/>
      <name val="Aptos Narrow"/>
      <family val="2"/>
      <scheme val="minor"/>
    </font>
    <font>
      <i/>
      <sz val="11"/>
      <color rgb="FF7F7F7F"/>
      <name val="Aptos Narrow"/>
      <family val="2"/>
      <scheme val="minor"/>
    </font>
    <font>
      <sz val="11"/>
      <color theme="1"/>
      <name val="Calibri"/>
      <family val="2"/>
    </font>
    <font>
      <sz val="11"/>
      <color theme="1"/>
      <name val="Arial"/>
      <family val="2"/>
    </font>
    <font>
      <sz val="48"/>
      <color theme="1"/>
      <name val="Aptos Narrow"/>
      <family val="2"/>
      <scheme val="minor"/>
    </font>
    <font>
      <sz val="72"/>
      <color theme="1"/>
      <name val="Aptos Narrow"/>
      <family val="2"/>
      <scheme val="minor"/>
    </font>
    <font>
      <sz val="11"/>
      <color rgb="FF333333"/>
      <name val="Arial"/>
      <family val="2"/>
    </font>
    <font>
      <sz val="11"/>
      <color theme="1"/>
      <name val="Docs-Calibri"/>
    </font>
    <font>
      <sz val="8"/>
      <name val="Aptos Narrow"/>
      <family val="2"/>
      <scheme val="minor"/>
    </font>
    <font>
      <sz val="10"/>
      <color theme="1"/>
      <name val="Arial"/>
      <family val="2"/>
    </font>
    <font>
      <b/>
      <sz val="11"/>
      <color theme="1"/>
      <name val="Calibri"/>
      <family val="2"/>
    </font>
  </fonts>
  <fills count="9">
    <fill>
      <patternFill patternType="none"/>
    </fill>
    <fill>
      <patternFill patternType="gray125"/>
    </fill>
    <fill>
      <patternFill patternType="solid">
        <fgColor rgb="FFFCE5CD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rgb="FFB3CEFA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rgb="FF92D050"/>
        <bgColor indexed="64"/>
      </patternFill>
    </fill>
  </fills>
  <borders count="8">
    <border>
      <left/>
      <right/>
      <top/>
      <bottom/>
      <diagonal/>
    </border>
    <border>
      <left/>
      <right/>
      <top/>
      <bottom style="thick">
        <color theme="4" tint="0.499984740745262"/>
      </bottom>
      <diagonal/>
    </border>
    <border>
      <left style="medium">
        <color rgb="FFCCCCCC"/>
      </left>
      <right style="medium">
        <color rgb="FFCCCCCC"/>
      </right>
      <top style="medium">
        <color rgb="FFCCCCCC"/>
      </top>
      <bottom style="medium">
        <color rgb="FFCCCCCC"/>
      </bottom>
      <diagonal/>
    </border>
    <border>
      <left style="medium">
        <color rgb="FFCCCCCC"/>
      </left>
      <right style="medium">
        <color rgb="FFCCCCCC"/>
      </right>
      <top/>
      <bottom style="medium">
        <color rgb="FFCCCCCC"/>
      </bottom>
      <diagonal/>
    </border>
    <border>
      <left style="medium">
        <color rgb="FFCCCCCC"/>
      </left>
      <right style="medium">
        <color rgb="FFCCCCCC"/>
      </right>
      <top style="medium">
        <color rgb="FFCCCCCC"/>
      </top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 style="medium">
        <color rgb="FF000000"/>
      </left>
      <right style="medium">
        <color rgb="FF000000"/>
      </right>
      <top style="medium">
        <color rgb="FF000000"/>
      </top>
      <bottom style="medium">
        <color rgb="FF000000"/>
      </bottom>
      <diagonal/>
    </border>
    <border>
      <left style="medium">
        <color rgb="FFCCCCCC"/>
      </left>
      <right style="medium">
        <color rgb="FF000000"/>
      </right>
      <top style="medium">
        <color rgb="FF000000"/>
      </top>
      <bottom style="medium">
        <color rgb="FF000000"/>
      </bottom>
      <diagonal/>
    </border>
  </borders>
  <cellStyleXfs count="3">
    <xf numFmtId="0" fontId="0" fillId="0" borderId="0"/>
    <xf numFmtId="0" fontId="1" fillId="0" borderId="1" applyNumberFormat="0" applyFill="0" applyAlignment="0" applyProtection="0"/>
    <xf numFmtId="0" fontId="2" fillId="0" borderId="0" applyNumberFormat="0" applyFill="0" applyBorder="0" applyAlignment="0" applyProtection="0"/>
  </cellStyleXfs>
  <cellXfs count="46">
    <xf numFmtId="0" fontId="0" fillId="0" borderId="0" xfId="0"/>
    <xf numFmtId="0" fontId="1" fillId="0" borderId="1" xfId="1" applyAlignment="1">
      <alignment horizontal="center" vertical="center"/>
    </xf>
    <xf numFmtId="0" fontId="0" fillId="0" borderId="0" xfId="0" applyAlignment="1">
      <alignment horizontal="center" vertical="center"/>
    </xf>
    <xf numFmtId="22" fontId="0" fillId="0" borderId="0" xfId="0" applyNumberFormat="1"/>
    <xf numFmtId="11" fontId="0" fillId="0" borderId="0" xfId="0" applyNumberFormat="1"/>
    <xf numFmtId="0" fontId="7" fillId="2" borderId="2" xfId="0" applyFont="1" applyFill="1" applyBorder="1" applyAlignment="1">
      <alignment vertical="top" wrapText="1"/>
    </xf>
    <xf numFmtId="0" fontId="4" fillId="2" borderId="2" xfId="0" applyFont="1" applyFill="1" applyBorder="1" applyAlignment="1">
      <alignment vertical="top" wrapText="1"/>
    </xf>
    <xf numFmtId="0" fontId="3" fillId="2" borderId="2" xfId="0" applyFont="1" applyFill="1" applyBorder="1" applyAlignment="1">
      <alignment vertical="top" wrapText="1"/>
    </xf>
    <xf numFmtId="0" fontId="4" fillId="2" borderId="2" xfId="0" applyFont="1" applyFill="1" applyBorder="1" applyAlignment="1">
      <alignment horizontal="right" vertical="top" wrapText="1"/>
    </xf>
    <xf numFmtId="0" fontId="3" fillId="2" borderId="2" xfId="0" applyFont="1" applyFill="1" applyBorder="1" applyAlignment="1">
      <alignment horizontal="right" vertical="top" wrapText="1"/>
    </xf>
    <xf numFmtId="0" fontId="3" fillId="2" borderId="2" xfId="0" applyFont="1" applyFill="1" applyBorder="1" applyAlignment="1">
      <alignment vertical="top"/>
    </xf>
    <xf numFmtId="0" fontId="8" fillId="2" borderId="2" xfId="0" applyFont="1" applyFill="1" applyBorder="1" applyAlignment="1">
      <alignment vertical="top" wrapText="1"/>
    </xf>
    <xf numFmtId="0" fontId="1" fillId="3" borderId="1" xfId="1" applyFill="1" applyAlignment="1">
      <alignment horizontal="center" vertical="center"/>
    </xf>
    <xf numFmtId="0" fontId="0" fillId="3" borderId="0" xfId="0" applyFill="1"/>
    <xf numFmtId="2" fontId="0" fillId="0" borderId="0" xfId="0" applyNumberFormat="1"/>
    <xf numFmtId="1" fontId="0" fillId="0" borderId="0" xfId="0" applyNumberFormat="1"/>
    <xf numFmtId="1" fontId="0" fillId="3" borderId="0" xfId="0" applyNumberFormat="1" applyFill="1"/>
    <xf numFmtId="0" fontId="1" fillId="0" borderId="1" xfId="1" applyFill="1" applyAlignment="1">
      <alignment horizontal="center" vertical="center"/>
    </xf>
    <xf numFmtId="49" fontId="0" fillId="0" borderId="0" xfId="0" applyNumberFormat="1"/>
    <xf numFmtId="0" fontId="0" fillId="4" borderId="0" xfId="0" applyFill="1"/>
    <xf numFmtId="0" fontId="7" fillId="2" borderId="3" xfId="0" applyFont="1" applyFill="1" applyBorder="1" applyAlignment="1">
      <alignment vertical="top" wrapText="1"/>
    </xf>
    <xf numFmtId="0" fontId="4" fillId="2" borderId="3" xfId="0" applyFont="1" applyFill="1" applyBorder="1" applyAlignment="1">
      <alignment horizontal="right" vertical="top" wrapText="1"/>
    </xf>
    <xf numFmtId="0" fontId="3" fillId="2" borderId="3" xfId="0" applyFont="1" applyFill="1" applyBorder="1" applyAlignment="1">
      <alignment horizontal="right" vertical="top" wrapText="1"/>
    </xf>
    <xf numFmtId="0" fontId="7" fillId="2" borderId="4" xfId="0" applyFont="1" applyFill="1" applyBorder="1" applyAlignment="1">
      <alignment vertical="top" wrapText="1"/>
    </xf>
    <xf numFmtId="0" fontId="4" fillId="2" borderId="4" xfId="0" applyFont="1" applyFill="1" applyBorder="1" applyAlignment="1">
      <alignment vertical="top" wrapText="1"/>
    </xf>
    <xf numFmtId="0" fontId="3" fillId="2" borderId="4" xfId="0" applyFont="1" applyFill="1" applyBorder="1" applyAlignment="1">
      <alignment vertical="top" wrapText="1"/>
    </xf>
    <xf numFmtId="0" fontId="0" fillId="4" borderId="5" xfId="0" applyFill="1" applyBorder="1"/>
    <xf numFmtId="0" fontId="3" fillId="5" borderId="2" xfId="0" applyFont="1" applyFill="1" applyBorder="1" applyAlignment="1">
      <alignment vertical="top" wrapText="1"/>
    </xf>
    <xf numFmtId="0" fontId="4" fillId="5" borderId="2" xfId="0" applyFont="1" applyFill="1" applyBorder="1" applyAlignment="1">
      <alignment vertical="top" wrapText="1"/>
    </xf>
    <xf numFmtId="0" fontId="1" fillId="0" borderId="1" xfId="1" applyAlignment="1">
      <alignment horizontal="center"/>
    </xf>
    <xf numFmtId="0" fontId="2" fillId="0" borderId="0" xfId="2"/>
    <xf numFmtId="0" fontId="0" fillId="0" borderId="0" xfId="0" pivotButton="1"/>
    <xf numFmtId="0" fontId="0" fillId="0" borderId="0" xfId="0" applyAlignment="1">
      <alignment horizontal="left"/>
    </xf>
    <xf numFmtId="0" fontId="1" fillId="0" borderId="1" xfId="1"/>
    <xf numFmtId="0" fontId="10" fillId="0" borderId="0" xfId="0" applyFont="1"/>
    <xf numFmtId="0" fontId="10" fillId="0" borderId="2" xfId="0" applyFont="1" applyBorder="1" applyAlignment="1">
      <alignment wrapText="1"/>
    </xf>
    <xf numFmtId="0" fontId="0" fillId="0" borderId="0" xfId="0" applyAlignment="1">
      <alignment horizontal="center"/>
    </xf>
    <xf numFmtId="0" fontId="11" fillId="6" borderId="6" xfId="0" applyFont="1" applyFill="1" applyBorder="1" applyAlignment="1">
      <alignment horizontal="center" wrapText="1"/>
    </xf>
    <xf numFmtId="0" fontId="11" fillId="6" borderId="7" xfId="0" applyFont="1" applyFill="1" applyBorder="1" applyAlignment="1">
      <alignment horizontal="center" wrapText="1"/>
    </xf>
    <xf numFmtId="0" fontId="1" fillId="0" borderId="0" xfId="1" applyFill="1" applyBorder="1" applyAlignment="1">
      <alignment horizontal="center" vertical="center"/>
    </xf>
    <xf numFmtId="0" fontId="5" fillId="0" borderId="0" xfId="0" applyFont="1" applyAlignment="1">
      <alignment horizontal="center" vertical="top" textRotation="255"/>
    </xf>
    <xf numFmtId="0" fontId="6" fillId="0" borderId="0" xfId="0" applyFont="1" applyAlignment="1">
      <alignment horizontal="center" vertical="top" textRotation="255"/>
    </xf>
    <xf numFmtId="0" fontId="1" fillId="3" borderId="1" xfId="1" applyFill="1" applyAlignment="1">
      <alignment horizontal="center" vertical="center"/>
    </xf>
    <xf numFmtId="0" fontId="1" fillId="7" borderId="1" xfId="1" applyFill="1" applyAlignment="1">
      <alignment horizontal="center" vertical="center"/>
    </xf>
    <xf numFmtId="0" fontId="1" fillId="7" borderId="0" xfId="1" applyFill="1" applyBorder="1" applyAlignment="1">
      <alignment horizontal="center" vertical="center"/>
    </xf>
    <xf numFmtId="0" fontId="1" fillId="8" borderId="1" xfId="1" applyFill="1" applyAlignment="1">
      <alignment horizontal="center" vertical="center"/>
    </xf>
  </cellXfs>
  <cellStyles count="3">
    <cellStyle name="Explanatory Text" xfId="2" builtinId="53"/>
    <cellStyle name="Heading 2" xfId="1" builtinId="17"/>
    <cellStyle name="Normal" xfId="0" builtinId="0"/>
  </cellStyles>
  <dxfs count="6"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numFmt numFmtId="30" formatCode="@"/>
    </dxf>
    <dxf>
      <border outline="0">
        <left style="thick">
          <color indexed="64"/>
        </left>
      </border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theme" Target="theme/theme1.xml"/><Relationship Id="rId18" Type="http://schemas.microsoft.com/office/2017/06/relationships/rdRichValueStructure" Target="richData/rdrichvaluestructure.xml"/><Relationship Id="rId3" Type="http://schemas.openxmlformats.org/officeDocument/2006/relationships/worksheet" Target="worksheets/sheet3.xml"/><Relationship Id="rId21" Type="http://schemas.openxmlformats.org/officeDocument/2006/relationships/customXml" Target="../customXml/item1.xml"/><Relationship Id="rId7" Type="http://schemas.openxmlformats.org/officeDocument/2006/relationships/worksheet" Target="worksheets/sheet7.xml"/><Relationship Id="rId12" Type="http://schemas.openxmlformats.org/officeDocument/2006/relationships/pivotCacheDefinition" Target="pivotCache/pivotCacheDefinition1.xml"/><Relationship Id="rId17" Type="http://schemas.microsoft.com/office/2017/06/relationships/rdRichValue" Target="richData/rdrichvalue.xml"/><Relationship Id="rId2" Type="http://schemas.openxmlformats.org/officeDocument/2006/relationships/worksheet" Target="worksheets/sheet2.xml"/><Relationship Id="rId16" Type="http://schemas.openxmlformats.org/officeDocument/2006/relationships/sheetMetadata" Target="metadata.xml"/><Relationship Id="rId20" Type="http://schemas.openxmlformats.org/officeDocument/2006/relationships/calcChain" Target="calcChain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sharedStrings" Target="sharedStrings.xml"/><Relationship Id="rId10" Type="http://schemas.openxmlformats.org/officeDocument/2006/relationships/worksheet" Target="worksheets/sheet10.xml"/><Relationship Id="rId19" Type="http://schemas.microsoft.com/office/2017/06/relationships/rdRichValueTypes" Target="richData/rdRichValueTypes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tyles" Target="styles.xml"/><Relationship Id="rId22" Type="http://schemas.microsoft.com/office/2006/relationships/vbaProject" Target="vbaProject.bin"/></Relationships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OnLoad="1" refreshedBy="Admin" refreshedDate="46091.363906134262" createdVersion="8" refreshedVersion="8" minRefreshableVersion="3" recordCount="1000" xr:uid="{ED94AB4B-4EB7-4768-82BF-9E9AE399EFE7}">
  <cacheSource type="worksheet">
    <worksheetSource ref="A1:AE1048576" sheet="Disk_Pivot_Data"/>
  </cacheSource>
  <cacheFields count="31">
    <cacheField name="Business name" numFmtId="0">
      <sharedItems containsBlank="1" containsMixedTypes="1" containsNumber="1" containsInteger="1" minValue="0" maxValue="0"/>
    </cacheField>
    <cacheField name="System manufacturer" numFmtId="0">
      <sharedItems containsBlank="1" containsMixedTypes="1" containsNumber="1" containsInteger="1" minValue="0" maxValue="0"/>
    </cacheField>
    <cacheField name="System chassis type" numFmtId="0">
      <sharedItems containsBlank="1" containsMixedTypes="1" containsNumber="1" containsInteger="1" minValue="0" maxValue="0"/>
    </cacheField>
    <cacheField name="Custom 1" numFmtId="0">
      <sharedItems containsBlank="1" containsMixedTypes="1" containsNumber="1" containsInteger="1" minValue="0" maxValue="0"/>
    </cacheField>
    <cacheField name="Device Identifier" numFmtId="0">
      <sharedItems containsBlank="1" containsMixedTypes="1" containsNumber="1" containsInteger="1" minValue="0" maxValue="0"/>
    </cacheField>
    <cacheField name="Erasure state" numFmtId="0">
      <sharedItems containsBlank="1" containsMixedTypes="1" containsNumber="1" containsInteger="1" minValue="0" maxValue="0"/>
    </cacheField>
    <cacheField name="System serial" numFmtId="0">
      <sharedItems containsBlank="1" containsMixedTypes="1" containsNumber="1" containsInteger="1" minValue="0" maxValue="0" count="34">
        <s v="3J9CQV3"/>
        <s v="PF39H3K1"/>
        <s v="HQTW1724MV"/>
        <s v="NFD2J6QF4K"/>
        <s v="V724K59JH3"/>
        <s v="GDJ63RCMJ6"/>
        <s v="FVFG20W1Q05P"/>
        <s v="C02GF7BUMD6R"/>
        <s v="KN42V997P1"/>
        <s v="1M8DQV3"/>
        <s v="QQL7VDKWKV"/>
        <s v="L4759KVCFK"/>
        <s v="FY37MG06T6"/>
        <s v="HQVK23XJJJ"/>
        <s v="22JR6D3"/>
        <s v="C5KF63W44P"/>
        <s v="FVFG927NQ05P"/>
        <s v="CH9QWW0TT2"/>
        <s v="G0VQHYD9LR"/>
        <s v="WWFYF00X2W"/>
        <s v="45CBRQ3"/>
        <s v="FJVL9C3"/>
        <s v="DQ6TW7WWHQ"/>
        <s v="FVFG22V4Q05P"/>
        <s v="M5976HGHX1"/>
        <s v="D7HDQV3"/>
        <s v="HY20C4XHTJ"/>
        <s v="GLWDQ5K9XW"/>
        <s v="RWFDGQJF6H"/>
        <s v="LWC1QFVQ31"/>
        <s v="DV1JH74"/>
        <s v="CFPD7KX472"/>
        <n v="0"/>
        <m/>
      </sharedItems>
    </cacheField>
    <cacheField name="System version" numFmtId="0">
      <sharedItems containsBlank="1" containsMixedTypes="1" containsNumber="1" containsInteger="1" minValue="0" maxValue="1"/>
    </cacheField>
    <cacheField name="System model" numFmtId="0">
      <sharedItems containsBlank="1" containsMixedTypes="1" containsNumber="1" containsInteger="1" minValue="0" maxValue="0"/>
    </cacheField>
    <cacheField name="Battery test" numFmtId="0">
      <sharedItems containsBlank="1" containsMixedTypes="1" containsNumber="1" containsInteger="1" minValue="0" maxValue="0"/>
    </cacheField>
    <cacheField name="Display test comment" numFmtId="0">
      <sharedItems containsBlank="1" containsMixedTypes="1" containsNumber="1" containsInteger="1" minValue="0" maxValue="0"/>
    </cacheField>
    <cacheField name="Keyboard test comment" numFmtId="0">
      <sharedItems containsBlank="1" containsMixedTypes="1" containsNumber="1" containsInteger="1" minValue="0" maxValue="0"/>
    </cacheField>
    <cacheField name="PC speaker test comment" numFmtId="0">
      <sharedItems containsString="0" containsBlank="1" containsNumber="1" containsInteger="1" minValue="0" maxValue="0"/>
    </cacheField>
    <cacheField name="Speakers test" numFmtId="0">
      <sharedItems containsString="0" containsBlank="1" containsNumber="1" containsInteger="1" minValue="0" maxValue="0"/>
    </cacheField>
    <cacheField name="Pointer test comment" numFmtId="0">
      <sharedItems containsString="0" containsBlank="1" containsNumber="1" containsInteger="1" minValue="0" maxValue="0"/>
    </cacheField>
    <cacheField name="USB port hardware test comment" numFmtId="0">
      <sharedItems containsString="0" containsBlank="1" containsNumber="1" containsInteger="1" minValue="0" maxValue="0"/>
    </cacheField>
    <cacheField name="Webcam test comment" numFmtId="0">
      <sharedItems containsString="0" containsBlank="1" containsNumber="1" containsInteger="1" minValue="0" maxValue="0"/>
    </cacheField>
    <cacheField name="Network test comment" numFmtId="0">
      <sharedItems containsBlank="1" containsMixedTypes="1" containsNumber="1" containsInteger="1" minValue="0" maxValue="0"/>
    </cacheField>
    <cacheField name="CPU model" numFmtId="0">
      <sharedItems containsBlank="1" containsMixedTypes="1" containsNumber="1" containsInteger="1" minValue="0" maxValue="0"/>
    </cacheField>
    <cacheField name="Memory capacity" numFmtId="0">
      <sharedItems containsBlank="1" containsMixedTypes="1" containsNumber="1" containsInteger="1" minValue="0" maxValue="0"/>
    </cacheField>
    <cacheField name="Memory type" numFmtId="0">
      <sharedItems containsBlank="1" containsMixedTypes="1" containsNumber="1" containsInteger="1" minValue="0" maxValue="0"/>
    </cacheField>
    <cacheField name="Disk capacity" numFmtId="0">
      <sharedItems containsBlank="1" containsMixedTypes="1" containsNumber="1" containsInteger="1" minValue="0" maxValue="0"/>
    </cacheField>
    <cacheField name="Disk interface type" numFmtId="0">
      <sharedItems containsBlank="1" containsMixedTypes="1" containsNumber="1" containsInteger="1" minValue="0" maxValue="0"/>
    </cacheField>
    <cacheField name="Disk serial" numFmtId="0">
      <sharedItems containsBlank="1" containsMixedTypes="1" containsNumber="1" containsInteger="1" minValue="0" maxValue="222011802490"/>
    </cacheField>
    <cacheField name="Disk model" numFmtId="0">
      <sharedItems containsBlank="1" containsMixedTypes="1" containsNumber="1" containsInteger="1" minValue="0" maxValue="0"/>
    </cacheField>
    <cacheField name="Erasure start time" numFmtId="0">
      <sharedItems containsBlank="1" containsMixedTypes="1" containsNumber="1" minValue="0" maxValue="46090.668506944443"/>
    </cacheField>
    <cacheField name="Battery capacity" numFmtId="0">
      <sharedItems containsString="0" containsBlank="1" containsNumber="1" containsInteger="1" minValue="0" maxValue="99"/>
    </cacheField>
    <cacheField name="Battery test comment" numFmtId="0">
      <sharedItems containsBlank="1" containsMixedTypes="1" containsNumber="1" containsInteger="1" minValue="0" maxValue="0"/>
    </cacheField>
    <cacheField name="Erasure technician" numFmtId="0">
      <sharedItems containsBlank="1" containsMixedTypes="1" containsNumber="1" containsInteger="1" minValue="0" maxValue="0"/>
    </cacheField>
    <cacheField name="UUID" numFmtId="0">
      <sharedItems containsBlank="1" containsMixedTypes="1" containsNumber="1" containsInteger="1" minValue="0" maxValue="0"/>
    </cacheField>
    <cacheField name="Successful / Failed" numFmtId="0">
      <sharedItems containsBlank="1" count="4">
        <s v="Successful"/>
        <s v=""/>
        <m/>
        <s v="Failed" u="1"/>
      </sharedItems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1000">
  <r>
    <s v="Axonius"/>
    <s v="Dell Inc."/>
    <s v="Notebook"/>
    <s v="X32"/>
    <n v="0"/>
    <s v="Successful"/>
    <x v="0"/>
    <n v="0"/>
    <s v="Latitude 7440"/>
    <s v="successful"/>
    <s v="Screen defect"/>
    <n v="0"/>
    <n v="0"/>
    <n v="0"/>
    <n v="0"/>
    <n v="0"/>
    <n v="0"/>
    <n v="0"/>
    <s v="13th Gen Intel(R) Core(TM) i7-1365U"/>
    <s v="4 GiB / 4 GiB / 4 GiB / 4 GiB / 4 GiB / 4 GiB / 4 GiB / 4 GiB"/>
    <s v="LPDDR5 / LPDDR5 / LPDDR5 / LPDDR5 / LPDDR5 / LPDDR5 / LPDDR5 / LPDDR5"/>
    <s v="512 GB"/>
    <s v="NVMe"/>
    <s v="2339439D133E"/>
    <s v="2550 Micron 512GB"/>
    <s v="2026-03-09T13:41:33+0000"/>
    <n v="84"/>
    <n v="0"/>
    <s v="TBS"/>
    <s v="6bea55b8-dc51-4e46-84a7-a439a4c43fa0"/>
    <x v="0"/>
  </r>
  <r>
    <s v="Axonius"/>
    <s v="LENOVO"/>
    <s v="Notebook"/>
    <s v="X31"/>
    <n v="0"/>
    <s v="Successful"/>
    <x v="1"/>
    <s v="ThinkPad X1 Carbon Gen 9"/>
    <s v="20XW009PIV"/>
    <s v="successful"/>
    <s v="Display B"/>
    <n v="0"/>
    <n v="0"/>
    <n v="0"/>
    <n v="0"/>
    <n v="0"/>
    <n v="0"/>
    <n v="0"/>
    <s v="11th Gen Intel(R) Core(TM) i7-1165G7 @ 2.80GHz"/>
    <s v="2 GiB / 2 GiB / 2 GiB / 2 GiB / 2 GiB / 2 GiB / 2 GiB / 2 GiB"/>
    <s v="LPDDR4 / LPDDR4 / LPDDR4 / LPDDR4 / LPDDR4 / LPDDR4 / LPDDR4 / LPDDR4"/>
    <s v="512 GB"/>
    <s v="NVMe"/>
    <s v="21453285479C"/>
    <s v="Micron MTFDKBA512TFH"/>
    <s v="2026-03-09T13:34:02+0000"/>
    <n v="99"/>
    <n v="0"/>
    <s v="TBS"/>
    <s v="a0f80afa-11a8-4ec7-a445-09f99e466646"/>
    <x v="0"/>
  </r>
  <r>
    <s v="Axonius"/>
    <s v="Apple, Inc."/>
    <s v="Laptop"/>
    <n v="0"/>
    <s v="X07"/>
    <s v="Successful"/>
    <x v="2"/>
    <n v="0"/>
    <s v="MacBook Pro (16-inch, M2 Max, 2023)"/>
    <n v="0"/>
    <n v="0"/>
    <n v="0"/>
    <n v="0"/>
    <n v="0"/>
    <n v="0"/>
    <n v="0"/>
    <n v="0"/>
    <n v="0"/>
    <n v="0"/>
    <n v="0"/>
    <n v="0"/>
    <n v="0"/>
    <n v="0"/>
    <n v="0"/>
    <n v="0"/>
    <n v="46090.46361111111"/>
    <n v="0"/>
    <n v="0"/>
    <s v="SS"/>
    <s v="a781642a-d295-4f0d-a413-4bc0ac2b57d8"/>
    <x v="0"/>
  </r>
  <r>
    <s v="Axonius"/>
    <s v="Apple, Inc."/>
    <s v="Laptop"/>
    <n v="0"/>
    <s v="X15"/>
    <s v="Successful"/>
    <x v="3"/>
    <n v="0"/>
    <s v="MacBook Pro (M1 Mac, 14-inch, 2021)"/>
    <n v="0"/>
    <n v="0"/>
    <n v="0"/>
    <n v="0"/>
    <n v="0"/>
    <n v="0"/>
    <n v="0"/>
    <n v="0"/>
    <n v="0"/>
    <n v="0"/>
    <n v="0"/>
    <n v="0"/>
    <n v="0"/>
    <n v="0"/>
    <n v="0"/>
    <n v="0"/>
    <n v="46090.563368055555"/>
    <n v="0"/>
    <n v="0"/>
    <s v="SS"/>
    <s v="9b9fd1be-ee3a-4a93-89fb-49df18ed048a"/>
    <x v="0"/>
  </r>
  <r>
    <s v="Axonius"/>
    <s v="Apple, Inc."/>
    <s v="Laptop"/>
    <n v="0"/>
    <s v="X06"/>
    <s v="Successful"/>
    <x v="4"/>
    <n v="0"/>
    <s v="MacBook Pro (M1 Max, 16-inch, 2021)"/>
    <n v="0"/>
    <n v="0"/>
    <n v="0"/>
    <n v="0"/>
    <n v="0"/>
    <n v="0"/>
    <n v="0"/>
    <n v="0"/>
    <n v="0"/>
    <n v="0"/>
    <n v="0"/>
    <n v="0"/>
    <n v="0"/>
    <n v="0"/>
    <n v="0"/>
    <n v="0"/>
    <n v="46090.474259259259"/>
    <n v="0"/>
    <n v="0"/>
    <s v="SS"/>
    <s v="3f2a3c22-f489-4634-9686-be00bd5b13cd"/>
    <x v="0"/>
  </r>
  <r>
    <s v="Axonius"/>
    <s v="Apple, Inc."/>
    <s v="Laptop"/>
    <n v="0"/>
    <s v="X12"/>
    <s v="Successful"/>
    <x v="5"/>
    <n v="0"/>
    <s v="MacBook Pro (16-inch, M2 Max, 2023)"/>
    <n v="0"/>
    <n v="0"/>
    <n v="0"/>
    <n v="0"/>
    <n v="0"/>
    <n v="0"/>
    <n v="0"/>
    <n v="0"/>
    <n v="0"/>
    <n v="0"/>
    <n v="0"/>
    <n v="0"/>
    <n v="0"/>
    <n v="0"/>
    <n v="0"/>
    <n v="0"/>
    <n v="46090.516747685186"/>
    <n v="0"/>
    <n v="0"/>
    <s v="SS"/>
    <s v="62918018-6292-459c-93c6-c3405bae5393"/>
    <x v="0"/>
  </r>
  <r>
    <s v="Axonius"/>
    <s v="Apple, Inc."/>
    <s v="Laptop"/>
    <n v="0"/>
    <s v="X22"/>
    <s v="Successful"/>
    <x v="6"/>
    <n v="0"/>
    <s v="MacBook Pro (M1, 2020)"/>
    <n v="0"/>
    <n v="0"/>
    <n v="0"/>
    <n v="0"/>
    <n v="0"/>
    <n v="0"/>
    <n v="0"/>
    <n v="0"/>
    <n v="0"/>
    <n v="0"/>
    <n v="0"/>
    <n v="0"/>
    <n v="0"/>
    <n v="0"/>
    <n v="0"/>
    <n v="0"/>
    <n v="46090.633159722223"/>
    <n v="0"/>
    <n v="0"/>
    <s v="SS"/>
    <s v="599791c1-da44-46de-b448-40804827c39a"/>
    <x v="0"/>
  </r>
  <r>
    <s v="Axonius"/>
    <s v="Apple Inc."/>
    <s v="Laptop"/>
    <s v="X23"/>
    <n v="0"/>
    <s v="Successful / Failed"/>
    <x v="7"/>
    <n v="1"/>
    <s v="MacBookPro16,1"/>
    <n v="0"/>
    <n v="0"/>
    <n v="0"/>
    <n v="0"/>
    <n v="0"/>
    <n v="0"/>
    <n v="0"/>
    <n v="0"/>
    <n v="0"/>
    <s v="Intel(R) Core(TM) i7-9750H CPU @ 2.60GHz"/>
    <s v="16 GiB / 16 GiB"/>
    <s v="DDR4 / DDR4"/>
    <s v="500 GB"/>
    <s v="NVMe"/>
    <s v="C02137300FZNGJ2AG"/>
    <s v="APPLE SSD AP0512N"/>
    <s v="2026-03-09T13:25:01+0000 / 2026-03-09T13:24:24+0000"/>
    <n v="0"/>
    <n v="0"/>
    <s v="SS"/>
    <s v="f4e01652-33ee-43e3-bf61-7973dc1f57f3"/>
    <x v="0"/>
  </r>
  <r>
    <s v="Axonius"/>
    <s v="Apple, Inc."/>
    <s v="Laptop"/>
    <n v="0"/>
    <s v="X20"/>
    <s v="Successful"/>
    <x v="8"/>
    <n v="0"/>
    <s v="MacBook Pro (M1 Pro, 14-inch, 2021)"/>
    <n v="0"/>
    <n v="0"/>
    <n v="0"/>
    <n v="0"/>
    <n v="0"/>
    <n v="0"/>
    <n v="0"/>
    <n v="0"/>
    <n v="0"/>
    <n v="0"/>
    <n v="0"/>
    <n v="0"/>
    <n v="0"/>
    <n v="0"/>
    <n v="0"/>
    <n v="0"/>
    <n v="46090.61346064815"/>
    <n v="0"/>
    <n v="0"/>
    <s v="SS"/>
    <s v="d95231a6-69db-4761-893f-a7171d7066bc"/>
    <x v="0"/>
  </r>
  <r>
    <s v="Axonius"/>
    <s v="Dell Inc."/>
    <s v="Notebook"/>
    <s v="X33"/>
    <n v="0"/>
    <s v="Successful"/>
    <x v="9"/>
    <n v="0"/>
    <s v="Latitude 7440"/>
    <s v="successful"/>
    <s v="Chassis damage B, Display B"/>
    <n v="0"/>
    <n v="0"/>
    <n v="0"/>
    <n v="0"/>
    <n v="0"/>
    <n v="0"/>
    <n v="0"/>
    <s v="13th Gen Intel(R) Core(TM) i7-1365U"/>
    <s v="4 GiB / 4 GiB / 4 GiB / 4 GiB / 4 GiB / 4 GiB / 4 GiB / 4 GiB"/>
    <s v="LPDDR5 / LPDDR5 / LPDDR5 / LPDDR5 / LPDDR5 / LPDDR5 / LPDDR5 / LPDDR5"/>
    <s v="512 GB"/>
    <s v="NVMe"/>
    <s v="233943AD9239"/>
    <s v="2550 Micron 512GB"/>
    <s v="2026-03-09T13:50:44+0000"/>
    <n v="83"/>
    <n v="0"/>
    <s v="TBS"/>
    <s v="b34ff945-093e-4a52-933e-2a4961ca1e0c"/>
    <x v="0"/>
  </r>
  <r>
    <s v="Axonius"/>
    <s v="Apple, Inc."/>
    <s v="Laptop"/>
    <n v="0"/>
    <s v="X08"/>
    <s v="Successful"/>
    <x v="10"/>
    <n v="0"/>
    <s v="MacBook Pro (16-inch, M2 Max, 2023)"/>
    <n v="0"/>
    <n v="0"/>
    <n v="0"/>
    <n v="0"/>
    <n v="0"/>
    <n v="0"/>
    <n v="0"/>
    <n v="0"/>
    <n v="0"/>
    <n v="0"/>
    <n v="0"/>
    <n v="0"/>
    <n v="0"/>
    <n v="0"/>
    <n v="0"/>
    <n v="0"/>
    <n v="46090.482766203706"/>
    <n v="0"/>
    <n v="0"/>
    <s v="SS"/>
    <s v="e1377994-9769-45a5-bf12-85ce4bf89673"/>
    <x v="0"/>
  </r>
  <r>
    <s v="Axonius"/>
    <s v="Apple, Inc."/>
    <s v="Laptop"/>
    <n v="0"/>
    <s v="X13"/>
    <s v="Successful"/>
    <x v="11"/>
    <n v="0"/>
    <s v="MacBook Pro (M1 Pro, 14-inch, 2021)"/>
    <n v="0"/>
    <n v="0"/>
    <n v="0"/>
    <n v="0"/>
    <n v="0"/>
    <n v="0"/>
    <n v="0"/>
    <n v="0"/>
    <n v="0"/>
    <n v="0"/>
    <n v="0"/>
    <n v="0"/>
    <n v="0"/>
    <n v="0"/>
    <n v="0"/>
    <n v="0"/>
    <n v="46090.542962962965"/>
    <n v="0"/>
    <n v="0"/>
    <s v="SS"/>
    <s v="eba5042a-7319-41e0-b1b6-dbdd08ea21fd"/>
    <x v="0"/>
  </r>
  <r>
    <s v="Axonius"/>
    <s v="Apple, Inc."/>
    <s v="Laptop"/>
    <n v="0"/>
    <s v="X16"/>
    <s v="Successful"/>
    <x v="12"/>
    <n v="0"/>
    <s v="MacBook Pro (M1 Pro, 14-inch, 2021)"/>
    <n v="0"/>
    <n v="0"/>
    <n v="0"/>
    <n v="0"/>
    <n v="0"/>
    <n v="0"/>
    <n v="0"/>
    <n v="0"/>
    <n v="0"/>
    <n v="0"/>
    <n v="0"/>
    <n v="0"/>
    <n v="0"/>
    <n v="0"/>
    <n v="0"/>
    <n v="0"/>
    <n v="46090.571886574071"/>
    <n v="0"/>
    <n v="0"/>
    <s v="SS"/>
    <s v="3629ebce-ab5b-4b5b-853f-5cfc4791dc82"/>
    <x v="0"/>
  </r>
  <r>
    <s v="Axonius"/>
    <s v="Apple, Inc."/>
    <s v="Laptop"/>
    <n v="0"/>
    <s v="X02"/>
    <s v="Successful"/>
    <x v="13"/>
    <n v="0"/>
    <s v="MacBook Pro (M1 Pro, 16-inch, 2021)"/>
    <n v="0"/>
    <n v="0"/>
    <n v="0"/>
    <n v="0"/>
    <n v="0"/>
    <n v="0"/>
    <n v="0"/>
    <n v="0"/>
    <n v="0"/>
    <n v="0"/>
    <n v="0"/>
    <n v="0"/>
    <n v="0"/>
    <n v="0"/>
    <n v="0"/>
    <n v="0"/>
    <n v="46090.415601851855"/>
    <n v="0"/>
    <n v="0"/>
    <s v="SS"/>
    <s v="979cd76d-fd0b-400a-9c90-d6d5dfa55ab3"/>
    <x v="0"/>
  </r>
  <r>
    <s v="Axonius"/>
    <s v="Dell Inc."/>
    <s v="Notebook"/>
    <s v="X28"/>
    <n v="0"/>
    <s v="Successful"/>
    <x v="14"/>
    <n v="0"/>
    <s v="XPS 13 9305"/>
    <s v="failed"/>
    <s v="Display C"/>
    <n v="0"/>
    <n v="0"/>
    <n v="0"/>
    <n v="0"/>
    <n v="0"/>
    <n v="0"/>
    <n v="0"/>
    <s v="11th Gen Intel(R) Core(TM) i7-1165G7 @ 2.80GHz"/>
    <s v="2 GiB / 2 GiB / 2 GiB / 2 GiB / 2 GiB / 2 GiB / 2 GiB / 2 GiB"/>
    <s v="LPDDR4 / LPDDR4 / LPDDR4 / LPDDR4 / LPDDR4 / LPDDR4 / LPDDR4 / LPDDR4"/>
    <s v="512 GB"/>
    <s v="NVMe"/>
    <s v="21105Y803157"/>
    <s v="PC SN730 NVMe WDC 512GB"/>
    <s v="2026-03-09T12:37:33+0000"/>
    <n v="66"/>
    <s v="Battery does not provide at least ${THRESHOLD}% of its design capacity."/>
    <s v="TBS"/>
    <s v="acb460a9-47ea-4874-a359-06b6fd982508"/>
    <x v="0"/>
  </r>
  <r>
    <s v="Axonius"/>
    <s v="Apple, Inc."/>
    <s v="Laptop"/>
    <n v="0"/>
    <s v="X01"/>
    <s v="Successful"/>
    <x v="15"/>
    <n v="0"/>
    <s v="MacBook Pro (M1 Pro, 16-inch, 2021)"/>
    <n v="0"/>
    <n v="0"/>
    <n v="0"/>
    <n v="0"/>
    <n v="0"/>
    <n v="0"/>
    <n v="0"/>
    <n v="0"/>
    <n v="0"/>
    <n v="0"/>
    <n v="0"/>
    <n v="0"/>
    <n v="0"/>
    <n v="0"/>
    <n v="0"/>
    <n v="0"/>
    <n v="46090.404421296298"/>
    <n v="0"/>
    <n v="0"/>
    <s v="SS"/>
    <s v="bb681f51-fe89-45f7-9df7-18b28d086c54"/>
    <x v="0"/>
  </r>
  <r>
    <s v="Axonius"/>
    <s v="Apple, Inc."/>
    <s v="Laptop"/>
    <n v="0"/>
    <s v="X25"/>
    <s v="Successful"/>
    <x v="16"/>
    <n v="0"/>
    <s v="MacBook Pro (M1, 2020)"/>
    <n v="0"/>
    <n v="0"/>
    <n v="0"/>
    <n v="0"/>
    <n v="0"/>
    <n v="0"/>
    <n v="0"/>
    <n v="0"/>
    <n v="0"/>
    <n v="0"/>
    <n v="0"/>
    <n v="0"/>
    <n v="0"/>
    <n v="0"/>
    <n v="0"/>
    <n v="0"/>
    <n v="46090.668506944443"/>
    <n v="0"/>
    <n v="0"/>
    <s v="SS"/>
    <s v="ced577c4-3fb9-400c-bfb2-8a443354636b"/>
    <x v="0"/>
  </r>
  <r>
    <s v="Axonius"/>
    <s v="Apple, Inc."/>
    <s v="Laptop"/>
    <n v="0"/>
    <s v="X10"/>
    <s v="Successful"/>
    <x v="17"/>
    <n v="0"/>
    <s v="MacBook Pro (16-inch, M2 Max, 2023)"/>
    <n v="0"/>
    <n v="0"/>
    <n v="0"/>
    <n v="0"/>
    <n v="0"/>
    <n v="0"/>
    <n v="0"/>
    <n v="0"/>
    <n v="0"/>
    <n v="0"/>
    <n v="0"/>
    <n v="0"/>
    <n v="0"/>
    <n v="0"/>
    <n v="0"/>
    <n v="0"/>
    <n v="46090.500393518516"/>
    <n v="0"/>
    <n v="0"/>
    <s v="SS"/>
    <s v="3a23aa2c-99ff-43a6-8c1b-d7a9df9cf1d1"/>
    <x v="0"/>
  </r>
  <r>
    <s v="Axonius"/>
    <s v="Apple, Inc."/>
    <s v="Laptop"/>
    <n v="0"/>
    <s v="X04"/>
    <s v="Successful"/>
    <x v="18"/>
    <n v="0"/>
    <s v="MacBook Pro (16-inch, M2 Max, 2023)"/>
    <n v="0"/>
    <n v="0"/>
    <n v="0"/>
    <n v="0"/>
    <n v="0"/>
    <n v="0"/>
    <n v="0"/>
    <n v="0"/>
    <n v="0"/>
    <n v="0"/>
    <n v="0"/>
    <n v="0"/>
    <n v="0"/>
    <n v="0"/>
    <n v="0"/>
    <n v="0"/>
    <n v="46090.435335648152"/>
    <n v="0"/>
    <n v="0"/>
    <s v="SS"/>
    <s v="ef81e765-9a72-46a1-8f23-0d1cebe868c5"/>
    <x v="0"/>
  </r>
  <r>
    <s v="Axonius"/>
    <s v="Apple, Inc."/>
    <s v="Laptop"/>
    <n v="0"/>
    <s v="X17"/>
    <s v="Successful"/>
    <x v="19"/>
    <n v="0"/>
    <s v="MacBook Pro (M1 Mac, 14-inch, 2021)"/>
    <n v="0"/>
    <n v="0"/>
    <n v="0"/>
    <n v="0"/>
    <n v="0"/>
    <n v="0"/>
    <n v="0"/>
    <n v="0"/>
    <n v="0"/>
    <n v="0"/>
    <n v="0"/>
    <n v="0"/>
    <n v="0"/>
    <n v="0"/>
    <n v="0"/>
    <n v="0"/>
    <n v="46090.588472222225"/>
    <n v="0"/>
    <n v="0"/>
    <s v="SS"/>
    <s v="1c889e39-34a7-44be-a9f9-2d2dd1a280eb"/>
    <x v="0"/>
  </r>
  <r>
    <s v="Axonius"/>
    <s v="Dell Inc."/>
    <s v="Notebook"/>
    <s v="X35"/>
    <n v="0"/>
    <s v="Successful"/>
    <x v="20"/>
    <n v="0"/>
    <s v="Latitude 5430"/>
    <s v="failed"/>
    <s v="Display B"/>
    <s v="TP button defect"/>
    <n v="0"/>
    <n v="0"/>
    <n v="0"/>
    <n v="0"/>
    <n v="0"/>
    <n v="0"/>
    <s v="12th Gen Intel(R) Core(TM) i7-1255U"/>
    <s v="8 GiB / 8 GiB"/>
    <s v="DDR4 / DDR4"/>
    <s v="512 GB"/>
    <s v="NVMe"/>
    <n v="222011802490"/>
    <s v="PC SN740 NVMe WD 512GB"/>
    <s v="2026-03-09T14:09:23+0000"/>
    <n v="69"/>
    <s v="Battery does not provide at least ${THRESHOLD}% of its design capacity."/>
    <s v="TBS"/>
    <s v="8e64905e-7b34-4b15-aa05-f16b93a78c9a"/>
    <x v="0"/>
  </r>
  <r>
    <s v="Axonius"/>
    <s v="Dell Inc."/>
    <s v="Notebook"/>
    <s v="X29"/>
    <n v="0"/>
    <s v="Successful"/>
    <x v="21"/>
    <n v="0"/>
    <s v="XPS 13 9305"/>
    <s v="failed"/>
    <s v="Display C"/>
    <s v="Chassis damage C"/>
    <n v="0"/>
    <n v="0"/>
    <n v="0"/>
    <n v="0"/>
    <n v="0"/>
    <n v="0"/>
    <s v="11th Gen Intel(R) Core(TM) i7-1165G7 @ 2.80GHz"/>
    <s v="2 GiB / 2 GiB / 2 GiB / 2 GiB / 2 GiB / 2 GiB / 2 GiB / 2 GiB"/>
    <s v="LPDDR4 / LPDDR4 / LPDDR4 / LPDDR4 / LPDDR4 / LPDDR4 / LPDDR4 / LPDDR4"/>
    <s v="512 GB"/>
    <s v="NVMe"/>
    <s v="115A15J3K9M3"/>
    <s v="KXG60ZNV512G NVMe KIOXIA 512GB"/>
    <s v="2026-03-09T12:50:32+0000"/>
    <n v="47"/>
    <s v="Battery does not provide at least ${THRESHOLD}% of its design capacity."/>
    <s v="TBS"/>
    <s v="14be87d0-32a7-4edb-a972-3bf6ffd77407"/>
    <x v="0"/>
  </r>
  <r>
    <s v="Axonius"/>
    <s v="Apple, Inc."/>
    <s v="Laptop"/>
    <n v="0"/>
    <s v="X18"/>
    <s v="Successful"/>
    <x v="22"/>
    <n v="0"/>
    <s v="MacBook Pro (14-inch, M2 Pro, 2023)"/>
    <n v="0"/>
    <n v="0"/>
    <n v="0"/>
    <n v="0"/>
    <n v="0"/>
    <n v="0"/>
    <n v="0"/>
    <n v="0"/>
    <n v="0"/>
    <n v="0"/>
    <n v="0"/>
    <n v="0"/>
    <n v="0"/>
    <n v="0"/>
    <n v="0"/>
    <n v="0"/>
    <n v="46090.596851851849"/>
    <n v="0"/>
    <n v="0"/>
    <s v="SS"/>
    <s v="cadbd3fe-eb44-4a7a-b5f5-f1bf8df0b827"/>
    <x v="0"/>
  </r>
  <r>
    <s v="Axonius"/>
    <s v="Apple, Inc."/>
    <s v="Laptop"/>
    <n v="0"/>
    <s v="X24"/>
    <s v="Successful"/>
    <x v="23"/>
    <n v="0"/>
    <s v="MacBook Pro (M1, 2020)"/>
    <n v="0"/>
    <n v="0"/>
    <n v="0"/>
    <n v="0"/>
    <n v="0"/>
    <n v="0"/>
    <n v="0"/>
    <n v="0"/>
    <n v="0"/>
    <n v="0"/>
    <n v="0"/>
    <n v="0"/>
    <n v="0"/>
    <n v="0"/>
    <n v="0"/>
    <n v="0"/>
    <n v="46090.653136574074"/>
    <n v="0"/>
    <n v="0"/>
    <s v="SS"/>
    <s v="8107f881-9671-4030-a064-e8c74cdb9eb2"/>
    <x v="0"/>
  </r>
  <r>
    <s v="Axonius"/>
    <s v="Apple, Inc."/>
    <s v="Laptop"/>
    <n v="0"/>
    <s v="X03"/>
    <s v="Successful"/>
    <x v="24"/>
    <n v="0"/>
    <s v="MacBook Pro (16-inch, M2 Max, 2023)"/>
    <n v="0"/>
    <n v="0"/>
    <n v="0"/>
    <n v="0"/>
    <n v="0"/>
    <n v="0"/>
    <n v="0"/>
    <n v="0"/>
    <n v="0"/>
    <n v="0"/>
    <n v="0"/>
    <n v="0"/>
    <n v="0"/>
    <n v="0"/>
    <n v="0"/>
    <n v="0"/>
    <n v="46090.426770833335"/>
    <n v="0"/>
    <n v="0"/>
    <s v="SS"/>
    <s v="65fd712c-4fa7-4c96-820b-d62ff7b7d2a1"/>
    <x v="0"/>
  </r>
  <r>
    <s v="Axonius"/>
    <s v="Dell Inc."/>
    <s v="Notebook"/>
    <s v="X34"/>
    <n v="0"/>
    <s v="Successful"/>
    <x v="25"/>
    <n v="0"/>
    <s v="Latitude 7440"/>
    <s v="failed"/>
    <s v="Display B"/>
    <n v="0"/>
    <n v="0"/>
    <n v="0"/>
    <n v="0"/>
    <n v="0"/>
    <n v="0"/>
    <n v="0"/>
    <s v="13th Gen Intel(R) Core(TM) i7-1365U"/>
    <s v="4 GiB / 4 GiB / 4 GiB / 4 GiB / 4 GiB / 4 GiB / 4 GiB / 4 GiB"/>
    <s v="LPDDR5 / LPDDR5 / LPDDR5 / LPDDR5 / LPDDR5 / LPDDR5 / LPDDR5 / LPDDR5"/>
    <s v="512 GB"/>
    <s v="NVMe"/>
    <s v="2339439D0EE6"/>
    <s v="2550 Micron 512GB"/>
    <s v="2026-03-09T14:00:27+0000"/>
    <n v="76"/>
    <s v="Battery does not provide at least ${THRESHOLD}% of its design capacity."/>
    <s v="TBS"/>
    <s v="60ac55b6-40c2-4e0c-9752-ab6bb53a4455"/>
    <x v="0"/>
  </r>
  <r>
    <s v="Axonius"/>
    <s v="Apple, Inc."/>
    <s v="Laptop"/>
    <n v="0"/>
    <s v="X14"/>
    <s v="Successful"/>
    <x v="26"/>
    <n v="0"/>
    <s v="MacBook Pro (M1 Pro, 14-inch, 2021)"/>
    <n v="0"/>
    <n v="0"/>
    <n v="0"/>
    <n v="0"/>
    <n v="0"/>
    <n v="0"/>
    <n v="0"/>
    <n v="0"/>
    <n v="0"/>
    <n v="0"/>
    <n v="0"/>
    <n v="0"/>
    <n v="0"/>
    <n v="0"/>
    <n v="0"/>
    <n v="0"/>
    <n v="46090.553784722222"/>
    <n v="0"/>
    <n v="0"/>
    <s v="SS"/>
    <s v="07b09883-abba-4524-8b82-ddf207ef9d51"/>
    <x v="0"/>
  </r>
  <r>
    <s v="Axonius"/>
    <s v="Apple, Inc."/>
    <s v="Laptop"/>
    <n v="0"/>
    <s v="X11"/>
    <s v="Successful"/>
    <x v="27"/>
    <n v="0"/>
    <s v="MacBook Pro (16-inch, M2 Max, 2023)"/>
    <n v="0"/>
    <n v="0"/>
    <n v="0"/>
    <n v="0"/>
    <n v="0"/>
    <n v="0"/>
    <n v="0"/>
    <n v="0"/>
    <n v="0"/>
    <n v="0"/>
    <n v="0"/>
    <n v="0"/>
    <n v="0"/>
    <n v="0"/>
    <n v="0"/>
    <n v="0"/>
    <n v="46090.508472222224"/>
    <n v="0"/>
    <n v="0"/>
    <s v="SS"/>
    <s v="f78b21c1-a4ae-460b-b7d9-2ca2759fc6cd"/>
    <x v="0"/>
  </r>
  <r>
    <s v="Axonius"/>
    <s v="Apple, Inc."/>
    <s v="Laptop"/>
    <n v="0"/>
    <s v="X05"/>
    <s v="Successful"/>
    <x v="28"/>
    <n v="0"/>
    <s v="MacBook Pro (16-inch, M2 Max, 2023)"/>
    <n v="0"/>
    <n v="0"/>
    <n v="0"/>
    <n v="0"/>
    <n v="0"/>
    <n v="0"/>
    <n v="0"/>
    <n v="0"/>
    <n v="0"/>
    <n v="0"/>
    <n v="0"/>
    <n v="0"/>
    <n v="0"/>
    <n v="0"/>
    <n v="0"/>
    <n v="0"/>
    <n v="46090.454918981479"/>
    <n v="0"/>
    <n v="0"/>
    <s v="SS"/>
    <s v="66f73be1-94c8-4265-9b69-dbb0e74cc03d"/>
    <x v="0"/>
  </r>
  <r>
    <s v="Axonius"/>
    <s v="Apple, Inc."/>
    <s v="Laptop"/>
    <n v="0"/>
    <s v="X19"/>
    <s v="Successful"/>
    <x v="29"/>
    <n v="0"/>
    <s v="MacBook Pro (M1 Pro, 14-inch, 2021)"/>
    <n v="0"/>
    <n v="0"/>
    <n v="0"/>
    <n v="0"/>
    <n v="0"/>
    <n v="0"/>
    <n v="0"/>
    <n v="0"/>
    <n v="0"/>
    <n v="0"/>
    <n v="0"/>
    <n v="0"/>
    <n v="0"/>
    <n v="0"/>
    <n v="0"/>
    <n v="0"/>
    <n v="46090.605486111112"/>
    <n v="0"/>
    <n v="0"/>
    <s v="SS"/>
    <s v="015b66af-b338-490b-840b-a324523e9c3f"/>
    <x v="0"/>
  </r>
  <r>
    <s v="Axonius"/>
    <s v="Dell Inc."/>
    <s v="Notebook"/>
    <s v="X30"/>
    <n v="0"/>
    <s v="Successful"/>
    <x v="30"/>
    <n v="0"/>
    <s v="Latitude 7350"/>
    <s v="successful"/>
    <s v="Display B"/>
    <n v="0"/>
    <n v="0"/>
    <n v="0"/>
    <n v="0"/>
    <n v="0"/>
    <n v="0"/>
    <s v="Could not connect to the configured network."/>
    <s v="Intel(R) Core(TM) Ultra 7 165U"/>
    <s v="4 GiB / 4 GiB / 4 GiB / 4 GiB / 4 GiB / 4 GiB / 4 GiB / 4 GiB"/>
    <s v="LPDDR5 / LPDDR5 / LPDDR5 / LPDDR5 / LPDDR5 / LPDDR5 / LPDDR5 / LPDDR5"/>
    <s v="1 TB"/>
    <s v="NVMe"/>
    <s v="S75LNF0XB42839"/>
    <s v="PM9C1a Samsung 1024GB"/>
    <s v="2026-03-09T13:19:54+0000"/>
    <n v="90"/>
    <n v="0"/>
    <s v="TBS"/>
    <s v="fa675e3e-afd4-4d38-9c28-5610775a7206"/>
    <x v="0"/>
  </r>
  <r>
    <s v="Axonius"/>
    <s v="Apple, Inc."/>
    <s v="Laptop"/>
    <n v="0"/>
    <s v="X09"/>
    <s v="Successful"/>
    <x v="31"/>
    <n v="0"/>
    <s v="MacBook Pro (16-inch, M2 Max, 2023)"/>
    <n v="0"/>
    <n v="0"/>
    <n v="0"/>
    <n v="0"/>
    <n v="0"/>
    <n v="0"/>
    <n v="0"/>
    <n v="0"/>
    <n v="0"/>
    <n v="0"/>
    <n v="0"/>
    <n v="0"/>
    <n v="0"/>
    <n v="0"/>
    <n v="0"/>
    <n v="0"/>
    <n v="46090.492175925923"/>
    <n v="0"/>
    <n v="0"/>
    <s v="SS"/>
    <s v="f42b3b75-ad06-452c-a4c4-72a5fbe16d95"/>
    <x v="0"/>
  </r>
  <r>
    <n v="0"/>
    <n v="0"/>
    <n v="0"/>
    <n v="0"/>
    <n v="0"/>
    <n v="0"/>
    <x v="3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n v="0"/>
    <n v="0"/>
    <n v="0"/>
    <n v="0"/>
    <n v="0"/>
    <n v="0"/>
    <x v="3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n v="0"/>
    <n v="0"/>
    <n v="0"/>
    <n v="0"/>
    <n v="0"/>
    <n v="0"/>
    <x v="3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n v="0"/>
    <n v="0"/>
    <n v="0"/>
    <n v="0"/>
    <n v="0"/>
    <n v="0"/>
    <x v="3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n v="0"/>
    <n v="0"/>
    <n v="0"/>
    <n v="0"/>
    <n v="0"/>
    <n v="0"/>
    <x v="3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n v="0"/>
    <n v="0"/>
    <n v="0"/>
    <n v="0"/>
    <n v="0"/>
    <n v="0"/>
    <x v="3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n v="0"/>
    <n v="0"/>
    <n v="0"/>
    <n v="0"/>
    <n v="0"/>
    <n v="0"/>
    <x v="3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n v="0"/>
    <n v="0"/>
    <n v="0"/>
    <n v="0"/>
    <n v="0"/>
    <n v="0"/>
    <x v="3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n v="0"/>
    <n v="0"/>
    <n v="0"/>
    <n v="0"/>
    <n v="0"/>
    <n v="0"/>
    <x v="3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n v="0"/>
    <n v="0"/>
    <n v="0"/>
    <n v="0"/>
    <n v="0"/>
    <n v="0"/>
    <x v="3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n v="0"/>
    <n v="0"/>
    <n v="0"/>
    <n v="0"/>
    <n v="0"/>
    <n v="0"/>
    <x v="3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n v="0"/>
    <n v="0"/>
    <n v="0"/>
    <n v="0"/>
    <n v="0"/>
    <n v="0"/>
    <x v="3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n v="0"/>
    <n v="0"/>
    <n v="0"/>
    <n v="0"/>
    <n v="0"/>
    <n v="0"/>
    <x v="3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n v="0"/>
    <n v="0"/>
    <n v="0"/>
    <n v="0"/>
    <n v="0"/>
    <n v="0"/>
    <x v="3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n v="0"/>
    <n v="0"/>
    <n v="0"/>
    <n v="0"/>
    <n v="0"/>
    <n v="0"/>
    <x v="3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n v="0"/>
    <n v="0"/>
    <n v="0"/>
    <n v="0"/>
    <n v="0"/>
    <n v="0"/>
    <x v="3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n v="0"/>
    <n v="0"/>
    <n v="0"/>
    <n v="0"/>
    <n v="0"/>
    <n v="0"/>
    <x v="3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n v="0"/>
    <n v="0"/>
    <n v="0"/>
    <n v="0"/>
    <n v="0"/>
    <n v="0"/>
    <x v="3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n v="0"/>
    <n v="0"/>
    <n v="0"/>
    <n v="0"/>
    <n v="0"/>
    <n v="0"/>
    <x v="3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n v="0"/>
    <n v="0"/>
    <n v="0"/>
    <n v="0"/>
    <n v="0"/>
    <n v="0"/>
    <x v="3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n v="0"/>
    <n v="0"/>
    <n v="0"/>
    <n v="0"/>
    <n v="0"/>
    <n v="0"/>
    <x v="3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n v="0"/>
    <n v="0"/>
    <n v="0"/>
    <n v="0"/>
    <n v="0"/>
    <n v="0"/>
    <x v="3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n v="0"/>
    <n v="0"/>
    <n v="0"/>
    <n v="0"/>
    <n v="0"/>
    <n v="0"/>
    <x v="3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n v="0"/>
    <n v="0"/>
    <n v="0"/>
    <n v="0"/>
    <n v="0"/>
    <n v="0"/>
    <x v="3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n v="0"/>
    <n v="0"/>
    <n v="0"/>
    <n v="0"/>
    <n v="0"/>
    <n v="0"/>
    <x v="3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n v="0"/>
    <n v="0"/>
    <n v="0"/>
    <n v="0"/>
    <n v="0"/>
    <n v="0"/>
    <x v="3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n v="0"/>
    <n v="0"/>
    <n v="0"/>
    <n v="0"/>
    <n v="0"/>
    <n v="0"/>
    <x v="3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n v="0"/>
    <n v="0"/>
    <n v="0"/>
    <n v="0"/>
    <n v="0"/>
    <n v="0"/>
    <x v="3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n v="0"/>
    <n v="0"/>
    <n v="0"/>
    <n v="0"/>
    <n v="0"/>
    <n v="0"/>
    <x v="3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n v="0"/>
    <n v="0"/>
    <n v="0"/>
    <n v="0"/>
    <n v="0"/>
    <n v="0"/>
    <x v="3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n v="0"/>
    <n v="0"/>
    <n v="0"/>
    <n v="0"/>
    <n v="0"/>
    <n v="0"/>
    <x v="3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n v="0"/>
    <n v="0"/>
    <n v="0"/>
    <n v="0"/>
    <n v="0"/>
    <n v="0"/>
    <x v="3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n v="0"/>
    <n v="0"/>
    <n v="0"/>
    <n v="0"/>
    <n v="0"/>
    <n v="0"/>
    <x v="3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n v="0"/>
    <n v="0"/>
    <n v="0"/>
    <n v="0"/>
    <n v="0"/>
    <n v="0"/>
    <x v="3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n v="0"/>
    <n v="0"/>
    <n v="0"/>
    <n v="0"/>
    <n v="0"/>
    <n v="0"/>
    <x v="3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n v="0"/>
    <n v="0"/>
    <n v="0"/>
    <n v="0"/>
    <n v="0"/>
    <n v="0"/>
    <x v="3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n v="0"/>
    <n v="0"/>
    <n v="0"/>
    <n v="0"/>
    <n v="0"/>
    <n v="0"/>
    <x v="3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n v="0"/>
    <n v="0"/>
    <n v="0"/>
    <n v="0"/>
    <n v="0"/>
    <n v="0"/>
    <x v="3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n v="0"/>
    <n v="0"/>
    <n v="0"/>
    <n v="0"/>
    <n v="0"/>
    <n v="0"/>
    <x v="3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n v="0"/>
    <n v="0"/>
    <n v="0"/>
    <n v="0"/>
    <n v="0"/>
    <n v="0"/>
    <x v="3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n v="0"/>
    <n v="0"/>
    <n v="0"/>
    <n v="0"/>
    <n v="0"/>
    <n v="0"/>
    <x v="3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n v="0"/>
    <n v="0"/>
    <n v="0"/>
    <n v="0"/>
    <n v="0"/>
    <n v="0"/>
    <x v="3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n v="0"/>
    <n v="0"/>
    <n v="0"/>
    <n v="0"/>
    <n v="0"/>
    <n v="0"/>
    <x v="3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n v="0"/>
    <n v="0"/>
    <n v="0"/>
    <n v="0"/>
    <n v="0"/>
    <n v="0"/>
    <x v="3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n v="0"/>
    <n v="0"/>
    <n v="0"/>
    <n v="0"/>
    <n v="0"/>
    <n v="0"/>
    <x v="3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n v="0"/>
    <n v="0"/>
    <n v="0"/>
    <n v="0"/>
    <n v="0"/>
    <n v="0"/>
    <x v="3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n v="0"/>
    <n v="0"/>
    <n v="0"/>
    <n v="0"/>
    <n v="0"/>
    <n v="0"/>
    <x v="3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n v="0"/>
    <n v="0"/>
    <n v="0"/>
    <n v="0"/>
    <n v="0"/>
    <n v="0"/>
    <x v="3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n v="0"/>
    <n v="0"/>
    <n v="0"/>
    <n v="0"/>
    <n v="0"/>
    <n v="0"/>
    <x v="3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n v="0"/>
    <n v="0"/>
    <n v="0"/>
    <n v="0"/>
    <n v="0"/>
    <n v="0"/>
    <x v="3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n v="0"/>
    <n v="0"/>
    <n v="0"/>
    <n v="0"/>
    <n v="0"/>
    <n v="0"/>
    <x v="3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n v="0"/>
    <n v="0"/>
    <n v="0"/>
    <n v="0"/>
    <n v="0"/>
    <n v="0"/>
    <x v="3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n v="0"/>
    <n v="0"/>
    <n v="0"/>
    <n v="0"/>
    <n v="0"/>
    <n v="0"/>
    <x v="3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n v="0"/>
    <n v="0"/>
    <n v="0"/>
    <n v="0"/>
    <n v="0"/>
    <n v="0"/>
    <x v="3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n v="0"/>
    <n v="0"/>
    <n v="0"/>
    <n v="0"/>
    <n v="0"/>
    <n v="0"/>
    <x v="3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n v="0"/>
    <n v="0"/>
    <n v="0"/>
    <n v="0"/>
    <n v="0"/>
    <n v="0"/>
    <x v="3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n v="0"/>
    <n v="0"/>
    <n v="0"/>
    <n v="0"/>
    <n v="0"/>
    <n v="0"/>
    <x v="3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n v="0"/>
    <n v="0"/>
    <n v="0"/>
    <n v="0"/>
    <n v="0"/>
    <n v="0"/>
    <x v="3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n v="0"/>
    <n v="0"/>
    <n v="0"/>
    <n v="0"/>
    <n v="0"/>
    <n v="0"/>
    <x v="3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n v="0"/>
    <n v="0"/>
    <n v="0"/>
    <n v="0"/>
    <n v="0"/>
    <n v="0"/>
    <x v="3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n v="0"/>
    <n v="0"/>
    <n v="0"/>
    <n v="0"/>
    <n v="0"/>
    <n v="0"/>
    <x v="3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n v="0"/>
    <n v="0"/>
    <n v="0"/>
    <n v="0"/>
    <n v="0"/>
    <n v="0"/>
    <x v="3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n v="0"/>
    <n v="0"/>
    <n v="0"/>
    <n v="0"/>
    <n v="0"/>
    <n v="0"/>
    <x v="3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n v="0"/>
    <n v="0"/>
    <n v="0"/>
    <n v="0"/>
    <n v="0"/>
    <n v="0"/>
    <x v="3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n v="0"/>
    <n v="0"/>
    <n v="0"/>
    <n v="0"/>
    <n v="0"/>
    <n v="0"/>
    <x v="3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n v="0"/>
    <n v="0"/>
    <n v="0"/>
    <n v="0"/>
    <n v="0"/>
    <n v="0"/>
    <x v="3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n v="0"/>
    <n v="0"/>
    <n v="0"/>
    <n v="0"/>
    <n v="0"/>
    <n v="0"/>
    <x v="3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2"/>
  </r>
  <r>
    <n v="0"/>
    <n v="0"/>
    <n v="0"/>
    <n v="0"/>
    <n v="0"/>
    <n v="0"/>
    <x v="3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2"/>
  </r>
  <r>
    <n v="0"/>
    <n v="0"/>
    <n v="0"/>
    <n v="0"/>
    <n v="0"/>
    <n v="0"/>
    <x v="3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2"/>
  </r>
  <r>
    <n v="0"/>
    <n v="0"/>
    <n v="0"/>
    <n v="0"/>
    <n v="0"/>
    <n v="0"/>
    <x v="3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2"/>
  </r>
  <r>
    <n v="0"/>
    <n v="0"/>
    <n v="0"/>
    <n v="0"/>
    <n v="0"/>
    <n v="0"/>
    <x v="3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2"/>
  </r>
  <r>
    <n v="0"/>
    <n v="0"/>
    <n v="0"/>
    <n v="0"/>
    <n v="0"/>
    <n v="0"/>
    <x v="3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2"/>
  </r>
  <r>
    <n v="0"/>
    <n v="0"/>
    <n v="0"/>
    <n v="0"/>
    <n v="0"/>
    <n v="0"/>
    <x v="3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2"/>
  </r>
  <r>
    <n v="0"/>
    <n v="0"/>
    <n v="0"/>
    <n v="0"/>
    <n v="0"/>
    <n v="0"/>
    <x v="3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2"/>
  </r>
  <r>
    <n v="0"/>
    <n v="0"/>
    <n v="0"/>
    <n v="0"/>
    <n v="0"/>
    <n v="0"/>
    <x v="3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2"/>
  </r>
  <r>
    <n v="0"/>
    <n v="0"/>
    <n v="0"/>
    <n v="0"/>
    <n v="0"/>
    <n v="0"/>
    <x v="3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2"/>
  </r>
  <r>
    <n v="0"/>
    <n v="0"/>
    <n v="0"/>
    <n v="0"/>
    <n v="0"/>
    <n v="0"/>
    <x v="3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2"/>
  </r>
  <r>
    <n v="0"/>
    <n v="0"/>
    <n v="0"/>
    <n v="0"/>
    <n v="0"/>
    <n v="0"/>
    <x v="3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2"/>
  </r>
  <r>
    <n v="0"/>
    <n v="0"/>
    <n v="0"/>
    <n v="0"/>
    <n v="0"/>
    <n v="0"/>
    <x v="3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2"/>
  </r>
  <r>
    <n v="0"/>
    <n v="0"/>
    <n v="0"/>
    <n v="0"/>
    <n v="0"/>
    <n v="0"/>
    <x v="3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2"/>
  </r>
  <r>
    <n v="0"/>
    <n v="0"/>
    <n v="0"/>
    <n v="0"/>
    <n v="0"/>
    <n v="0"/>
    <x v="3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2"/>
  </r>
  <r>
    <n v="0"/>
    <n v="0"/>
    <n v="0"/>
    <n v="0"/>
    <n v="0"/>
    <n v="0"/>
    <x v="3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2"/>
  </r>
  <r>
    <n v="0"/>
    <n v="0"/>
    <n v="0"/>
    <n v="0"/>
    <n v="0"/>
    <n v="0"/>
    <x v="3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2"/>
  </r>
  <r>
    <n v="0"/>
    <n v="0"/>
    <n v="0"/>
    <n v="0"/>
    <n v="0"/>
    <n v="0"/>
    <x v="3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2"/>
  </r>
  <r>
    <n v="0"/>
    <n v="0"/>
    <n v="0"/>
    <n v="0"/>
    <n v="0"/>
    <n v="0"/>
    <x v="3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2"/>
  </r>
  <r>
    <n v="0"/>
    <n v="0"/>
    <n v="0"/>
    <n v="0"/>
    <n v="0"/>
    <n v="0"/>
    <x v="3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2"/>
  </r>
  <r>
    <n v="0"/>
    <n v="0"/>
    <n v="0"/>
    <n v="0"/>
    <n v="0"/>
    <n v="0"/>
    <x v="3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2"/>
  </r>
  <r>
    <n v="0"/>
    <n v="0"/>
    <n v="0"/>
    <n v="0"/>
    <n v="0"/>
    <n v="0"/>
    <x v="3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2"/>
  </r>
  <r>
    <n v="0"/>
    <n v="0"/>
    <n v="0"/>
    <n v="0"/>
    <n v="0"/>
    <n v="0"/>
    <x v="3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2"/>
  </r>
  <r>
    <n v="0"/>
    <n v="0"/>
    <n v="0"/>
    <n v="0"/>
    <n v="0"/>
    <n v="0"/>
    <x v="3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2"/>
  </r>
  <r>
    <n v="0"/>
    <n v="0"/>
    <n v="0"/>
    <n v="0"/>
    <n v="0"/>
    <n v="0"/>
    <x v="3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2"/>
  </r>
  <r>
    <n v="0"/>
    <n v="0"/>
    <n v="0"/>
    <n v="0"/>
    <n v="0"/>
    <n v="0"/>
    <x v="3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2"/>
  </r>
  <r>
    <n v="0"/>
    <n v="0"/>
    <n v="0"/>
    <n v="0"/>
    <n v="0"/>
    <n v="0"/>
    <x v="3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2"/>
  </r>
  <r>
    <n v="0"/>
    <n v="0"/>
    <n v="0"/>
    <n v="0"/>
    <n v="0"/>
    <n v="0"/>
    <x v="3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2"/>
  </r>
  <r>
    <n v="0"/>
    <n v="0"/>
    <n v="0"/>
    <n v="0"/>
    <n v="0"/>
    <n v="0"/>
    <x v="3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2"/>
  </r>
  <r>
    <n v="0"/>
    <n v="0"/>
    <n v="0"/>
    <n v="0"/>
    <n v="0"/>
    <n v="0"/>
    <x v="3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2"/>
  </r>
  <r>
    <n v="0"/>
    <n v="0"/>
    <n v="0"/>
    <n v="0"/>
    <n v="0"/>
    <n v="0"/>
    <x v="3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2"/>
  </r>
  <r>
    <n v="0"/>
    <n v="0"/>
    <n v="0"/>
    <n v="0"/>
    <n v="0"/>
    <n v="0"/>
    <x v="3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2"/>
  </r>
  <r>
    <n v="0"/>
    <n v="0"/>
    <n v="0"/>
    <n v="0"/>
    <n v="0"/>
    <n v="0"/>
    <x v="3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2"/>
  </r>
  <r>
    <n v="0"/>
    <n v="0"/>
    <n v="0"/>
    <n v="0"/>
    <n v="0"/>
    <n v="0"/>
    <x v="3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2"/>
  </r>
  <r>
    <n v="0"/>
    <n v="0"/>
    <n v="0"/>
    <n v="0"/>
    <n v="0"/>
    <n v="0"/>
    <x v="3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2"/>
  </r>
  <r>
    <n v="0"/>
    <n v="0"/>
    <n v="0"/>
    <n v="0"/>
    <n v="0"/>
    <n v="0"/>
    <x v="3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2"/>
  </r>
  <r>
    <n v="0"/>
    <n v="0"/>
    <n v="0"/>
    <n v="0"/>
    <n v="0"/>
    <n v="0"/>
    <x v="3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2"/>
  </r>
  <r>
    <n v="0"/>
    <n v="0"/>
    <n v="0"/>
    <n v="0"/>
    <n v="0"/>
    <n v="0"/>
    <x v="3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2"/>
  </r>
  <r>
    <n v="0"/>
    <n v="0"/>
    <n v="0"/>
    <n v="0"/>
    <n v="0"/>
    <n v="0"/>
    <x v="3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2"/>
  </r>
  <r>
    <n v="0"/>
    <n v="0"/>
    <n v="0"/>
    <n v="0"/>
    <n v="0"/>
    <n v="0"/>
    <x v="3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2"/>
  </r>
  <r>
    <n v="0"/>
    <n v="0"/>
    <n v="0"/>
    <n v="0"/>
    <n v="0"/>
    <n v="0"/>
    <x v="3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2"/>
  </r>
  <r>
    <n v="0"/>
    <n v="0"/>
    <n v="0"/>
    <n v="0"/>
    <n v="0"/>
    <n v="0"/>
    <x v="3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2"/>
  </r>
  <r>
    <n v="0"/>
    <n v="0"/>
    <n v="0"/>
    <n v="0"/>
    <n v="0"/>
    <n v="0"/>
    <x v="3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2"/>
  </r>
  <r>
    <n v="0"/>
    <n v="0"/>
    <n v="0"/>
    <n v="0"/>
    <n v="0"/>
    <n v="0"/>
    <x v="3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2"/>
  </r>
  <r>
    <n v="0"/>
    <n v="0"/>
    <n v="0"/>
    <n v="0"/>
    <n v="0"/>
    <n v="0"/>
    <x v="3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2"/>
  </r>
  <r>
    <n v="0"/>
    <n v="0"/>
    <n v="0"/>
    <n v="0"/>
    <n v="0"/>
    <n v="0"/>
    <x v="3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2"/>
  </r>
  <r>
    <n v="0"/>
    <n v="0"/>
    <n v="0"/>
    <n v="0"/>
    <n v="0"/>
    <n v="0"/>
    <x v="3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2"/>
  </r>
  <r>
    <n v="0"/>
    <n v="0"/>
    <n v="0"/>
    <n v="0"/>
    <n v="0"/>
    <n v="0"/>
    <x v="3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2"/>
  </r>
  <r>
    <n v="0"/>
    <n v="0"/>
    <n v="0"/>
    <n v="0"/>
    <n v="0"/>
    <n v="0"/>
    <x v="3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2"/>
  </r>
  <r>
    <n v="0"/>
    <n v="0"/>
    <n v="0"/>
    <n v="0"/>
    <n v="0"/>
    <n v="0"/>
    <x v="3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2"/>
  </r>
  <r>
    <n v="0"/>
    <n v="0"/>
    <n v="0"/>
    <n v="0"/>
    <n v="0"/>
    <n v="0"/>
    <x v="3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2"/>
  </r>
  <r>
    <n v="0"/>
    <n v="0"/>
    <n v="0"/>
    <n v="0"/>
    <n v="0"/>
    <n v="0"/>
    <x v="3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2"/>
  </r>
  <r>
    <n v="0"/>
    <n v="0"/>
    <n v="0"/>
    <n v="0"/>
    <n v="0"/>
    <n v="0"/>
    <x v="3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2"/>
  </r>
  <r>
    <n v="0"/>
    <n v="0"/>
    <n v="0"/>
    <n v="0"/>
    <n v="0"/>
    <n v="0"/>
    <x v="3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2"/>
  </r>
  <r>
    <n v="0"/>
    <n v="0"/>
    <n v="0"/>
    <n v="0"/>
    <n v="0"/>
    <n v="0"/>
    <x v="3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2"/>
  </r>
  <r>
    <n v="0"/>
    <n v="0"/>
    <n v="0"/>
    <n v="0"/>
    <n v="0"/>
    <n v="0"/>
    <x v="3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2"/>
  </r>
  <r>
    <n v="0"/>
    <n v="0"/>
    <n v="0"/>
    <n v="0"/>
    <n v="0"/>
    <n v="0"/>
    <x v="3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2"/>
  </r>
  <r>
    <n v="0"/>
    <n v="0"/>
    <n v="0"/>
    <n v="0"/>
    <n v="0"/>
    <n v="0"/>
    <x v="3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2"/>
  </r>
  <r>
    <n v="0"/>
    <n v="0"/>
    <n v="0"/>
    <n v="0"/>
    <n v="0"/>
    <n v="0"/>
    <x v="3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2"/>
  </r>
  <r>
    <n v="0"/>
    <n v="0"/>
    <n v="0"/>
    <n v="0"/>
    <n v="0"/>
    <n v="0"/>
    <x v="3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2"/>
  </r>
  <r>
    <n v="0"/>
    <n v="0"/>
    <n v="0"/>
    <n v="0"/>
    <n v="0"/>
    <n v="0"/>
    <x v="3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2"/>
  </r>
  <r>
    <n v="0"/>
    <n v="0"/>
    <n v="0"/>
    <n v="0"/>
    <n v="0"/>
    <n v="0"/>
    <x v="3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2"/>
  </r>
  <r>
    <n v="0"/>
    <n v="0"/>
    <n v="0"/>
    <n v="0"/>
    <n v="0"/>
    <n v="0"/>
    <x v="3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2"/>
  </r>
  <r>
    <n v="0"/>
    <n v="0"/>
    <n v="0"/>
    <n v="0"/>
    <n v="0"/>
    <n v="0"/>
    <x v="3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2"/>
  </r>
  <r>
    <n v="0"/>
    <n v="0"/>
    <n v="0"/>
    <n v="0"/>
    <n v="0"/>
    <n v="0"/>
    <x v="3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2"/>
  </r>
  <r>
    <n v="0"/>
    <n v="0"/>
    <n v="0"/>
    <n v="0"/>
    <n v="0"/>
    <n v="0"/>
    <x v="3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2"/>
  </r>
  <r>
    <n v="0"/>
    <n v="0"/>
    <n v="0"/>
    <n v="0"/>
    <n v="0"/>
    <n v="0"/>
    <x v="3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2"/>
  </r>
  <r>
    <n v="0"/>
    <n v="0"/>
    <n v="0"/>
    <n v="0"/>
    <n v="0"/>
    <n v="0"/>
    <x v="3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2"/>
  </r>
  <r>
    <n v="0"/>
    <n v="0"/>
    <n v="0"/>
    <n v="0"/>
    <n v="0"/>
    <n v="0"/>
    <x v="3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2"/>
  </r>
  <r>
    <n v="0"/>
    <n v="0"/>
    <n v="0"/>
    <n v="0"/>
    <n v="0"/>
    <n v="0"/>
    <x v="3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2"/>
  </r>
  <r>
    <n v="0"/>
    <n v="0"/>
    <n v="0"/>
    <n v="0"/>
    <n v="0"/>
    <n v="0"/>
    <x v="3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2"/>
  </r>
  <r>
    <n v="0"/>
    <n v="0"/>
    <n v="0"/>
    <n v="0"/>
    <n v="0"/>
    <n v="0"/>
    <x v="3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2"/>
  </r>
  <r>
    <n v="0"/>
    <n v="0"/>
    <n v="0"/>
    <n v="0"/>
    <n v="0"/>
    <n v="0"/>
    <x v="3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2"/>
  </r>
  <r>
    <n v="0"/>
    <n v="0"/>
    <n v="0"/>
    <n v="0"/>
    <n v="0"/>
    <n v="0"/>
    <x v="3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2"/>
  </r>
  <r>
    <n v="0"/>
    <n v="0"/>
    <n v="0"/>
    <n v="0"/>
    <n v="0"/>
    <n v="0"/>
    <x v="3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2"/>
  </r>
  <r>
    <n v="0"/>
    <n v="0"/>
    <n v="0"/>
    <n v="0"/>
    <n v="0"/>
    <n v="0"/>
    <x v="3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2"/>
  </r>
  <r>
    <n v="0"/>
    <n v="0"/>
    <n v="0"/>
    <n v="0"/>
    <n v="0"/>
    <n v="0"/>
    <x v="3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2"/>
  </r>
  <r>
    <n v="0"/>
    <n v="0"/>
    <n v="0"/>
    <n v="0"/>
    <n v="0"/>
    <n v="0"/>
    <x v="3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2"/>
  </r>
  <r>
    <n v="0"/>
    <n v="0"/>
    <n v="0"/>
    <n v="0"/>
    <n v="0"/>
    <n v="0"/>
    <x v="3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2"/>
  </r>
  <r>
    <n v="0"/>
    <n v="0"/>
    <n v="0"/>
    <n v="0"/>
    <n v="0"/>
    <n v="0"/>
    <x v="3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2"/>
  </r>
  <r>
    <n v="0"/>
    <n v="0"/>
    <n v="0"/>
    <n v="0"/>
    <n v="0"/>
    <n v="0"/>
    <x v="3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2"/>
  </r>
  <r>
    <n v="0"/>
    <n v="0"/>
    <n v="0"/>
    <n v="0"/>
    <n v="0"/>
    <n v="0"/>
    <x v="3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2"/>
  </r>
  <r>
    <n v="0"/>
    <n v="0"/>
    <n v="0"/>
    <n v="0"/>
    <n v="0"/>
    <n v="0"/>
    <x v="3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2"/>
  </r>
  <r>
    <n v="0"/>
    <n v="0"/>
    <n v="0"/>
    <n v="0"/>
    <n v="0"/>
    <n v="0"/>
    <x v="3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2"/>
  </r>
  <r>
    <n v="0"/>
    <n v="0"/>
    <n v="0"/>
    <n v="0"/>
    <n v="0"/>
    <n v="0"/>
    <x v="3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2"/>
  </r>
  <r>
    <n v="0"/>
    <n v="0"/>
    <n v="0"/>
    <n v="0"/>
    <n v="0"/>
    <n v="0"/>
    <x v="3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2"/>
  </r>
  <r>
    <n v="0"/>
    <n v="0"/>
    <n v="0"/>
    <n v="0"/>
    <n v="0"/>
    <n v="0"/>
    <x v="3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2"/>
  </r>
  <r>
    <n v="0"/>
    <n v="0"/>
    <n v="0"/>
    <n v="0"/>
    <n v="0"/>
    <n v="0"/>
    <x v="3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2"/>
  </r>
  <r>
    <n v="0"/>
    <n v="0"/>
    <n v="0"/>
    <n v="0"/>
    <n v="0"/>
    <n v="0"/>
    <x v="3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2"/>
  </r>
  <r>
    <n v="0"/>
    <n v="0"/>
    <n v="0"/>
    <n v="0"/>
    <n v="0"/>
    <n v="0"/>
    <x v="3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2"/>
  </r>
  <r>
    <n v="0"/>
    <n v="0"/>
    <n v="0"/>
    <n v="0"/>
    <n v="0"/>
    <n v="0"/>
    <x v="3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2"/>
  </r>
  <r>
    <n v="0"/>
    <n v="0"/>
    <n v="0"/>
    <n v="0"/>
    <n v="0"/>
    <n v="0"/>
    <x v="3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2"/>
  </r>
  <r>
    <n v="0"/>
    <n v="0"/>
    <n v="0"/>
    <n v="0"/>
    <n v="0"/>
    <n v="0"/>
    <x v="3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2"/>
  </r>
  <r>
    <n v="0"/>
    <n v="0"/>
    <n v="0"/>
    <n v="0"/>
    <n v="0"/>
    <n v="0"/>
    <x v="3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2"/>
  </r>
  <r>
    <n v="0"/>
    <n v="0"/>
    <n v="0"/>
    <n v="0"/>
    <n v="0"/>
    <n v="0"/>
    <x v="3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2"/>
  </r>
  <r>
    <n v="0"/>
    <n v="0"/>
    <n v="0"/>
    <n v="0"/>
    <n v="0"/>
    <n v="0"/>
    <x v="3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2"/>
  </r>
  <r>
    <n v="0"/>
    <n v="0"/>
    <n v="0"/>
    <n v="0"/>
    <n v="0"/>
    <n v="0"/>
    <x v="3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2"/>
  </r>
  <r>
    <n v="0"/>
    <n v="0"/>
    <n v="0"/>
    <n v="0"/>
    <n v="0"/>
    <n v="0"/>
    <x v="3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2"/>
  </r>
  <r>
    <n v="0"/>
    <n v="0"/>
    <n v="0"/>
    <n v="0"/>
    <n v="0"/>
    <n v="0"/>
    <x v="3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2"/>
  </r>
  <r>
    <n v="0"/>
    <n v="0"/>
    <n v="0"/>
    <n v="0"/>
    <n v="0"/>
    <n v="0"/>
    <x v="3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2"/>
  </r>
  <r>
    <n v="0"/>
    <n v="0"/>
    <n v="0"/>
    <n v="0"/>
    <n v="0"/>
    <n v="0"/>
    <x v="3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2"/>
  </r>
  <r>
    <n v="0"/>
    <n v="0"/>
    <n v="0"/>
    <n v="0"/>
    <n v="0"/>
    <n v="0"/>
    <x v="3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2"/>
  </r>
  <r>
    <n v="0"/>
    <n v="0"/>
    <n v="0"/>
    <n v="0"/>
    <n v="0"/>
    <n v="0"/>
    <x v="3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2"/>
  </r>
  <r>
    <n v="0"/>
    <n v="0"/>
    <n v="0"/>
    <n v="0"/>
    <n v="0"/>
    <n v="0"/>
    <x v="3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2"/>
  </r>
  <r>
    <n v="0"/>
    <n v="0"/>
    <n v="0"/>
    <n v="0"/>
    <n v="0"/>
    <n v="0"/>
    <x v="3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2"/>
  </r>
  <r>
    <n v="0"/>
    <n v="0"/>
    <n v="0"/>
    <n v="0"/>
    <n v="0"/>
    <n v="0"/>
    <x v="3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2"/>
  </r>
  <r>
    <n v="0"/>
    <n v="0"/>
    <n v="0"/>
    <n v="0"/>
    <n v="0"/>
    <n v="0"/>
    <x v="3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2"/>
  </r>
  <r>
    <n v="0"/>
    <n v="0"/>
    <n v="0"/>
    <n v="0"/>
    <n v="0"/>
    <n v="0"/>
    <x v="3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2"/>
  </r>
  <r>
    <n v="0"/>
    <n v="0"/>
    <n v="0"/>
    <n v="0"/>
    <n v="0"/>
    <n v="0"/>
    <x v="3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2"/>
  </r>
  <r>
    <n v="0"/>
    <n v="0"/>
    <n v="0"/>
    <n v="0"/>
    <n v="0"/>
    <n v="0"/>
    <x v="3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2"/>
  </r>
  <r>
    <n v="0"/>
    <n v="0"/>
    <n v="0"/>
    <n v="0"/>
    <n v="0"/>
    <n v="0"/>
    <x v="3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2"/>
  </r>
  <r>
    <n v="0"/>
    <n v="0"/>
    <n v="0"/>
    <n v="0"/>
    <n v="0"/>
    <n v="0"/>
    <x v="3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2"/>
  </r>
  <r>
    <n v="0"/>
    <n v="0"/>
    <n v="0"/>
    <n v="0"/>
    <n v="0"/>
    <n v="0"/>
    <x v="3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2"/>
  </r>
  <r>
    <n v="0"/>
    <n v="0"/>
    <n v="0"/>
    <n v="0"/>
    <n v="0"/>
    <n v="0"/>
    <x v="3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2"/>
  </r>
  <r>
    <n v="0"/>
    <n v="0"/>
    <n v="0"/>
    <n v="0"/>
    <n v="0"/>
    <n v="0"/>
    <x v="3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2"/>
  </r>
  <r>
    <n v="0"/>
    <n v="0"/>
    <n v="0"/>
    <n v="0"/>
    <n v="0"/>
    <n v="0"/>
    <x v="3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2"/>
  </r>
  <r>
    <n v="0"/>
    <n v="0"/>
    <n v="0"/>
    <n v="0"/>
    <n v="0"/>
    <n v="0"/>
    <x v="3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2"/>
  </r>
  <r>
    <n v="0"/>
    <n v="0"/>
    <n v="0"/>
    <n v="0"/>
    <n v="0"/>
    <n v="0"/>
    <x v="3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2"/>
  </r>
  <r>
    <n v="0"/>
    <n v="0"/>
    <n v="0"/>
    <n v="0"/>
    <n v="0"/>
    <n v="0"/>
    <x v="3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2"/>
  </r>
  <r>
    <n v="0"/>
    <n v="0"/>
    <n v="0"/>
    <n v="0"/>
    <n v="0"/>
    <n v="0"/>
    <x v="3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2"/>
  </r>
  <r>
    <n v="0"/>
    <n v="0"/>
    <n v="0"/>
    <n v="0"/>
    <n v="0"/>
    <n v="0"/>
    <x v="3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2"/>
  </r>
  <r>
    <n v="0"/>
    <n v="0"/>
    <n v="0"/>
    <n v="0"/>
    <n v="0"/>
    <n v="0"/>
    <x v="3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2"/>
  </r>
  <r>
    <n v="0"/>
    <n v="0"/>
    <n v="0"/>
    <n v="0"/>
    <n v="0"/>
    <n v="0"/>
    <x v="3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2"/>
  </r>
  <r>
    <n v="0"/>
    <n v="0"/>
    <n v="0"/>
    <n v="0"/>
    <n v="0"/>
    <n v="0"/>
    <x v="3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2"/>
  </r>
  <r>
    <n v="0"/>
    <n v="0"/>
    <n v="0"/>
    <n v="0"/>
    <n v="0"/>
    <n v="0"/>
    <x v="3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2"/>
  </r>
  <r>
    <n v="0"/>
    <n v="0"/>
    <n v="0"/>
    <n v="0"/>
    <n v="0"/>
    <n v="0"/>
    <x v="3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2"/>
  </r>
  <r>
    <n v="0"/>
    <n v="0"/>
    <n v="0"/>
    <n v="0"/>
    <n v="0"/>
    <n v="0"/>
    <x v="3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2"/>
  </r>
  <r>
    <n v="0"/>
    <n v="0"/>
    <n v="0"/>
    <n v="0"/>
    <n v="0"/>
    <n v="0"/>
    <x v="3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2"/>
  </r>
  <r>
    <n v="0"/>
    <n v="0"/>
    <n v="0"/>
    <n v="0"/>
    <n v="0"/>
    <n v="0"/>
    <x v="3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2"/>
  </r>
  <r>
    <n v="0"/>
    <n v="0"/>
    <n v="0"/>
    <n v="0"/>
    <n v="0"/>
    <n v="0"/>
    <x v="3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2"/>
  </r>
  <r>
    <n v="0"/>
    <n v="0"/>
    <n v="0"/>
    <n v="0"/>
    <n v="0"/>
    <n v="0"/>
    <x v="3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2"/>
  </r>
  <r>
    <n v="0"/>
    <n v="0"/>
    <n v="0"/>
    <n v="0"/>
    <n v="0"/>
    <n v="0"/>
    <x v="3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2"/>
  </r>
  <r>
    <n v="0"/>
    <n v="0"/>
    <n v="0"/>
    <n v="0"/>
    <n v="0"/>
    <n v="0"/>
    <x v="3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2"/>
  </r>
  <r>
    <n v="0"/>
    <n v="0"/>
    <n v="0"/>
    <n v="0"/>
    <n v="0"/>
    <n v="0"/>
    <x v="3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2"/>
  </r>
  <r>
    <n v="0"/>
    <n v="0"/>
    <n v="0"/>
    <n v="0"/>
    <n v="0"/>
    <n v="0"/>
    <x v="3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2"/>
  </r>
  <r>
    <n v="0"/>
    <n v="0"/>
    <n v="0"/>
    <n v="0"/>
    <n v="0"/>
    <n v="0"/>
    <x v="3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2"/>
  </r>
  <r>
    <n v="0"/>
    <n v="0"/>
    <n v="0"/>
    <n v="0"/>
    <n v="0"/>
    <n v="0"/>
    <x v="3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2"/>
  </r>
  <r>
    <n v="0"/>
    <n v="0"/>
    <n v="0"/>
    <n v="0"/>
    <n v="0"/>
    <n v="0"/>
    <x v="3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2"/>
  </r>
  <r>
    <n v="0"/>
    <n v="0"/>
    <n v="0"/>
    <n v="0"/>
    <n v="0"/>
    <n v="0"/>
    <x v="3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2"/>
  </r>
  <r>
    <n v="0"/>
    <n v="0"/>
    <n v="0"/>
    <n v="0"/>
    <n v="0"/>
    <n v="0"/>
    <x v="3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2"/>
  </r>
  <r>
    <n v="0"/>
    <n v="0"/>
    <n v="0"/>
    <n v="0"/>
    <n v="0"/>
    <n v="0"/>
    <x v="3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2"/>
  </r>
  <r>
    <n v="0"/>
    <n v="0"/>
    <n v="0"/>
    <n v="0"/>
    <n v="0"/>
    <n v="0"/>
    <x v="3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2"/>
  </r>
  <r>
    <n v="0"/>
    <n v="0"/>
    <n v="0"/>
    <n v="0"/>
    <n v="0"/>
    <n v="0"/>
    <x v="3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2"/>
  </r>
  <r>
    <n v="0"/>
    <n v="0"/>
    <n v="0"/>
    <n v="0"/>
    <n v="0"/>
    <n v="0"/>
    <x v="3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2"/>
  </r>
  <r>
    <n v="0"/>
    <n v="0"/>
    <n v="0"/>
    <n v="0"/>
    <n v="0"/>
    <n v="0"/>
    <x v="3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2"/>
  </r>
  <r>
    <n v="0"/>
    <n v="0"/>
    <n v="0"/>
    <n v="0"/>
    <n v="0"/>
    <n v="0"/>
    <x v="3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2"/>
  </r>
  <r>
    <n v="0"/>
    <n v="0"/>
    <n v="0"/>
    <n v="0"/>
    <n v="0"/>
    <n v="0"/>
    <x v="3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2"/>
  </r>
  <r>
    <n v="0"/>
    <n v="0"/>
    <n v="0"/>
    <n v="0"/>
    <n v="0"/>
    <n v="0"/>
    <x v="3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2"/>
  </r>
  <r>
    <n v="0"/>
    <n v="0"/>
    <n v="0"/>
    <n v="0"/>
    <n v="0"/>
    <n v="0"/>
    <x v="3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2"/>
  </r>
  <r>
    <n v="0"/>
    <n v="0"/>
    <n v="0"/>
    <n v="0"/>
    <n v="0"/>
    <n v="0"/>
    <x v="3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2"/>
  </r>
  <r>
    <n v="0"/>
    <n v="0"/>
    <n v="0"/>
    <n v="0"/>
    <n v="0"/>
    <n v="0"/>
    <x v="3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2"/>
  </r>
  <r>
    <n v="0"/>
    <n v="0"/>
    <n v="0"/>
    <n v="0"/>
    <n v="0"/>
    <n v="0"/>
    <x v="3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2"/>
  </r>
  <r>
    <n v="0"/>
    <n v="0"/>
    <n v="0"/>
    <n v="0"/>
    <n v="0"/>
    <n v="0"/>
    <x v="3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2"/>
  </r>
  <r>
    <n v="0"/>
    <n v="0"/>
    <n v="0"/>
    <n v="0"/>
    <n v="0"/>
    <n v="0"/>
    <x v="3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2"/>
  </r>
  <r>
    <n v="0"/>
    <n v="0"/>
    <n v="0"/>
    <n v="0"/>
    <n v="0"/>
    <n v="0"/>
    <x v="3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2"/>
  </r>
  <r>
    <n v="0"/>
    <n v="0"/>
    <n v="0"/>
    <n v="0"/>
    <n v="0"/>
    <n v="0"/>
    <x v="3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2"/>
  </r>
  <r>
    <n v="0"/>
    <n v="0"/>
    <n v="0"/>
    <n v="0"/>
    <n v="0"/>
    <n v="0"/>
    <x v="3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2"/>
  </r>
  <r>
    <n v="0"/>
    <n v="0"/>
    <n v="0"/>
    <n v="0"/>
    <n v="0"/>
    <n v="0"/>
    <x v="3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2"/>
  </r>
  <r>
    <n v="0"/>
    <n v="0"/>
    <n v="0"/>
    <n v="0"/>
    <n v="0"/>
    <n v="0"/>
    <x v="3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2"/>
  </r>
  <r>
    <n v="0"/>
    <n v="0"/>
    <n v="0"/>
    <n v="0"/>
    <n v="0"/>
    <n v="0"/>
    <x v="3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2"/>
  </r>
  <r>
    <n v="0"/>
    <n v="0"/>
    <n v="0"/>
    <n v="0"/>
    <n v="0"/>
    <n v="0"/>
    <x v="3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2"/>
  </r>
  <r>
    <n v="0"/>
    <n v="0"/>
    <n v="0"/>
    <n v="0"/>
    <n v="0"/>
    <n v="0"/>
    <x v="3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2"/>
  </r>
  <r>
    <n v="0"/>
    <n v="0"/>
    <n v="0"/>
    <n v="0"/>
    <n v="0"/>
    <n v="0"/>
    <x v="3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2"/>
  </r>
  <r>
    <n v="0"/>
    <n v="0"/>
    <n v="0"/>
    <n v="0"/>
    <n v="0"/>
    <n v="0"/>
    <x v="3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2"/>
  </r>
  <r>
    <n v="0"/>
    <n v="0"/>
    <n v="0"/>
    <n v="0"/>
    <n v="0"/>
    <n v="0"/>
    <x v="3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2"/>
  </r>
  <r>
    <n v="0"/>
    <n v="0"/>
    <n v="0"/>
    <n v="0"/>
    <n v="0"/>
    <n v="0"/>
    <x v="3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2"/>
  </r>
  <r>
    <n v="0"/>
    <n v="0"/>
    <n v="0"/>
    <n v="0"/>
    <n v="0"/>
    <n v="0"/>
    <x v="3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2"/>
  </r>
  <r>
    <n v="0"/>
    <n v="0"/>
    <n v="0"/>
    <n v="0"/>
    <n v="0"/>
    <n v="0"/>
    <x v="3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2"/>
  </r>
  <r>
    <n v="0"/>
    <n v="0"/>
    <n v="0"/>
    <n v="0"/>
    <n v="0"/>
    <n v="0"/>
    <x v="3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2"/>
  </r>
  <r>
    <n v="0"/>
    <n v="0"/>
    <n v="0"/>
    <n v="0"/>
    <n v="0"/>
    <n v="0"/>
    <x v="3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2"/>
  </r>
  <r>
    <n v="0"/>
    <n v="0"/>
    <n v="0"/>
    <n v="0"/>
    <n v="0"/>
    <n v="0"/>
    <x v="3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2"/>
  </r>
  <r>
    <n v="0"/>
    <n v="0"/>
    <n v="0"/>
    <n v="0"/>
    <n v="0"/>
    <n v="0"/>
    <x v="3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2"/>
  </r>
  <r>
    <n v="0"/>
    <n v="0"/>
    <n v="0"/>
    <n v="0"/>
    <n v="0"/>
    <n v="0"/>
    <x v="3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2"/>
  </r>
  <r>
    <n v="0"/>
    <n v="0"/>
    <n v="0"/>
    <n v="0"/>
    <n v="0"/>
    <n v="0"/>
    <x v="3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2"/>
  </r>
  <r>
    <n v="0"/>
    <n v="0"/>
    <n v="0"/>
    <n v="0"/>
    <n v="0"/>
    <n v="0"/>
    <x v="3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2"/>
  </r>
  <r>
    <n v="0"/>
    <n v="0"/>
    <n v="0"/>
    <n v="0"/>
    <n v="0"/>
    <n v="0"/>
    <x v="3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2"/>
  </r>
  <r>
    <n v="0"/>
    <n v="0"/>
    <n v="0"/>
    <n v="0"/>
    <n v="0"/>
    <n v="0"/>
    <x v="3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2"/>
  </r>
  <r>
    <n v="0"/>
    <n v="0"/>
    <n v="0"/>
    <n v="0"/>
    <n v="0"/>
    <n v="0"/>
    <x v="3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2"/>
  </r>
  <r>
    <n v="0"/>
    <n v="0"/>
    <n v="0"/>
    <n v="0"/>
    <n v="0"/>
    <n v="0"/>
    <x v="3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2"/>
  </r>
  <r>
    <n v="0"/>
    <n v="0"/>
    <n v="0"/>
    <n v="0"/>
    <n v="0"/>
    <n v="0"/>
    <x v="3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2"/>
  </r>
  <r>
    <n v="0"/>
    <n v="0"/>
    <n v="0"/>
    <n v="0"/>
    <n v="0"/>
    <n v="0"/>
    <x v="3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2"/>
  </r>
  <r>
    <n v="0"/>
    <n v="0"/>
    <n v="0"/>
    <n v="0"/>
    <n v="0"/>
    <n v="0"/>
    <x v="3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2"/>
  </r>
  <r>
    <n v="0"/>
    <n v="0"/>
    <n v="0"/>
    <n v="0"/>
    <n v="0"/>
    <n v="0"/>
    <x v="3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2"/>
  </r>
  <r>
    <n v="0"/>
    <n v="0"/>
    <n v="0"/>
    <n v="0"/>
    <n v="0"/>
    <n v="0"/>
    <x v="3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2"/>
  </r>
  <r>
    <n v="0"/>
    <n v="0"/>
    <n v="0"/>
    <n v="0"/>
    <n v="0"/>
    <n v="0"/>
    <x v="3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2"/>
  </r>
  <r>
    <n v="0"/>
    <n v="0"/>
    <n v="0"/>
    <n v="0"/>
    <n v="0"/>
    <n v="0"/>
    <x v="3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2"/>
  </r>
  <r>
    <n v="0"/>
    <n v="0"/>
    <n v="0"/>
    <n v="0"/>
    <n v="0"/>
    <n v="0"/>
    <x v="3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2"/>
  </r>
  <r>
    <n v="0"/>
    <n v="0"/>
    <n v="0"/>
    <n v="0"/>
    <n v="0"/>
    <n v="0"/>
    <x v="3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2"/>
  </r>
  <r>
    <n v="0"/>
    <n v="0"/>
    <n v="0"/>
    <n v="0"/>
    <n v="0"/>
    <n v="0"/>
    <x v="3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2"/>
  </r>
  <r>
    <n v="0"/>
    <n v="0"/>
    <n v="0"/>
    <n v="0"/>
    <n v="0"/>
    <n v="0"/>
    <x v="3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2"/>
  </r>
  <r>
    <n v="0"/>
    <n v="0"/>
    <n v="0"/>
    <n v="0"/>
    <n v="0"/>
    <n v="0"/>
    <x v="3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2"/>
  </r>
  <r>
    <n v="0"/>
    <n v="0"/>
    <n v="0"/>
    <n v="0"/>
    <n v="0"/>
    <n v="0"/>
    <x v="3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2"/>
  </r>
  <r>
    <n v="0"/>
    <n v="0"/>
    <n v="0"/>
    <n v="0"/>
    <n v="0"/>
    <n v="0"/>
    <x v="3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2"/>
  </r>
  <r>
    <n v="0"/>
    <n v="0"/>
    <n v="0"/>
    <n v="0"/>
    <n v="0"/>
    <n v="0"/>
    <x v="3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2"/>
  </r>
  <r>
    <n v="0"/>
    <n v="0"/>
    <n v="0"/>
    <n v="0"/>
    <n v="0"/>
    <n v="0"/>
    <x v="3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2"/>
  </r>
  <r>
    <n v="0"/>
    <n v="0"/>
    <n v="0"/>
    <n v="0"/>
    <n v="0"/>
    <n v="0"/>
    <x v="3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2"/>
  </r>
  <r>
    <n v="0"/>
    <n v="0"/>
    <n v="0"/>
    <n v="0"/>
    <n v="0"/>
    <n v="0"/>
    <x v="3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2"/>
  </r>
  <r>
    <n v="0"/>
    <n v="0"/>
    <n v="0"/>
    <n v="0"/>
    <n v="0"/>
    <n v="0"/>
    <x v="3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2"/>
  </r>
  <r>
    <n v="0"/>
    <n v="0"/>
    <n v="0"/>
    <n v="0"/>
    <n v="0"/>
    <n v="0"/>
    <x v="3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2"/>
  </r>
  <r>
    <n v="0"/>
    <n v="0"/>
    <n v="0"/>
    <n v="0"/>
    <n v="0"/>
    <n v="0"/>
    <x v="3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2"/>
  </r>
  <r>
    <n v="0"/>
    <n v="0"/>
    <n v="0"/>
    <n v="0"/>
    <n v="0"/>
    <n v="0"/>
    <x v="3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2"/>
  </r>
  <r>
    <n v="0"/>
    <n v="0"/>
    <n v="0"/>
    <n v="0"/>
    <n v="0"/>
    <n v="0"/>
    <x v="3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2"/>
  </r>
  <r>
    <n v="0"/>
    <n v="0"/>
    <n v="0"/>
    <n v="0"/>
    <n v="0"/>
    <n v="0"/>
    <x v="3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2"/>
  </r>
  <r>
    <n v="0"/>
    <n v="0"/>
    <n v="0"/>
    <n v="0"/>
    <n v="0"/>
    <n v="0"/>
    <x v="3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2"/>
  </r>
  <r>
    <n v="0"/>
    <n v="0"/>
    <n v="0"/>
    <n v="0"/>
    <n v="0"/>
    <n v="0"/>
    <x v="3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2"/>
  </r>
  <r>
    <n v="0"/>
    <n v="0"/>
    <n v="0"/>
    <n v="0"/>
    <n v="0"/>
    <n v="0"/>
    <x v="3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2"/>
  </r>
  <r>
    <n v="0"/>
    <n v="0"/>
    <n v="0"/>
    <n v="0"/>
    <n v="0"/>
    <n v="0"/>
    <x v="3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2"/>
  </r>
  <r>
    <n v="0"/>
    <n v="0"/>
    <n v="0"/>
    <n v="0"/>
    <n v="0"/>
    <n v="0"/>
    <x v="3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2"/>
  </r>
  <r>
    <n v="0"/>
    <n v="0"/>
    <n v="0"/>
    <n v="0"/>
    <n v="0"/>
    <n v="0"/>
    <x v="3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2"/>
  </r>
  <r>
    <n v="0"/>
    <n v="0"/>
    <n v="0"/>
    <n v="0"/>
    <n v="0"/>
    <n v="0"/>
    <x v="3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2"/>
  </r>
  <r>
    <n v="0"/>
    <n v="0"/>
    <n v="0"/>
    <n v="0"/>
    <n v="0"/>
    <n v="0"/>
    <x v="3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2"/>
  </r>
  <r>
    <n v="0"/>
    <n v="0"/>
    <n v="0"/>
    <n v="0"/>
    <n v="0"/>
    <n v="0"/>
    <x v="3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2"/>
  </r>
  <r>
    <n v="0"/>
    <n v="0"/>
    <n v="0"/>
    <n v="0"/>
    <n v="0"/>
    <n v="0"/>
    <x v="3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2"/>
  </r>
  <r>
    <n v="0"/>
    <n v="0"/>
    <n v="0"/>
    <n v="0"/>
    <n v="0"/>
    <n v="0"/>
    <x v="3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2"/>
  </r>
  <r>
    <n v="0"/>
    <n v="0"/>
    <n v="0"/>
    <n v="0"/>
    <n v="0"/>
    <n v="0"/>
    <x v="3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2"/>
  </r>
  <r>
    <n v="0"/>
    <n v="0"/>
    <n v="0"/>
    <n v="0"/>
    <n v="0"/>
    <n v="0"/>
    <x v="3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2"/>
  </r>
  <r>
    <n v="0"/>
    <n v="0"/>
    <n v="0"/>
    <n v="0"/>
    <n v="0"/>
    <n v="0"/>
    <x v="3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2"/>
  </r>
  <r>
    <n v="0"/>
    <n v="0"/>
    <n v="0"/>
    <n v="0"/>
    <n v="0"/>
    <n v="0"/>
    <x v="3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2"/>
  </r>
  <r>
    <n v="0"/>
    <n v="0"/>
    <n v="0"/>
    <n v="0"/>
    <n v="0"/>
    <n v="0"/>
    <x v="3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2"/>
  </r>
  <r>
    <n v="0"/>
    <n v="0"/>
    <n v="0"/>
    <n v="0"/>
    <n v="0"/>
    <n v="0"/>
    <x v="3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2"/>
  </r>
  <r>
    <n v="0"/>
    <n v="0"/>
    <n v="0"/>
    <n v="0"/>
    <n v="0"/>
    <n v="0"/>
    <x v="3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2"/>
  </r>
  <r>
    <n v="0"/>
    <n v="0"/>
    <n v="0"/>
    <n v="0"/>
    <n v="0"/>
    <n v="0"/>
    <x v="3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2"/>
  </r>
  <r>
    <n v="0"/>
    <n v="0"/>
    <n v="0"/>
    <n v="0"/>
    <n v="0"/>
    <n v="0"/>
    <x v="3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2"/>
  </r>
  <r>
    <n v="0"/>
    <n v="0"/>
    <n v="0"/>
    <n v="0"/>
    <n v="0"/>
    <n v="0"/>
    <x v="3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2"/>
  </r>
  <r>
    <n v="0"/>
    <n v="0"/>
    <n v="0"/>
    <n v="0"/>
    <n v="0"/>
    <n v="0"/>
    <x v="3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2"/>
  </r>
  <r>
    <n v="0"/>
    <n v="0"/>
    <n v="0"/>
    <n v="0"/>
    <n v="0"/>
    <n v="0"/>
    <x v="3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2"/>
  </r>
  <r>
    <n v="0"/>
    <n v="0"/>
    <n v="0"/>
    <n v="0"/>
    <n v="0"/>
    <n v="0"/>
    <x v="3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2"/>
  </r>
  <r>
    <n v="0"/>
    <n v="0"/>
    <n v="0"/>
    <n v="0"/>
    <n v="0"/>
    <n v="0"/>
    <x v="3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2"/>
  </r>
  <r>
    <n v="0"/>
    <n v="0"/>
    <n v="0"/>
    <n v="0"/>
    <n v="0"/>
    <n v="0"/>
    <x v="3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2"/>
  </r>
  <r>
    <n v="0"/>
    <n v="0"/>
    <n v="0"/>
    <n v="0"/>
    <n v="0"/>
    <n v="0"/>
    <x v="3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2"/>
  </r>
  <r>
    <n v="0"/>
    <n v="0"/>
    <n v="0"/>
    <n v="0"/>
    <n v="0"/>
    <n v="0"/>
    <x v="3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2"/>
  </r>
  <r>
    <n v="0"/>
    <n v="0"/>
    <n v="0"/>
    <n v="0"/>
    <n v="0"/>
    <n v="0"/>
    <x v="3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2"/>
  </r>
  <r>
    <n v="0"/>
    <n v="0"/>
    <n v="0"/>
    <n v="0"/>
    <n v="0"/>
    <n v="0"/>
    <x v="3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2"/>
  </r>
  <r>
    <n v="0"/>
    <n v="0"/>
    <n v="0"/>
    <n v="0"/>
    <n v="0"/>
    <n v="0"/>
    <x v="3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2"/>
  </r>
  <r>
    <n v="0"/>
    <n v="0"/>
    <n v="0"/>
    <n v="0"/>
    <n v="0"/>
    <n v="0"/>
    <x v="3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2"/>
  </r>
  <r>
    <n v="0"/>
    <n v="0"/>
    <n v="0"/>
    <n v="0"/>
    <n v="0"/>
    <n v="0"/>
    <x v="3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2"/>
  </r>
  <r>
    <n v="0"/>
    <n v="0"/>
    <n v="0"/>
    <n v="0"/>
    <n v="0"/>
    <n v="0"/>
    <x v="3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2"/>
  </r>
  <r>
    <n v="0"/>
    <n v="0"/>
    <n v="0"/>
    <n v="0"/>
    <n v="0"/>
    <n v="0"/>
    <x v="3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2"/>
  </r>
  <r>
    <n v="0"/>
    <n v="0"/>
    <n v="0"/>
    <n v="0"/>
    <n v="0"/>
    <n v="0"/>
    <x v="3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2"/>
  </r>
  <r>
    <n v="0"/>
    <n v="0"/>
    <n v="0"/>
    <n v="0"/>
    <n v="0"/>
    <n v="0"/>
    <x v="3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2"/>
  </r>
  <r>
    <n v="0"/>
    <n v="0"/>
    <n v="0"/>
    <n v="0"/>
    <n v="0"/>
    <n v="0"/>
    <x v="3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2"/>
  </r>
  <r>
    <n v="0"/>
    <n v="0"/>
    <n v="0"/>
    <n v="0"/>
    <n v="0"/>
    <n v="0"/>
    <x v="3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2"/>
  </r>
  <r>
    <n v="0"/>
    <n v="0"/>
    <n v="0"/>
    <n v="0"/>
    <n v="0"/>
    <n v="0"/>
    <x v="3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2"/>
  </r>
  <r>
    <n v="0"/>
    <n v="0"/>
    <n v="0"/>
    <n v="0"/>
    <n v="0"/>
    <n v="0"/>
    <x v="3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2"/>
  </r>
  <r>
    <n v="0"/>
    <n v="0"/>
    <n v="0"/>
    <n v="0"/>
    <n v="0"/>
    <n v="0"/>
    <x v="3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2"/>
  </r>
  <r>
    <n v="0"/>
    <n v="0"/>
    <n v="0"/>
    <n v="0"/>
    <n v="0"/>
    <n v="0"/>
    <x v="3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2"/>
  </r>
  <r>
    <n v="0"/>
    <n v="0"/>
    <n v="0"/>
    <n v="0"/>
    <n v="0"/>
    <n v="0"/>
    <x v="3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2"/>
  </r>
  <r>
    <n v="0"/>
    <n v="0"/>
    <n v="0"/>
    <n v="0"/>
    <n v="0"/>
    <n v="0"/>
    <x v="3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2"/>
  </r>
  <r>
    <n v="0"/>
    <n v="0"/>
    <n v="0"/>
    <n v="0"/>
    <n v="0"/>
    <n v="0"/>
    <x v="3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2"/>
  </r>
  <r>
    <n v="0"/>
    <n v="0"/>
    <n v="0"/>
    <n v="0"/>
    <n v="0"/>
    <n v="0"/>
    <x v="3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2"/>
  </r>
  <r>
    <n v="0"/>
    <n v="0"/>
    <n v="0"/>
    <n v="0"/>
    <n v="0"/>
    <n v="0"/>
    <x v="3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2"/>
  </r>
  <r>
    <n v="0"/>
    <n v="0"/>
    <n v="0"/>
    <n v="0"/>
    <n v="0"/>
    <n v="0"/>
    <x v="3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2"/>
  </r>
  <r>
    <n v="0"/>
    <n v="0"/>
    <n v="0"/>
    <n v="0"/>
    <n v="0"/>
    <n v="0"/>
    <x v="3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2"/>
  </r>
  <r>
    <n v="0"/>
    <n v="0"/>
    <n v="0"/>
    <n v="0"/>
    <n v="0"/>
    <n v="0"/>
    <x v="3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2"/>
  </r>
  <r>
    <n v="0"/>
    <n v="0"/>
    <n v="0"/>
    <n v="0"/>
    <n v="0"/>
    <n v="0"/>
    <x v="3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2"/>
  </r>
  <r>
    <n v="0"/>
    <n v="0"/>
    <n v="0"/>
    <n v="0"/>
    <n v="0"/>
    <n v="0"/>
    <x v="3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2"/>
  </r>
  <r>
    <n v="0"/>
    <n v="0"/>
    <n v="0"/>
    <n v="0"/>
    <n v="0"/>
    <n v="0"/>
    <x v="3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2"/>
  </r>
  <r>
    <n v="0"/>
    <n v="0"/>
    <n v="0"/>
    <n v="0"/>
    <n v="0"/>
    <n v="0"/>
    <x v="3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2"/>
  </r>
  <r>
    <n v="0"/>
    <n v="0"/>
    <n v="0"/>
    <n v="0"/>
    <n v="0"/>
    <n v="0"/>
    <x v="3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2"/>
  </r>
  <r>
    <n v="0"/>
    <n v="0"/>
    <n v="0"/>
    <n v="0"/>
    <n v="0"/>
    <n v="0"/>
    <x v="3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2"/>
  </r>
  <r>
    <n v="0"/>
    <n v="0"/>
    <n v="0"/>
    <n v="0"/>
    <n v="0"/>
    <n v="0"/>
    <x v="3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2"/>
  </r>
  <r>
    <n v="0"/>
    <n v="0"/>
    <n v="0"/>
    <n v="0"/>
    <n v="0"/>
    <n v="0"/>
    <x v="3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2"/>
  </r>
  <r>
    <n v="0"/>
    <n v="0"/>
    <n v="0"/>
    <n v="0"/>
    <n v="0"/>
    <n v="0"/>
    <x v="3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2"/>
  </r>
  <r>
    <n v="0"/>
    <n v="0"/>
    <n v="0"/>
    <n v="0"/>
    <n v="0"/>
    <n v="0"/>
    <x v="3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2"/>
  </r>
  <r>
    <n v="0"/>
    <n v="0"/>
    <n v="0"/>
    <n v="0"/>
    <n v="0"/>
    <n v="0"/>
    <x v="3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2"/>
  </r>
  <r>
    <n v="0"/>
    <n v="0"/>
    <n v="0"/>
    <n v="0"/>
    <n v="0"/>
    <n v="0"/>
    <x v="3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2"/>
  </r>
  <r>
    <n v="0"/>
    <n v="0"/>
    <n v="0"/>
    <n v="0"/>
    <n v="0"/>
    <n v="0"/>
    <x v="3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2"/>
  </r>
  <r>
    <n v="0"/>
    <n v="0"/>
    <n v="0"/>
    <n v="0"/>
    <n v="0"/>
    <n v="0"/>
    <x v="3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2"/>
  </r>
  <r>
    <n v="0"/>
    <n v="0"/>
    <n v="0"/>
    <n v="0"/>
    <n v="0"/>
    <n v="0"/>
    <x v="3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2"/>
  </r>
  <r>
    <n v="0"/>
    <n v="0"/>
    <n v="0"/>
    <n v="0"/>
    <n v="0"/>
    <n v="0"/>
    <x v="3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2"/>
  </r>
  <r>
    <n v="0"/>
    <n v="0"/>
    <n v="0"/>
    <n v="0"/>
    <n v="0"/>
    <n v="0"/>
    <x v="3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2"/>
  </r>
  <r>
    <n v="0"/>
    <n v="0"/>
    <n v="0"/>
    <n v="0"/>
    <n v="0"/>
    <n v="0"/>
    <x v="3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2"/>
  </r>
  <r>
    <n v="0"/>
    <n v="0"/>
    <n v="0"/>
    <n v="0"/>
    <n v="0"/>
    <n v="0"/>
    <x v="3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2"/>
  </r>
  <r>
    <n v="0"/>
    <n v="0"/>
    <n v="0"/>
    <n v="0"/>
    <n v="0"/>
    <n v="0"/>
    <x v="3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2"/>
  </r>
  <r>
    <n v="0"/>
    <n v="0"/>
    <n v="0"/>
    <n v="0"/>
    <n v="0"/>
    <n v="0"/>
    <x v="3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2"/>
  </r>
  <r>
    <n v="0"/>
    <n v="0"/>
    <n v="0"/>
    <n v="0"/>
    <n v="0"/>
    <n v="0"/>
    <x v="3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2"/>
  </r>
  <r>
    <n v="0"/>
    <n v="0"/>
    <n v="0"/>
    <n v="0"/>
    <n v="0"/>
    <n v="0"/>
    <x v="3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2"/>
  </r>
  <r>
    <n v="0"/>
    <n v="0"/>
    <n v="0"/>
    <n v="0"/>
    <n v="0"/>
    <n v="0"/>
    <x v="3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2"/>
  </r>
  <r>
    <n v="0"/>
    <n v="0"/>
    <n v="0"/>
    <n v="0"/>
    <n v="0"/>
    <n v="0"/>
    <x v="3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2"/>
  </r>
  <r>
    <n v="0"/>
    <n v="0"/>
    <n v="0"/>
    <n v="0"/>
    <n v="0"/>
    <n v="0"/>
    <x v="3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2"/>
  </r>
  <r>
    <n v="0"/>
    <n v="0"/>
    <n v="0"/>
    <n v="0"/>
    <n v="0"/>
    <n v="0"/>
    <x v="3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2"/>
  </r>
  <r>
    <n v="0"/>
    <n v="0"/>
    <n v="0"/>
    <n v="0"/>
    <n v="0"/>
    <n v="0"/>
    <x v="3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2"/>
  </r>
  <r>
    <n v="0"/>
    <n v="0"/>
    <n v="0"/>
    <n v="0"/>
    <n v="0"/>
    <n v="0"/>
    <x v="3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2"/>
  </r>
  <r>
    <n v="0"/>
    <n v="0"/>
    <n v="0"/>
    <n v="0"/>
    <n v="0"/>
    <n v="0"/>
    <x v="3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2"/>
  </r>
  <r>
    <n v="0"/>
    <n v="0"/>
    <n v="0"/>
    <n v="0"/>
    <n v="0"/>
    <n v="0"/>
    <x v="3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2"/>
  </r>
  <r>
    <n v="0"/>
    <n v="0"/>
    <n v="0"/>
    <n v="0"/>
    <n v="0"/>
    <n v="0"/>
    <x v="3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2"/>
  </r>
  <r>
    <n v="0"/>
    <n v="0"/>
    <n v="0"/>
    <n v="0"/>
    <n v="0"/>
    <n v="0"/>
    <x v="3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2"/>
  </r>
  <r>
    <n v="0"/>
    <n v="0"/>
    <n v="0"/>
    <n v="0"/>
    <n v="0"/>
    <n v="0"/>
    <x v="3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2"/>
  </r>
  <r>
    <n v="0"/>
    <n v="0"/>
    <n v="0"/>
    <n v="0"/>
    <n v="0"/>
    <n v="0"/>
    <x v="3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2"/>
  </r>
  <r>
    <n v="0"/>
    <n v="0"/>
    <n v="0"/>
    <n v="0"/>
    <n v="0"/>
    <n v="0"/>
    <x v="3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2"/>
  </r>
  <r>
    <n v="0"/>
    <n v="0"/>
    <n v="0"/>
    <n v="0"/>
    <n v="0"/>
    <n v="0"/>
    <x v="3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2"/>
  </r>
  <r>
    <n v="0"/>
    <n v="0"/>
    <n v="0"/>
    <n v="0"/>
    <n v="0"/>
    <n v="0"/>
    <x v="3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2"/>
  </r>
  <r>
    <n v="0"/>
    <n v="0"/>
    <n v="0"/>
    <n v="0"/>
    <n v="0"/>
    <n v="0"/>
    <x v="3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2"/>
  </r>
  <r>
    <n v="0"/>
    <n v="0"/>
    <n v="0"/>
    <n v="0"/>
    <n v="0"/>
    <n v="0"/>
    <x v="3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2"/>
  </r>
  <r>
    <n v="0"/>
    <n v="0"/>
    <n v="0"/>
    <n v="0"/>
    <n v="0"/>
    <n v="0"/>
    <x v="3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2"/>
  </r>
  <r>
    <n v="0"/>
    <n v="0"/>
    <n v="0"/>
    <n v="0"/>
    <n v="0"/>
    <n v="0"/>
    <x v="3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2"/>
  </r>
  <r>
    <n v="0"/>
    <n v="0"/>
    <n v="0"/>
    <n v="0"/>
    <n v="0"/>
    <n v="0"/>
    <x v="3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2"/>
  </r>
  <r>
    <n v="0"/>
    <n v="0"/>
    <n v="0"/>
    <n v="0"/>
    <n v="0"/>
    <n v="0"/>
    <x v="3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2"/>
  </r>
  <r>
    <n v="0"/>
    <n v="0"/>
    <n v="0"/>
    <n v="0"/>
    <n v="0"/>
    <n v="0"/>
    <x v="3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2"/>
  </r>
  <r>
    <n v="0"/>
    <n v="0"/>
    <n v="0"/>
    <n v="0"/>
    <n v="0"/>
    <n v="0"/>
    <x v="3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2"/>
  </r>
  <r>
    <n v="0"/>
    <n v="0"/>
    <n v="0"/>
    <n v="0"/>
    <n v="0"/>
    <n v="0"/>
    <x v="3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2"/>
  </r>
  <r>
    <n v="0"/>
    <n v="0"/>
    <n v="0"/>
    <n v="0"/>
    <n v="0"/>
    <n v="0"/>
    <x v="3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2"/>
  </r>
  <r>
    <n v="0"/>
    <n v="0"/>
    <n v="0"/>
    <n v="0"/>
    <n v="0"/>
    <n v="0"/>
    <x v="3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2"/>
  </r>
  <r>
    <n v="0"/>
    <n v="0"/>
    <n v="0"/>
    <n v="0"/>
    <n v="0"/>
    <n v="0"/>
    <x v="3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2"/>
  </r>
  <r>
    <n v="0"/>
    <n v="0"/>
    <n v="0"/>
    <n v="0"/>
    <n v="0"/>
    <n v="0"/>
    <x v="3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2"/>
  </r>
  <r>
    <n v="0"/>
    <n v="0"/>
    <n v="0"/>
    <n v="0"/>
    <n v="0"/>
    <n v="0"/>
    <x v="3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2"/>
  </r>
  <r>
    <n v="0"/>
    <n v="0"/>
    <n v="0"/>
    <n v="0"/>
    <n v="0"/>
    <n v="0"/>
    <x v="3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2"/>
  </r>
  <r>
    <n v="0"/>
    <n v="0"/>
    <n v="0"/>
    <n v="0"/>
    <n v="0"/>
    <n v="0"/>
    <x v="3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2"/>
  </r>
  <r>
    <n v="0"/>
    <n v="0"/>
    <n v="0"/>
    <n v="0"/>
    <n v="0"/>
    <n v="0"/>
    <x v="3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2"/>
  </r>
  <r>
    <n v="0"/>
    <n v="0"/>
    <n v="0"/>
    <n v="0"/>
    <n v="0"/>
    <n v="0"/>
    <x v="3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2"/>
  </r>
  <r>
    <n v="0"/>
    <n v="0"/>
    <n v="0"/>
    <n v="0"/>
    <n v="0"/>
    <n v="0"/>
    <x v="3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2"/>
  </r>
  <r>
    <n v="0"/>
    <n v="0"/>
    <n v="0"/>
    <n v="0"/>
    <n v="0"/>
    <n v="0"/>
    <x v="3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2"/>
  </r>
  <r>
    <n v="0"/>
    <n v="0"/>
    <n v="0"/>
    <n v="0"/>
    <n v="0"/>
    <n v="0"/>
    <x v="3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2"/>
  </r>
  <r>
    <n v="0"/>
    <n v="0"/>
    <n v="0"/>
    <n v="0"/>
    <n v="0"/>
    <n v="0"/>
    <x v="3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2"/>
  </r>
  <r>
    <n v="0"/>
    <n v="0"/>
    <n v="0"/>
    <n v="0"/>
    <n v="0"/>
    <n v="0"/>
    <x v="3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2"/>
  </r>
  <r>
    <n v="0"/>
    <n v="0"/>
    <n v="0"/>
    <n v="0"/>
    <n v="0"/>
    <n v="0"/>
    <x v="3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2"/>
  </r>
  <r>
    <n v="0"/>
    <n v="0"/>
    <n v="0"/>
    <n v="0"/>
    <n v="0"/>
    <n v="0"/>
    <x v="3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2"/>
  </r>
  <r>
    <n v="0"/>
    <n v="0"/>
    <n v="0"/>
    <n v="0"/>
    <n v="0"/>
    <n v="0"/>
    <x v="3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2"/>
  </r>
  <r>
    <n v="0"/>
    <n v="0"/>
    <n v="0"/>
    <n v="0"/>
    <n v="0"/>
    <n v="0"/>
    <x v="3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2"/>
  </r>
  <r>
    <n v="0"/>
    <n v="0"/>
    <n v="0"/>
    <n v="0"/>
    <n v="0"/>
    <n v="0"/>
    <x v="3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2"/>
  </r>
  <r>
    <n v="0"/>
    <n v="0"/>
    <n v="0"/>
    <n v="0"/>
    <n v="0"/>
    <n v="0"/>
    <x v="3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2"/>
  </r>
  <r>
    <n v="0"/>
    <n v="0"/>
    <n v="0"/>
    <n v="0"/>
    <n v="0"/>
    <n v="0"/>
    <x v="3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2"/>
  </r>
  <r>
    <n v="0"/>
    <n v="0"/>
    <n v="0"/>
    <n v="0"/>
    <n v="0"/>
    <n v="0"/>
    <x v="3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2"/>
  </r>
  <r>
    <n v="0"/>
    <n v="0"/>
    <n v="0"/>
    <n v="0"/>
    <n v="0"/>
    <n v="0"/>
    <x v="3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2"/>
  </r>
  <r>
    <n v="0"/>
    <n v="0"/>
    <n v="0"/>
    <n v="0"/>
    <n v="0"/>
    <n v="0"/>
    <x v="3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2"/>
  </r>
  <r>
    <n v="0"/>
    <n v="0"/>
    <n v="0"/>
    <n v="0"/>
    <n v="0"/>
    <n v="0"/>
    <x v="3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2"/>
  </r>
  <r>
    <n v="0"/>
    <n v="0"/>
    <n v="0"/>
    <n v="0"/>
    <n v="0"/>
    <n v="0"/>
    <x v="3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2"/>
  </r>
  <r>
    <n v="0"/>
    <n v="0"/>
    <n v="0"/>
    <n v="0"/>
    <n v="0"/>
    <n v="0"/>
    <x v="3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2"/>
  </r>
  <r>
    <n v="0"/>
    <n v="0"/>
    <n v="0"/>
    <n v="0"/>
    <n v="0"/>
    <n v="0"/>
    <x v="3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2"/>
  </r>
  <r>
    <n v="0"/>
    <n v="0"/>
    <n v="0"/>
    <n v="0"/>
    <n v="0"/>
    <n v="0"/>
    <x v="3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2"/>
  </r>
  <r>
    <n v="0"/>
    <n v="0"/>
    <n v="0"/>
    <n v="0"/>
    <n v="0"/>
    <n v="0"/>
    <x v="3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2"/>
  </r>
  <r>
    <n v="0"/>
    <n v="0"/>
    <n v="0"/>
    <n v="0"/>
    <n v="0"/>
    <n v="0"/>
    <x v="3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2"/>
  </r>
  <r>
    <n v="0"/>
    <n v="0"/>
    <n v="0"/>
    <n v="0"/>
    <n v="0"/>
    <n v="0"/>
    <x v="3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2"/>
  </r>
  <r>
    <n v="0"/>
    <n v="0"/>
    <n v="0"/>
    <n v="0"/>
    <n v="0"/>
    <n v="0"/>
    <x v="3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2"/>
  </r>
  <r>
    <n v="0"/>
    <n v="0"/>
    <n v="0"/>
    <n v="0"/>
    <n v="0"/>
    <n v="0"/>
    <x v="3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2"/>
  </r>
  <r>
    <n v="0"/>
    <n v="0"/>
    <n v="0"/>
    <n v="0"/>
    <n v="0"/>
    <n v="0"/>
    <x v="3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2"/>
  </r>
  <r>
    <n v="0"/>
    <n v="0"/>
    <n v="0"/>
    <n v="0"/>
    <n v="0"/>
    <n v="0"/>
    <x v="3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2"/>
  </r>
  <r>
    <n v="0"/>
    <n v="0"/>
    <n v="0"/>
    <n v="0"/>
    <n v="0"/>
    <n v="0"/>
    <x v="3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2"/>
  </r>
  <r>
    <n v="0"/>
    <n v="0"/>
    <n v="0"/>
    <n v="0"/>
    <n v="0"/>
    <n v="0"/>
    <x v="3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2"/>
  </r>
  <r>
    <n v="0"/>
    <n v="0"/>
    <n v="0"/>
    <n v="0"/>
    <n v="0"/>
    <n v="0"/>
    <x v="3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2"/>
  </r>
  <r>
    <n v="0"/>
    <n v="0"/>
    <n v="0"/>
    <n v="0"/>
    <n v="0"/>
    <n v="0"/>
    <x v="3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2"/>
  </r>
  <r>
    <n v="0"/>
    <n v="0"/>
    <n v="0"/>
    <n v="0"/>
    <n v="0"/>
    <n v="0"/>
    <x v="3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2"/>
  </r>
  <r>
    <n v="0"/>
    <n v="0"/>
    <n v="0"/>
    <n v="0"/>
    <n v="0"/>
    <n v="0"/>
    <x v="3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2"/>
  </r>
  <r>
    <n v="0"/>
    <n v="0"/>
    <n v="0"/>
    <n v="0"/>
    <n v="0"/>
    <n v="0"/>
    <x v="3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2"/>
  </r>
  <r>
    <n v="0"/>
    <n v="0"/>
    <n v="0"/>
    <n v="0"/>
    <n v="0"/>
    <n v="0"/>
    <x v="3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2"/>
  </r>
  <r>
    <n v="0"/>
    <n v="0"/>
    <n v="0"/>
    <n v="0"/>
    <n v="0"/>
    <n v="0"/>
    <x v="3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2"/>
  </r>
  <r>
    <n v="0"/>
    <n v="0"/>
    <n v="0"/>
    <n v="0"/>
    <n v="0"/>
    <n v="0"/>
    <x v="3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2"/>
  </r>
  <r>
    <n v="0"/>
    <n v="0"/>
    <n v="0"/>
    <n v="0"/>
    <n v="0"/>
    <n v="0"/>
    <x v="3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2"/>
  </r>
  <r>
    <n v="0"/>
    <n v="0"/>
    <n v="0"/>
    <n v="0"/>
    <n v="0"/>
    <n v="0"/>
    <x v="3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2"/>
  </r>
  <r>
    <n v="0"/>
    <n v="0"/>
    <n v="0"/>
    <n v="0"/>
    <n v="0"/>
    <n v="0"/>
    <x v="3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2"/>
  </r>
  <r>
    <n v="0"/>
    <n v="0"/>
    <n v="0"/>
    <n v="0"/>
    <n v="0"/>
    <n v="0"/>
    <x v="3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2"/>
  </r>
  <r>
    <n v="0"/>
    <n v="0"/>
    <n v="0"/>
    <n v="0"/>
    <n v="0"/>
    <n v="0"/>
    <x v="3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2"/>
  </r>
  <r>
    <n v="0"/>
    <n v="0"/>
    <n v="0"/>
    <n v="0"/>
    <n v="0"/>
    <n v="0"/>
    <x v="3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2"/>
  </r>
  <r>
    <n v="0"/>
    <n v="0"/>
    <n v="0"/>
    <n v="0"/>
    <n v="0"/>
    <n v="0"/>
    <x v="3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2"/>
  </r>
  <r>
    <n v="0"/>
    <n v="0"/>
    <n v="0"/>
    <n v="0"/>
    <n v="0"/>
    <n v="0"/>
    <x v="3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2"/>
  </r>
  <r>
    <n v="0"/>
    <n v="0"/>
    <n v="0"/>
    <n v="0"/>
    <n v="0"/>
    <n v="0"/>
    <x v="3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2"/>
  </r>
  <r>
    <n v="0"/>
    <n v="0"/>
    <n v="0"/>
    <n v="0"/>
    <n v="0"/>
    <n v="0"/>
    <x v="3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2"/>
  </r>
  <r>
    <n v="0"/>
    <n v="0"/>
    <n v="0"/>
    <n v="0"/>
    <n v="0"/>
    <n v="0"/>
    <x v="3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2"/>
  </r>
  <r>
    <n v="0"/>
    <n v="0"/>
    <n v="0"/>
    <n v="0"/>
    <n v="0"/>
    <n v="0"/>
    <x v="3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2"/>
  </r>
  <r>
    <n v="0"/>
    <n v="0"/>
    <n v="0"/>
    <n v="0"/>
    <n v="0"/>
    <n v="0"/>
    <x v="3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2"/>
  </r>
  <r>
    <n v="0"/>
    <n v="0"/>
    <n v="0"/>
    <n v="0"/>
    <n v="0"/>
    <n v="0"/>
    <x v="3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2"/>
  </r>
  <r>
    <n v="0"/>
    <n v="0"/>
    <n v="0"/>
    <n v="0"/>
    <n v="0"/>
    <n v="0"/>
    <x v="3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2"/>
  </r>
  <r>
    <n v="0"/>
    <n v="0"/>
    <n v="0"/>
    <n v="0"/>
    <n v="0"/>
    <n v="0"/>
    <x v="3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2"/>
  </r>
  <r>
    <n v="0"/>
    <n v="0"/>
    <n v="0"/>
    <n v="0"/>
    <n v="0"/>
    <n v="0"/>
    <x v="3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2"/>
  </r>
  <r>
    <n v="0"/>
    <n v="0"/>
    <n v="0"/>
    <n v="0"/>
    <n v="0"/>
    <n v="0"/>
    <x v="3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2"/>
  </r>
  <r>
    <n v="0"/>
    <n v="0"/>
    <n v="0"/>
    <n v="0"/>
    <n v="0"/>
    <n v="0"/>
    <x v="3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2"/>
  </r>
  <r>
    <n v="0"/>
    <n v="0"/>
    <n v="0"/>
    <n v="0"/>
    <n v="0"/>
    <n v="0"/>
    <x v="3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2"/>
  </r>
  <r>
    <n v="0"/>
    <n v="0"/>
    <n v="0"/>
    <n v="0"/>
    <n v="0"/>
    <n v="0"/>
    <x v="3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2"/>
  </r>
  <r>
    <n v="0"/>
    <n v="0"/>
    <n v="0"/>
    <n v="0"/>
    <n v="0"/>
    <n v="0"/>
    <x v="3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2"/>
  </r>
  <r>
    <n v="0"/>
    <n v="0"/>
    <n v="0"/>
    <n v="0"/>
    <n v="0"/>
    <n v="0"/>
    <x v="3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2"/>
  </r>
  <r>
    <n v="0"/>
    <n v="0"/>
    <n v="0"/>
    <n v="0"/>
    <n v="0"/>
    <n v="0"/>
    <x v="3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2"/>
  </r>
  <r>
    <n v="0"/>
    <n v="0"/>
    <n v="0"/>
    <n v="0"/>
    <n v="0"/>
    <n v="0"/>
    <x v="3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2"/>
  </r>
  <r>
    <n v="0"/>
    <n v="0"/>
    <n v="0"/>
    <n v="0"/>
    <n v="0"/>
    <n v="0"/>
    <x v="3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2"/>
  </r>
  <r>
    <n v="0"/>
    <n v="0"/>
    <n v="0"/>
    <n v="0"/>
    <n v="0"/>
    <n v="0"/>
    <x v="3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2"/>
  </r>
  <r>
    <n v="0"/>
    <n v="0"/>
    <n v="0"/>
    <n v="0"/>
    <n v="0"/>
    <n v="0"/>
    <x v="3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2"/>
  </r>
  <r>
    <n v="0"/>
    <n v="0"/>
    <n v="0"/>
    <n v="0"/>
    <n v="0"/>
    <n v="0"/>
    <x v="3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2"/>
  </r>
  <r>
    <n v="0"/>
    <n v="0"/>
    <n v="0"/>
    <n v="0"/>
    <n v="0"/>
    <n v="0"/>
    <x v="3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2"/>
  </r>
  <r>
    <n v="0"/>
    <n v="0"/>
    <n v="0"/>
    <n v="0"/>
    <n v="0"/>
    <n v="0"/>
    <x v="3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2"/>
  </r>
  <r>
    <n v="0"/>
    <n v="0"/>
    <n v="0"/>
    <n v="0"/>
    <n v="0"/>
    <n v="0"/>
    <x v="3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2"/>
  </r>
  <r>
    <n v="0"/>
    <n v="0"/>
    <n v="0"/>
    <n v="0"/>
    <n v="0"/>
    <n v="0"/>
    <x v="3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2"/>
  </r>
  <r>
    <n v="0"/>
    <n v="0"/>
    <n v="0"/>
    <n v="0"/>
    <n v="0"/>
    <n v="0"/>
    <x v="3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2"/>
  </r>
  <r>
    <n v="0"/>
    <n v="0"/>
    <n v="0"/>
    <n v="0"/>
    <n v="0"/>
    <n v="0"/>
    <x v="3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2"/>
  </r>
  <r>
    <n v="0"/>
    <n v="0"/>
    <n v="0"/>
    <n v="0"/>
    <n v="0"/>
    <n v="0"/>
    <x v="3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2"/>
  </r>
  <r>
    <n v="0"/>
    <n v="0"/>
    <n v="0"/>
    <n v="0"/>
    <n v="0"/>
    <n v="0"/>
    <x v="3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2"/>
  </r>
  <r>
    <n v="0"/>
    <n v="0"/>
    <n v="0"/>
    <n v="0"/>
    <n v="0"/>
    <n v="0"/>
    <x v="3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2"/>
  </r>
  <r>
    <n v="0"/>
    <n v="0"/>
    <n v="0"/>
    <n v="0"/>
    <n v="0"/>
    <n v="0"/>
    <x v="3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2"/>
  </r>
  <r>
    <n v="0"/>
    <n v="0"/>
    <n v="0"/>
    <n v="0"/>
    <n v="0"/>
    <n v="0"/>
    <x v="3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2"/>
  </r>
  <r>
    <n v="0"/>
    <n v="0"/>
    <n v="0"/>
    <n v="0"/>
    <n v="0"/>
    <n v="0"/>
    <x v="3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2"/>
  </r>
  <r>
    <n v="0"/>
    <n v="0"/>
    <n v="0"/>
    <n v="0"/>
    <n v="0"/>
    <n v="0"/>
    <x v="3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2"/>
  </r>
  <r>
    <n v="0"/>
    <n v="0"/>
    <n v="0"/>
    <n v="0"/>
    <n v="0"/>
    <n v="0"/>
    <x v="3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2"/>
  </r>
  <r>
    <n v="0"/>
    <n v="0"/>
    <n v="0"/>
    <n v="0"/>
    <n v="0"/>
    <n v="0"/>
    <x v="3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2"/>
  </r>
  <r>
    <n v="0"/>
    <n v="0"/>
    <n v="0"/>
    <n v="0"/>
    <n v="0"/>
    <n v="0"/>
    <x v="3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2"/>
  </r>
  <r>
    <n v="0"/>
    <n v="0"/>
    <n v="0"/>
    <n v="0"/>
    <n v="0"/>
    <n v="0"/>
    <x v="3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2"/>
  </r>
  <r>
    <n v="0"/>
    <n v="0"/>
    <n v="0"/>
    <n v="0"/>
    <n v="0"/>
    <n v="0"/>
    <x v="3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2"/>
  </r>
  <r>
    <n v="0"/>
    <n v="0"/>
    <n v="0"/>
    <n v="0"/>
    <n v="0"/>
    <n v="0"/>
    <x v="3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2"/>
  </r>
  <r>
    <n v="0"/>
    <n v="0"/>
    <n v="0"/>
    <n v="0"/>
    <n v="0"/>
    <n v="0"/>
    <x v="3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2"/>
  </r>
  <r>
    <n v="0"/>
    <n v="0"/>
    <n v="0"/>
    <n v="0"/>
    <n v="0"/>
    <n v="0"/>
    <x v="3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2"/>
  </r>
  <r>
    <n v="0"/>
    <n v="0"/>
    <n v="0"/>
    <n v="0"/>
    <n v="0"/>
    <n v="0"/>
    <x v="3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2"/>
  </r>
  <r>
    <n v="0"/>
    <n v="0"/>
    <n v="0"/>
    <n v="0"/>
    <n v="0"/>
    <n v="0"/>
    <x v="3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2"/>
  </r>
  <r>
    <n v="0"/>
    <n v="0"/>
    <n v="0"/>
    <n v="0"/>
    <n v="0"/>
    <n v="0"/>
    <x v="3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2"/>
  </r>
  <r>
    <n v="0"/>
    <n v="0"/>
    <n v="0"/>
    <n v="0"/>
    <n v="0"/>
    <n v="0"/>
    <x v="3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2"/>
  </r>
  <r>
    <n v="0"/>
    <n v="0"/>
    <n v="0"/>
    <n v="0"/>
    <n v="0"/>
    <n v="0"/>
    <x v="3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2"/>
  </r>
  <r>
    <n v="0"/>
    <n v="0"/>
    <n v="0"/>
    <n v="0"/>
    <n v="0"/>
    <n v="0"/>
    <x v="3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2"/>
  </r>
  <r>
    <n v="0"/>
    <n v="0"/>
    <n v="0"/>
    <n v="0"/>
    <n v="0"/>
    <n v="0"/>
    <x v="3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2"/>
  </r>
  <r>
    <n v="0"/>
    <n v="0"/>
    <n v="0"/>
    <n v="0"/>
    <n v="0"/>
    <n v="0"/>
    <x v="3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2"/>
  </r>
  <r>
    <n v="0"/>
    <n v="0"/>
    <n v="0"/>
    <n v="0"/>
    <n v="0"/>
    <n v="0"/>
    <x v="3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2"/>
  </r>
  <r>
    <n v="0"/>
    <n v="0"/>
    <n v="0"/>
    <n v="0"/>
    <n v="0"/>
    <n v="0"/>
    <x v="3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2"/>
  </r>
  <r>
    <n v="0"/>
    <n v="0"/>
    <n v="0"/>
    <n v="0"/>
    <n v="0"/>
    <n v="0"/>
    <x v="3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2"/>
  </r>
  <r>
    <n v="0"/>
    <n v="0"/>
    <n v="0"/>
    <n v="0"/>
    <n v="0"/>
    <n v="0"/>
    <x v="3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2"/>
  </r>
  <r>
    <n v="0"/>
    <n v="0"/>
    <n v="0"/>
    <n v="0"/>
    <n v="0"/>
    <n v="0"/>
    <x v="3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2"/>
  </r>
  <r>
    <n v="0"/>
    <n v="0"/>
    <n v="0"/>
    <n v="0"/>
    <n v="0"/>
    <n v="0"/>
    <x v="3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2"/>
  </r>
  <r>
    <n v="0"/>
    <n v="0"/>
    <n v="0"/>
    <n v="0"/>
    <n v="0"/>
    <n v="0"/>
    <x v="3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2"/>
  </r>
  <r>
    <n v="0"/>
    <n v="0"/>
    <n v="0"/>
    <n v="0"/>
    <n v="0"/>
    <n v="0"/>
    <x v="3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2"/>
  </r>
  <r>
    <n v="0"/>
    <n v="0"/>
    <n v="0"/>
    <n v="0"/>
    <n v="0"/>
    <n v="0"/>
    <x v="3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2"/>
  </r>
  <r>
    <n v="0"/>
    <n v="0"/>
    <n v="0"/>
    <n v="0"/>
    <n v="0"/>
    <n v="0"/>
    <x v="3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2"/>
  </r>
  <r>
    <n v="0"/>
    <n v="0"/>
    <n v="0"/>
    <n v="0"/>
    <n v="0"/>
    <n v="0"/>
    <x v="3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2"/>
  </r>
  <r>
    <n v="0"/>
    <n v="0"/>
    <n v="0"/>
    <n v="0"/>
    <n v="0"/>
    <n v="0"/>
    <x v="3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2"/>
  </r>
  <r>
    <n v="0"/>
    <n v="0"/>
    <n v="0"/>
    <n v="0"/>
    <n v="0"/>
    <n v="0"/>
    <x v="3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2"/>
  </r>
  <r>
    <n v="0"/>
    <n v="0"/>
    <n v="0"/>
    <n v="0"/>
    <n v="0"/>
    <n v="0"/>
    <x v="3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2"/>
  </r>
  <r>
    <n v="0"/>
    <n v="0"/>
    <n v="0"/>
    <n v="0"/>
    <n v="0"/>
    <n v="0"/>
    <x v="3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2"/>
  </r>
  <r>
    <n v="0"/>
    <n v="0"/>
    <n v="0"/>
    <n v="0"/>
    <n v="0"/>
    <n v="0"/>
    <x v="3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2"/>
  </r>
  <r>
    <n v="0"/>
    <n v="0"/>
    <n v="0"/>
    <n v="0"/>
    <n v="0"/>
    <n v="0"/>
    <x v="3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2"/>
  </r>
  <r>
    <n v="0"/>
    <n v="0"/>
    <n v="0"/>
    <n v="0"/>
    <n v="0"/>
    <n v="0"/>
    <x v="3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2"/>
  </r>
  <r>
    <n v="0"/>
    <n v="0"/>
    <n v="0"/>
    <n v="0"/>
    <n v="0"/>
    <n v="0"/>
    <x v="3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2"/>
  </r>
  <r>
    <n v="0"/>
    <n v="0"/>
    <n v="0"/>
    <n v="0"/>
    <n v="0"/>
    <n v="0"/>
    <x v="3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2"/>
  </r>
  <r>
    <n v="0"/>
    <n v="0"/>
    <n v="0"/>
    <n v="0"/>
    <n v="0"/>
    <n v="0"/>
    <x v="3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2"/>
  </r>
  <r>
    <n v="0"/>
    <n v="0"/>
    <n v="0"/>
    <n v="0"/>
    <n v="0"/>
    <n v="0"/>
    <x v="3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2"/>
  </r>
  <r>
    <n v="0"/>
    <n v="0"/>
    <n v="0"/>
    <n v="0"/>
    <n v="0"/>
    <n v="0"/>
    <x v="3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2"/>
  </r>
  <r>
    <n v="0"/>
    <n v="0"/>
    <n v="0"/>
    <n v="0"/>
    <n v="0"/>
    <n v="0"/>
    <x v="3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2"/>
  </r>
  <r>
    <n v="0"/>
    <n v="0"/>
    <n v="0"/>
    <n v="0"/>
    <n v="0"/>
    <n v="0"/>
    <x v="3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2"/>
  </r>
  <r>
    <n v="0"/>
    <n v="0"/>
    <n v="0"/>
    <n v="0"/>
    <n v="0"/>
    <n v="0"/>
    <x v="3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2"/>
  </r>
  <r>
    <n v="0"/>
    <n v="0"/>
    <n v="0"/>
    <n v="0"/>
    <n v="0"/>
    <n v="0"/>
    <x v="3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2"/>
  </r>
  <r>
    <n v="0"/>
    <n v="0"/>
    <n v="0"/>
    <n v="0"/>
    <n v="0"/>
    <n v="0"/>
    <x v="3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2"/>
  </r>
  <r>
    <n v="0"/>
    <n v="0"/>
    <n v="0"/>
    <n v="0"/>
    <n v="0"/>
    <n v="0"/>
    <x v="3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2"/>
  </r>
  <r>
    <n v="0"/>
    <n v="0"/>
    <n v="0"/>
    <n v="0"/>
    <n v="0"/>
    <n v="0"/>
    <x v="3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2"/>
  </r>
  <r>
    <n v="0"/>
    <n v="0"/>
    <n v="0"/>
    <n v="0"/>
    <n v="0"/>
    <n v="0"/>
    <x v="3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2"/>
  </r>
  <r>
    <n v="0"/>
    <n v="0"/>
    <n v="0"/>
    <n v="0"/>
    <n v="0"/>
    <n v="0"/>
    <x v="3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2"/>
  </r>
  <r>
    <n v="0"/>
    <n v="0"/>
    <n v="0"/>
    <n v="0"/>
    <n v="0"/>
    <n v="0"/>
    <x v="3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2"/>
  </r>
  <r>
    <n v="0"/>
    <n v="0"/>
    <n v="0"/>
    <n v="0"/>
    <n v="0"/>
    <n v="0"/>
    <x v="3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2"/>
  </r>
  <r>
    <n v="0"/>
    <n v="0"/>
    <n v="0"/>
    <n v="0"/>
    <n v="0"/>
    <n v="0"/>
    <x v="3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2"/>
  </r>
  <r>
    <n v="0"/>
    <n v="0"/>
    <n v="0"/>
    <n v="0"/>
    <n v="0"/>
    <n v="0"/>
    <x v="3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2"/>
  </r>
  <r>
    <n v="0"/>
    <n v="0"/>
    <n v="0"/>
    <n v="0"/>
    <n v="0"/>
    <n v="0"/>
    <x v="3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2"/>
  </r>
  <r>
    <n v="0"/>
    <n v="0"/>
    <n v="0"/>
    <n v="0"/>
    <n v="0"/>
    <n v="0"/>
    <x v="3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2"/>
  </r>
  <r>
    <n v="0"/>
    <n v="0"/>
    <n v="0"/>
    <n v="0"/>
    <n v="0"/>
    <n v="0"/>
    <x v="3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2"/>
  </r>
  <r>
    <n v="0"/>
    <n v="0"/>
    <n v="0"/>
    <n v="0"/>
    <n v="0"/>
    <n v="0"/>
    <x v="3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2"/>
  </r>
  <r>
    <n v="0"/>
    <n v="0"/>
    <n v="0"/>
    <n v="0"/>
    <n v="0"/>
    <n v="0"/>
    <x v="3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2"/>
  </r>
  <r>
    <n v="0"/>
    <n v="0"/>
    <n v="0"/>
    <n v="0"/>
    <n v="0"/>
    <n v="0"/>
    <x v="3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2"/>
  </r>
  <r>
    <n v="0"/>
    <n v="0"/>
    <n v="0"/>
    <n v="0"/>
    <n v="0"/>
    <n v="0"/>
    <x v="3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2"/>
  </r>
  <r>
    <n v="0"/>
    <n v="0"/>
    <n v="0"/>
    <n v="0"/>
    <n v="0"/>
    <n v="0"/>
    <x v="3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2"/>
  </r>
  <r>
    <n v="0"/>
    <n v="0"/>
    <n v="0"/>
    <n v="0"/>
    <n v="0"/>
    <n v="0"/>
    <x v="3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2"/>
  </r>
  <r>
    <n v="0"/>
    <n v="0"/>
    <n v="0"/>
    <n v="0"/>
    <n v="0"/>
    <n v="0"/>
    <x v="3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2"/>
  </r>
  <r>
    <n v="0"/>
    <n v="0"/>
    <n v="0"/>
    <n v="0"/>
    <n v="0"/>
    <n v="0"/>
    <x v="3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2"/>
  </r>
  <r>
    <n v="0"/>
    <n v="0"/>
    <n v="0"/>
    <n v="0"/>
    <n v="0"/>
    <n v="0"/>
    <x v="3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2"/>
  </r>
  <r>
    <n v="0"/>
    <n v="0"/>
    <n v="0"/>
    <n v="0"/>
    <n v="0"/>
    <n v="0"/>
    <x v="3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2"/>
  </r>
  <r>
    <n v="0"/>
    <n v="0"/>
    <n v="0"/>
    <n v="0"/>
    <n v="0"/>
    <n v="0"/>
    <x v="3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2"/>
  </r>
  <r>
    <n v="0"/>
    <n v="0"/>
    <n v="0"/>
    <n v="0"/>
    <n v="0"/>
    <n v="0"/>
    <x v="3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2"/>
  </r>
  <r>
    <n v="0"/>
    <n v="0"/>
    <n v="0"/>
    <n v="0"/>
    <n v="0"/>
    <n v="0"/>
    <x v="3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2"/>
  </r>
  <r>
    <n v="0"/>
    <n v="0"/>
    <n v="0"/>
    <n v="0"/>
    <n v="0"/>
    <n v="0"/>
    <x v="3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2"/>
  </r>
  <r>
    <n v="0"/>
    <n v="0"/>
    <n v="0"/>
    <n v="0"/>
    <n v="0"/>
    <n v="0"/>
    <x v="3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2"/>
  </r>
  <r>
    <n v="0"/>
    <n v="0"/>
    <n v="0"/>
    <n v="0"/>
    <n v="0"/>
    <n v="0"/>
    <x v="3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2"/>
  </r>
  <r>
    <n v="0"/>
    <n v="0"/>
    <n v="0"/>
    <n v="0"/>
    <n v="0"/>
    <n v="0"/>
    <x v="3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2"/>
  </r>
  <r>
    <n v="0"/>
    <n v="0"/>
    <n v="0"/>
    <n v="0"/>
    <n v="0"/>
    <n v="0"/>
    <x v="3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2"/>
  </r>
  <r>
    <n v="0"/>
    <n v="0"/>
    <n v="0"/>
    <n v="0"/>
    <n v="0"/>
    <n v="0"/>
    <x v="3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2"/>
  </r>
  <r>
    <n v="0"/>
    <n v="0"/>
    <n v="0"/>
    <n v="0"/>
    <n v="0"/>
    <n v="0"/>
    <x v="3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2"/>
  </r>
  <r>
    <n v="0"/>
    <n v="0"/>
    <n v="0"/>
    <n v="0"/>
    <n v="0"/>
    <n v="0"/>
    <x v="3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2"/>
  </r>
  <r>
    <n v="0"/>
    <n v="0"/>
    <n v="0"/>
    <n v="0"/>
    <n v="0"/>
    <n v="0"/>
    <x v="3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2"/>
  </r>
  <r>
    <n v="0"/>
    <n v="0"/>
    <n v="0"/>
    <n v="0"/>
    <n v="0"/>
    <n v="0"/>
    <x v="3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2"/>
  </r>
  <r>
    <n v="0"/>
    <n v="0"/>
    <n v="0"/>
    <n v="0"/>
    <n v="0"/>
    <n v="0"/>
    <x v="3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2"/>
  </r>
  <r>
    <n v="0"/>
    <n v="0"/>
    <n v="0"/>
    <n v="0"/>
    <n v="0"/>
    <n v="0"/>
    <x v="3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2"/>
  </r>
  <r>
    <n v="0"/>
    <n v="0"/>
    <n v="0"/>
    <n v="0"/>
    <n v="0"/>
    <n v="0"/>
    <x v="3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2"/>
  </r>
  <r>
    <n v="0"/>
    <n v="0"/>
    <n v="0"/>
    <n v="0"/>
    <n v="0"/>
    <n v="0"/>
    <x v="3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2"/>
  </r>
  <r>
    <n v="0"/>
    <n v="0"/>
    <n v="0"/>
    <n v="0"/>
    <n v="0"/>
    <n v="0"/>
    <x v="3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2"/>
  </r>
  <r>
    <n v="0"/>
    <n v="0"/>
    <n v="0"/>
    <n v="0"/>
    <n v="0"/>
    <n v="0"/>
    <x v="3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2"/>
  </r>
  <r>
    <n v="0"/>
    <n v="0"/>
    <n v="0"/>
    <n v="0"/>
    <n v="0"/>
    <n v="0"/>
    <x v="3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2"/>
  </r>
  <r>
    <n v="0"/>
    <n v="0"/>
    <n v="0"/>
    <n v="0"/>
    <n v="0"/>
    <n v="0"/>
    <x v="3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2"/>
  </r>
  <r>
    <n v="0"/>
    <n v="0"/>
    <n v="0"/>
    <n v="0"/>
    <n v="0"/>
    <n v="0"/>
    <x v="3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2"/>
  </r>
  <r>
    <n v="0"/>
    <n v="0"/>
    <n v="0"/>
    <n v="0"/>
    <n v="0"/>
    <n v="0"/>
    <x v="3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2"/>
  </r>
  <r>
    <n v="0"/>
    <n v="0"/>
    <n v="0"/>
    <n v="0"/>
    <n v="0"/>
    <n v="0"/>
    <x v="3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2"/>
  </r>
  <r>
    <n v="0"/>
    <n v="0"/>
    <n v="0"/>
    <n v="0"/>
    <n v="0"/>
    <n v="0"/>
    <x v="3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2"/>
  </r>
  <r>
    <n v="0"/>
    <n v="0"/>
    <n v="0"/>
    <n v="0"/>
    <n v="0"/>
    <n v="0"/>
    <x v="3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2"/>
  </r>
  <r>
    <n v="0"/>
    <n v="0"/>
    <n v="0"/>
    <n v="0"/>
    <n v="0"/>
    <n v="0"/>
    <x v="3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2"/>
  </r>
  <r>
    <n v="0"/>
    <n v="0"/>
    <n v="0"/>
    <n v="0"/>
    <n v="0"/>
    <n v="0"/>
    <x v="3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2"/>
  </r>
  <r>
    <n v="0"/>
    <n v="0"/>
    <n v="0"/>
    <n v="0"/>
    <n v="0"/>
    <n v="0"/>
    <x v="3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2"/>
  </r>
  <r>
    <n v="0"/>
    <n v="0"/>
    <n v="0"/>
    <n v="0"/>
    <n v="0"/>
    <n v="0"/>
    <x v="3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2"/>
  </r>
  <r>
    <n v="0"/>
    <n v="0"/>
    <n v="0"/>
    <n v="0"/>
    <n v="0"/>
    <n v="0"/>
    <x v="3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2"/>
  </r>
  <r>
    <n v="0"/>
    <n v="0"/>
    <n v="0"/>
    <n v="0"/>
    <n v="0"/>
    <n v="0"/>
    <x v="3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2"/>
  </r>
  <r>
    <n v="0"/>
    <n v="0"/>
    <n v="0"/>
    <n v="0"/>
    <n v="0"/>
    <n v="0"/>
    <x v="3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2"/>
  </r>
  <r>
    <n v="0"/>
    <n v="0"/>
    <n v="0"/>
    <n v="0"/>
    <n v="0"/>
    <n v="0"/>
    <x v="3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2"/>
  </r>
  <r>
    <n v="0"/>
    <n v="0"/>
    <n v="0"/>
    <n v="0"/>
    <n v="0"/>
    <n v="0"/>
    <x v="3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2"/>
  </r>
  <r>
    <n v="0"/>
    <n v="0"/>
    <n v="0"/>
    <n v="0"/>
    <n v="0"/>
    <n v="0"/>
    <x v="3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2"/>
  </r>
  <r>
    <n v="0"/>
    <n v="0"/>
    <n v="0"/>
    <n v="0"/>
    <n v="0"/>
    <n v="0"/>
    <x v="3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2"/>
  </r>
  <r>
    <n v="0"/>
    <n v="0"/>
    <n v="0"/>
    <n v="0"/>
    <n v="0"/>
    <n v="0"/>
    <x v="3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2"/>
  </r>
  <r>
    <n v="0"/>
    <n v="0"/>
    <n v="0"/>
    <n v="0"/>
    <n v="0"/>
    <n v="0"/>
    <x v="3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2"/>
  </r>
  <r>
    <n v="0"/>
    <n v="0"/>
    <n v="0"/>
    <n v="0"/>
    <n v="0"/>
    <n v="0"/>
    <x v="3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2"/>
  </r>
  <r>
    <n v="0"/>
    <n v="0"/>
    <n v="0"/>
    <n v="0"/>
    <n v="0"/>
    <n v="0"/>
    <x v="3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2"/>
  </r>
  <r>
    <n v="0"/>
    <n v="0"/>
    <n v="0"/>
    <n v="0"/>
    <n v="0"/>
    <n v="0"/>
    <x v="3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2"/>
  </r>
  <r>
    <n v="0"/>
    <n v="0"/>
    <n v="0"/>
    <n v="0"/>
    <n v="0"/>
    <n v="0"/>
    <x v="3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2"/>
  </r>
  <r>
    <n v="0"/>
    <n v="0"/>
    <n v="0"/>
    <n v="0"/>
    <n v="0"/>
    <n v="0"/>
    <x v="3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2"/>
  </r>
  <r>
    <n v="0"/>
    <n v="0"/>
    <n v="0"/>
    <n v="0"/>
    <n v="0"/>
    <n v="0"/>
    <x v="3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2"/>
  </r>
  <r>
    <n v="0"/>
    <n v="0"/>
    <n v="0"/>
    <n v="0"/>
    <n v="0"/>
    <n v="0"/>
    <x v="3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2"/>
  </r>
  <r>
    <n v="0"/>
    <n v="0"/>
    <n v="0"/>
    <n v="0"/>
    <n v="0"/>
    <n v="0"/>
    <x v="3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2"/>
  </r>
  <r>
    <n v="0"/>
    <n v="0"/>
    <n v="0"/>
    <n v="0"/>
    <n v="0"/>
    <n v="0"/>
    <x v="3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2"/>
  </r>
  <r>
    <n v="0"/>
    <n v="0"/>
    <n v="0"/>
    <n v="0"/>
    <n v="0"/>
    <n v="0"/>
    <x v="3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2"/>
  </r>
  <r>
    <n v="0"/>
    <n v="0"/>
    <n v="0"/>
    <n v="0"/>
    <n v="0"/>
    <n v="0"/>
    <x v="3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2"/>
  </r>
  <r>
    <n v="0"/>
    <n v="0"/>
    <n v="0"/>
    <n v="0"/>
    <n v="0"/>
    <n v="0"/>
    <x v="3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2"/>
  </r>
  <r>
    <n v="0"/>
    <n v="0"/>
    <n v="0"/>
    <n v="0"/>
    <n v="0"/>
    <n v="0"/>
    <x v="3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2"/>
  </r>
  <r>
    <n v="0"/>
    <n v="0"/>
    <n v="0"/>
    <n v="0"/>
    <n v="0"/>
    <n v="0"/>
    <x v="3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2"/>
  </r>
  <r>
    <n v="0"/>
    <n v="0"/>
    <n v="0"/>
    <n v="0"/>
    <n v="0"/>
    <n v="0"/>
    <x v="3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2"/>
  </r>
  <r>
    <n v="0"/>
    <n v="0"/>
    <n v="0"/>
    <n v="0"/>
    <n v="0"/>
    <n v="0"/>
    <x v="3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2"/>
  </r>
  <r>
    <n v="0"/>
    <n v="0"/>
    <n v="0"/>
    <n v="0"/>
    <n v="0"/>
    <n v="0"/>
    <x v="3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2"/>
  </r>
  <r>
    <n v="0"/>
    <n v="0"/>
    <n v="0"/>
    <n v="0"/>
    <n v="0"/>
    <n v="0"/>
    <x v="3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2"/>
  </r>
  <r>
    <n v="0"/>
    <n v="0"/>
    <n v="0"/>
    <n v="0"/>
    <n v="0"/>
    <n v="0"/>
    <x v="3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2"/>
  </r>
  <r>
    <n v="0"/>
    <n v="0"/>
    <n v="0"/>
    <n v="0"/>
    <n v="0"/>
    <n v="0"/>
    <x v="3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2"/>
  </r>
  <r>
    <n v="0"/>
    <n v="0"/>
    <n v="0"/>
    <n v="0"/>
    <n v="0"/>
    <n v="0"/>
    <x v="3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2"/>
  </r>
  <r>
    <n v="0"/>
    <n v="0"/>
    <n v="0"/>
    <n v="0"/>
    <n v="0"/>
    <n v="0"/>
    <x v="3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2"/>
  </r>
  <r>
    <n v="0"/>
    <n v="0"/>
    <n v="0"/>
    <n v="0"/>
    <n v="0"/>
    <n v="0"/>
    <x v="3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2"/>
  </r>
  <r>
    <n v="0"/>
    <n v="0"/>
    <n v="0"/>
    <n v="0"/>
    <n v="0"/>
    <n v="0"/>
    <x v="3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2"/>
  </r>
  <r>
    <n v="0"/>
    <n v="0"/>
    <n v="0"/>
    <n v="0"/>
    <n v="0"/>
    <n v="0"/>
    <x v="3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2"/>
  </r>
  <r>
    <n v="0"/>
    <n v="0"/>
    <n v="0"/>
    <n v="0"/>
    <n v="0"/>
    <n v="0"/>
    <x v="3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2"/>
  </r>
  <r>
    <n v="0"/>
    <n v="0"/>
    <n v="0"/>
    <n v="0"/>
    <n v="0"/>
    <n v="0"/>
    <x v="3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2"/>
  </r>
  <r>
    <n v="0"/>
    <n v="0"/>
    <n v="0"/>
    <n v="0"/>
    <n v="0"/>
    <n v="0"/>
    <x v="3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2"/>
  </r>
  <r>
    <n v="0"/>
    <n v="0"/>
    <n v="0"/>
    <n v="0"/>
    <n v="0"/>
    <n v="0"/>
    <x v="3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2"/>
  </r>
  <r>
    <n v="0"/>
    <n v="0"/>
    <n v="0"/>
    <n v="0"/>
    <n v="0"/>
    <n v="0"/>
    <x v="3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2"/>
  </r>
  <r>
    <n v="0"/>
    <n v="0"/>
    <n v="0"/>
    <n v="0"/>
    <n v="0"/>
    <n v="0"/>
    <x v="3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2"/>
  </r>
  <r>
    <n v="0"/>
    <n v="0"/>
    <n v="0"/>
    <n v="0"/>
    <n v="0"/>
    <n v="0"/>
    <x v="3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2"/>
  </r>
  <r>
    <n v="0"/>
    <n v="0"/>
    <n v="0"/>
    <n v="0"/>
    <n v="0"/>
    <n v="0"/>
    <x v="3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2"/>
  </r>
  <r>
    <n v="0"/>
    <n v="0"/>
    <n v="0"/>
    <n v="0"/>
    <n v="0"/>
    <n v="0"/>
    <x v="3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2"/>
  </r>
  <r>
    <n v="0"/>
    <n v="0"/>
    <n v="0"/>
    <n v="0"/>
    <n v="0"/>
    <n v="0"/>
    <x v="3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2"/>
  </r>
  <r>
    <n v="0"/>
    <n v="0"/>
    <n v="0"/>
    <n v="0"/>
    <n v="0"/>
    <n v="0"/>
    <x v="3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2"/>
  </r>
  <r>
    <n v="0"/>
    <n v="0"/>
    <n v="0"/>
    <n v="0"/>
    <n v="0"/>
    <n v="0"/>
    <x v="3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2"/>
  </r>
  <r>
    <n v="0"/>
    <n v="0"/>
    <n v="0"/>
    <n v="0"/>
    <n v="0"/>
    <n v="0"/>
    <x v="3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2"/>
  </r>
  <r>
    <n v="0"/>
    <n v="0"/>
    <n v="0"/>
    <n v="0"/>
    <n v="0"/>
    <n v="0"/>
    <x v="3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2"/>
  </r>
  <r>
    <n v="0"/>
    <n v="0"/>
    <n v="0"/>
    <n v="0"/>
    <n v="0"/>
    <n v="0"/>
    <x v="3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2"/>
  </r>
  <r>
    <n v="0"/>
    <n v="0"/>
    <n v="0"/>
    <n v="0"/>
    <n v="0"/>
    <n v="0"/>
    <x v="3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2"/>
  </r>
  <r>
    <n v="0"/>
    <n v="0"/>
    <n v="0"/>
    <n v="0"/>
    <n v="0"/>
    <n v="0"/>
    <x v="3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2"/>
  </r>
  <r>
    <n v="0"/>
    <n v="0"/>
    <n v="0"/>
    <n v="0"/>
    <n v="0"/>
    <n v="0"/>
    <x v="3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2"/>
  </r>
  <r>
    <n v="0"/>
    <n v="0"/>
    <n v="0"/>
    <n v="0"/>
    <n v="0"/>
    <n v="0"/>
    <x v="3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2"/>
  </r>
  <r>
    <n v="0"/>
    <n v="0"/>
    <n v="0"/>
    <n v="0"/>
    <n v="0"/>
    <n v="0"/>
    <x v="3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2"/>
  </r>
  <r>
    <n v="0"/>
    <n v="0"/>
    <n v="0"/>
    <n v="0"/>
    <n v="0"/>
    <n v="0"/>
    <x v="3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2"/>
  </r>
  <r>
    <n v="0"/>
    <n v="0"/>
    <n v="0"/>
    <n v="0"/>
    <n v="0"/>
    <n v="0"/>
    <x v="3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2"/>
  </r>
  <r>
    <n v="0"/>
    <n v="0"/>
    <n v="0"/>
    <n v="0"/>
    <n v="0"/>
    <n v="0"/>
    <x v="3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2"/>
  </r>
  <r>
    <n v="0"/>
    <n v="0"/>
    <n v="0"/>
    <n v="0"/>
    <n v="0"/>
    <n v="0"/>
    <x v="3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2"/>
  </r>
  <r>
    <n v="0"/>
    <n v="0"/>
    <n v="0"/>
    <n v="0"/>
    <n v="0"/>
    <n v="0"/>
    <x v="3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2"/>
  </r>
  <r>
    <n v="0"/>
    <n v="0"/>
    <n v="0"/>
    <n v="0"/>
    <n v="0"/>
    <n v="0"/>
    <x v="3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2"/>
  </r>
  <r>
    <n v="0"/>
    <n v="0"/>
    <n v="0"/>
    <n v="0"/>
    <n v="0"/>
    <n v="0"/>
    <x v="3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2"/>
  </r>
  <r>
    <n v="0"/>
    <n v="0"/>
    <n v="0"/>
    <n v="0"/>
    <n v="0"/>
    <n v="0"/>
    <x v="3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2"/>
  </r>
  <r>
    <n v="0"/>
    <n v="0"/>
    <n v="0"/>
    <n v="0"/>
    <n v="0"/>
    <n v="0"/>
    <x v="3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2"/>
  </r>
  <r>
    <n v="0"/>
    <n v="0"/>
    <n v="0"/>
    <n v="0"/>
    <n v="0"/>
    <n v="0"/>
    <x v="3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2"/>
  </r>
  <r>
    <n v="0"/>
    <n v="0"/>
    <n v="0"/>
    <n v="0"/>
    <n v="0"/>
    <n v="0"/>
    <x v="3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2"/>
  </r>
  <r>
    <n v="0"/>
    <n v="0"/>
    <n v="0"/>
    <n v="0"/>
    <n v="0"/>
    <n v="0"/>
    <x v="3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2"/>
  </r>
  <r>
    <n v="0"/>
    <n v="0"/>
    <n v="0"/>
    <n v="0"/>
    <n v="0"/>
    <n v="0"/>
    <x v="3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2"/>
  </r>
  <r>
    <n v="0"/>
    <n v="0"/>
    <n v="0"/>
    <n v="0"/>
    <n v="0"/>
    <n v="0"/>
    <x v="3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2"/>
  </r>
  <r>
    <n v="0"/>
    <n v="0"/>
    <n v="0"/>
    <n v="0"/>
    <n v="0"/>
    <n v="0"/>
    <x v="3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2"/>
  </r>
  <r>
    <n v="0"/>
    <n v="0"/>
    <n v="0"/>
    <n v="0"/>
    <n v="0"/>
    <n v="0"/>
    <x v="3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2"/>
  </r>
  <r>
    <n v="0"/>
    <n v="0"/>
    <n v="0"/>
    <n v="0"/>
    <n v="0"/>
    <n v="0"/>
    <x v="3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2"/>
  </r>
  <r>
    <n v="0"/>
    <n v="0"/>
    <n v="0"/>
    <n v="0"/>
    <n v="0"/>
    <n v="0"/>
    <x v="3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2"/>
  </r>
  <r>
    <n v="0"/>
    <n v="0"/>
    <n v="0"/>
    <n v="0"/>
    <n v="0"/>
    <n v="0"/>
    <x v="3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2"/>
  </r>
  <r>
    <n v="0"/>
    <n v="0"/>
    <n v="0"/>
    <n v="0"/>
    <n v="0"/>
    <n v="0"/>
    <x v="3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2"/>
  </r>
  <r>
    <n v="0"/>
    <n v="0"/>
    <n v="0"/>
    <n v="0"/>
    <n v="0"/>
    <n v="0"/>
    <x v="3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2"/>
  </r>
  <r>
    <n v="0"/>
    <n v="0"/>
    <n v="0"/>
    <n v="0"/>
    <n v="0"/>
    <n v="0"/>
    <x v="3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2"/>
  </r>
  <r>
    <n v="0"/>
    <n v="0"/>
    <n v="0"/>
    <n v="0"/>
    <n v="0"/>
    <n v="0"/>
    <x v="3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2"/>
  </r>
  <r>
    <n v="0"/>
    <n v="0"/>
    <n v="0"/>
    <n v="0"/>
    <n v="0"/>
    <n v="0"/>
    <x v="3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2"/>
  </r>
  <r>
    <n v="0"/>
    <n v="0"/>
    <n v="0"/>
    <n v="0"/>
    <n v="0"/>
    <n v="0"/>
    <x v="3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2"/>
  </r>
  <r>
    <n v="0"/>
    <n v="0"/>
    <n v="0"/>
    <n v="0"/>
    <n v="0"/>
    <n v="0"/>
    <x v="3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2"/>
  </r>
  <r>
    <n v="0"/>
    <n v="0"/>
    <n v="0"/>
    <n v="0"/>
    <n v="0"/>
    <n v="0"/>
    <x v="3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2"/>
  </r>
  <r>
    <n v="0"/>
    <n v="0"/>
    <n v="0"/>
    <n v="0"/>
    <n v="0"/>
    <n v="0"/>
    <x v="3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2"/>
  </r>
  <r>
    <n v="0"/>
    <n v="0"/>
    <n v="0"/>
    <n v="0"/>
    <n v="0"/>
    <n v="0"/>
    <x v="3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2"/>
  </r>
  <r>
    <n v="0"/>
    <n v="0"/>
    <n v="0"/>
    <n v="0"/>
    <n v="0"/>
    <n v="0"/>
    <x v="3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2"/>
  </r>
  <r>
    <n v="0"/>
    <n v="0"/>
    <n v="0"/>
    <n v="0"/>
    <n v="0"/>
    <n v="0"/>
    <x v="3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2"/>
  </r>
  <r>
    <n v="0"/>
    <n v="0"/>
    <n v="0"/>
    <n v="0"/>
    <n v="0"/>
    <n v="0"/>
    <x v="3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2"/>
  </r>
  <r>
    <n v="0"/>
    <n v="0"/>
    <n v="0"/>
    <n v="0"/>
    <n v="0"/>
    <n v="0"/>
    <x v="3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2"/>
  </r>
  <r>
    <n v="0"/>
    <n v="0"/>
    <n v="0"/>
    <n v="0"/>
    <n v="0"/>
    <n v="0"/>
    <x v="3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2"/>
  </r>
  <r>
    <n v="0"/>
    <n v="0"/>
    <n v="0"/>
    <n v="0"/>
    <n v="0"/>
    <n v="0"/>
    <x v="3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2"/>
  </r>
  <r>
    <n v="0"/>
    <n v="0"/>
    <n v="0"/>
    <n v="0"/>
    <n v="0"/>
    <n v="0"/>
    <x v="3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2"/>
  </r>
  <r>
    <n v="0"/>
    <n v="0"/>
    <n v="0"/>
    <n v="0"/>
    <n v="0"/>
    <n v="0"/>
    <x v="3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2"/>
  </r>
  <r>
    <n v="0"/>
    <n v="0"/>
    <n v="0"/>
    <n v="0"/>
    <n v="0"/>
    <n v="0"/>
    <x v="3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2"/>
  </r>
  <r>
    <n v="0"/>
    <n v="0"/>
    <n v="0"/>
    <n v="0"/>
    <n v="0"/>
    <n v="0"/>
    <x v="3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2"/>
  </r>
  <r>
    <n v="0"/>
    <n v="0"/>
    <n v="0"/>
    <n v="0"/>
    <n v="0"/>
    <n v="0"/>
    <x v="3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2"/>
  </r>
  <r>
    <n v="0"/>
    <n v="0"/>
    <n v="0"/>
    <n v="0"/>
    <n v="0"/>
    <n v="0"/>
    <x v="3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2"/>
  </r>
  <r>
    <n v="0"/>
    <n v="0"/>
    <n v="0"/>
    <n v="0"/>
    <n v="0"/>
    <n v="0"/>
    <x v="3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2"/>
  </r>
  <r>
    <n v="0"/>
    <n v="0"/>
    <n v="0"/>
    <n v="0"/>
    <n v="0"/>
    <n v="0"/>
    <x v="3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2"/>
  </r>
  <r>
    <n v="0"/>
    <n v="0"/>
    <n v="0"/>
    <n v="0"/>
    <n v="0"/>
    <n v="0"/>
    <x v="3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2"/>
  </r>
  <r>
    <n v="0"/>
    <n v="0"/>
    <n v="0"/>
    <n v="0"/>
    <n v="0"/>
    <n v="0"/>
    <x v="3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2"/>
  </r>
  <r>
    <n v="0"/>
    <n v="0"/>
    <n v="0"/>
    <n v="0"/>
    <n v="0"/>
    <n v="0"/>
    <x v="3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2"/>
  </r>
  <r>
    <n v="0"/>
    <n v="0"/>
    <n v="0"/>
    <n v="0"/>
    <n v="0"/>
    <n v="0"/>
    <x v="3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2"/>
  </r>
  <r>
    <n v="0"/>
    <n v="0"/>
    <n v="0"/>
    <n v="0"/>
    <n v="0"/>
    <n v="0"/>
    <x v="3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2"/>
  </r>
  <r>
    <n v="0"/>
    <n v="0"/>
    <n v="0"/>
    <n v="0"/>
    <n v="0"/>
    <n v="0"/>
    <x v="3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2"/>
  </r>
  <r>
    <n v="0"/>
    <n v="0"/>
    <n v="0"/>
    <n v="0"/>
    <n v="0"/>
    <n v="0"/>
    <x v="3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2"/>
  </r>
  <r>
    <n v="0"/>
    <n v="0"/>
    <n v="0"/>
    <n v="0"/>
    <n v="0"/>
    <n v="0"/>
    <x v="3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2"/>
  </r>
  <r>
    <n v="0"/>
    <n v="0"/>
    <n v="0"/>
    <n v="0"/>
    <n v="0"/>
    <n v="0"/>
    <x v="3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2"/>
  </r>
  <r>
    <n v="0"/>
    <n v="0"/>
    <n v="0"/>
    <n v="0"/>
    <n v="0"/>
    <n v="0"/>
    <x v="3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2"/>
  </r>
  <r>
    <n v="0"/>
    <n v="0"/>
    <n v="0"/>
    <n v="0"/>
    <n v="0"/>
    <n v="0"/>
    <x v="3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2"/>
  </r>
  <r>
    <n v="0"/>
    <n v="0"/>
    <n v="0"/>
    <n v="0"/>
    <n v="0"/>
    <n v="0"/>
    <x v="3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2"/>
  </r>
  <r>
    <n v="0"/>
    <n v="0"/>
    <n v="0"/>
    <n v="0"/>
    <n v="0"/>
    <n v="0"/>
    <x v="3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2"/>
  </r>
  <r>
    <n v="0"/>
    <n v="0"/>
    <n v="0"/>
    <n v="0"/>
    <n v="0"/>
    <n v="0"/>
    <x v="3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2"/>
  </r>
  <r>
    <n v="0"/>
    <n v="0"/>
    <n v="0"/>
    <n v="0"/>
    <n v="0"/>
    <n v="0"/>
    <x v="3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2"/>
  </r>
  <r>
    <n v="0"/>
    <n v="0"/>
    <n v="0"/>
    <n v="0"/>
    <n v="0"/>
    <n v="0"/>
    <x v="3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2"/>
  </r>
  <r>
    <n v="0"/>
    <n v="0"/>
    <n v="0"/>
    <n v="0"/>
    <n v="0"/>
    <n v="0"/>
    <x v="3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2"/>
  </r>
  <r>
    <n v="0"/>
    <n v="0"/>
    <n v="0"/>
    <n v="0"/>
    <n v="0"/>
    <n v="0"/>
    <x v="3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2"/>
  </r>
  <r>
    <n v="0"/>
    <n v="0"/>
    <n v="0"/>
    <n v="0"/>
    <n v="0"/>
    <n v="0"/>
    <x v="3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2"/>
  </r>
  <r>
    <n v="0"/>
    <n v="0"/>
    <n v="0"/>
    <n v="0"/>
    <n v="0"/>
    <n v="0"/>
    <x v="3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2"/>
  </r>
  <r>
    <n v="0"/>
    <n v="0"/>
    <n v="0"/>
    <n v="0"/>
    <n v="0"/>
    <n v="0"/>
    <x v="3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2"/>
  </r>
  <r>
    <n v="0"/>
    <n v="0"/>
    <n v="0"/>
    <n v="0"/>
    <n v="0"/>
    <n v="0"/>
    <x v="3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2"/>
  </r>
  <r>
    <n v="0"/>
    <n v="0"/>
    <n v="0"/>
    <n v="0"/>
    <n v="0"/>
    <n v="0"/>
    <x v="3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2"/>
  </r>
  <r>
    <n v="0"/>
    <n v="0"/>
    <n v="0"/>
    <n v="0"/>
    <n v="0"/>
    <n v="0"/>
    <x v="3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2"/>
  </r>
  <r>
    <n v="0"/>
    <n v="0"/>
    <n v="0"/>
    <n v="0"/>
    <n v="0"/>
    <n v="0"/>
    <x v="3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2"/>
  </r>
  <r>
    <n v="0"/>
    <n v="0"/>
    <n v="0"/>
    <n v="0"/>
    <n v="0"/>
    <n v="0"/>
    <x v="3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2"/>
  </r>
  <r>
    <n v="0"/>
    <n v="0"/>
    <n v="0"/>
    <n v="0"/>
    <n v="0"/>
    <n v="0"/>
    <x v="3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2"/>
  </r>
  <r>
    <n v="0"/>
    <n v="0"/>
    <n v="0"/>
    <n v="0"/>
    <n v="0"/>
    <n v="0"/>
    <x v="3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2"/>
  </r>
  <r>
    <n v="0"/>
    <n v="0"/>
    <n v="0"/>
    <n v="0"/>
    <n v="0"/>
    <n v="0"/>
    <x v="3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2"/>
  </r>
  <r>
    <n v="0"/>
    <n v="0"/>
    <n v="0"/>
    <n v="0"/>
    <n v="0"/>
    <n v="0"/>
    <x v="3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2"/>
  </r>
  <r>
    <n v="0"/>
    <n v="0"/>
    <n v="0"/>
    <n v="0"/>
    <n v="0"/>
    <n v="0"/>
    <x v="3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2"/>
  </r>
  <r>
    <n v="0"/>
    <n v="0"/>
    <n v="0"/>
    <n v="0"/>
    <n v="0"/>
    <n v="0"/>
    <x v="3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2"/>
  </r>
  <r>
    <n v="0"/>
    <n v="0"/>
    <n v="0"/>
    <n v="0"/>
    <n v="0"/>
    <n v="0"/>
    <x v="3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2"/>
  </r>
  <r>
    <n v="0"/>
    <n v="0"/>
    <n v="0"/>
    <n v="0"/>
    <n v="0"/>
    <n v="0"/>
    <x v="3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2"/>
  </r>
  <r>
    <n v="0"/>
    <n v="0"/>
    <n v="0"/>
    <n v="0"/>
    <n v="0"/>
    <n v="0"/>
    <x v="3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2"/>
  </r>
  <r>
    <n v="0"/>
    <n v="0"/>
    <n v="0"/>
    <n v="0"/>
    <n v="0"/>
    <n v="0"/>
    <x v="3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2"/>
  </r>
  <r>
    <n v="0"/>
    <n v="0"/>
    <n v="0"/>
    <n v="0"/>
    <n v="0"/>
    <n v="0"/>
    <x v="3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2"/>
  </r>
  <r>
    <n v="0"/>
    <n v="0"/>
    <n v="0"/>
    <n v="0"/>
    <n v="0"/>
    <n v="0"/>
    <x v="3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2"/>
  </r>
  <r>
    <n v="0"/>
    <n v="0"/>
    <n v="0"/>
    <n v="0"/>
    <n v="0"/>
    <n v="0"/>
    <x v="3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2"/>
  </r>
  <r>
    <n v="0"/>
    <n v="0"/>
    <n v="0"/>
    <n v="0"/>
    <n v="0"/>
    <n v="0"/>
    <x v="3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2"/>
  </r>
  <r>
    <n v="0"/>
    <n v="0"/>
    <n v="0"/>
    <n v="0"/>
    <n v="0"/>
    <n v="0"/>
    <x v="3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2"/>
  </r>
  <r>
    <n v="0"/>
    <n v="0"/>
    <n v="0"/>
    <n v="0"/>
    <n v="0"/>
    <n v="0"/>
    <x v="3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2"/>
  </r>
  <r>
    <n v="0"/>
    <n v="0"/>
    <n v="0"/>
    <n v="0"/>
    <n v="0"/>
    <n v="0"/>
    <x v="3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2"/>
  </r>
  <r>
    <n v="0"/>
    <n v="0"/>
    <n v="0"/>
    <n v="0"/>
    <n v="0"/>
    <n v="0"/>
    <x v="3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2"/>
  </r>
  <r>
    <n v="0"/>
    <n v="0"/>
    <n v="0"/>
    <n v="0"/>
    <n v="0"/>
    <n v="0"/>
    <x v="3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2"/>
  </r>
  <r>
    <n v="0"/>
    <n v="0"/>
    <n v="0"/>
    <n v="0"/>
    <n v="0"/>
    <n v="0"/>
    <x v="3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2"/>
  </r>
  <r>
    <n v="0"/>
    <n v="0"/>
    <n v="0"/>
    <n v="0"/>
    <n v="0"/>
    <n v="0"/>
    <x v="3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2"/>
  </r>
  <r>
    <n v="0"/>
    <n v="0"/>
    <n v="0"/>
    <n v="0"/>
    <n v="0"/>
    <n v="0"/>
    <x v="3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2"/>
  </r>
  <r>
    <n v="0"/>
    <n v="0"/>
    <n v="0"/>
    <n v="0"/>
    <n v="0"/>
    <n v="0"/>
    <x v="3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2"/>
  </r>
  <r>
    <n v="0"/>
    <n v="0"/>
    <n v="0"/>
    <n v="0"/>
    <n v="0"/>
    <n v="0"/>
    <x v="3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2"/>
  </r>
  <r>
    <n v="0"/>
    <n v="0"/>
    <n v="0"/>
    <n v="0"/>
    <n v="0"/>
    <n v="0"/>
    <x v="3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2"/>
  </r>
  <r>
    <n v="0"/>
    <n v="0"/>
    <n v="0"/>
    <n v="0"/>
    <n v="0"/>
    <n v="0"/>
    <x v="3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2"/>
  </r>
  <r>
    <n v="0"/>
    <n v="0"/>
    <n v="0"/>
    <n v="0"/>
    <n v="0"/>
    <n v="0"/>
    <x v="3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2"/>
  </r>
  <r>
    <n v="0"/>
    <n v="0"/>
    <n v="0"/>
    <n v="0"/>
    <n v="0"/>
    <n v="0"/>
    <x v="3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2"/>
  </r>
  <r>
    <n v="0"/>
    <n v="0"/>
    <n v="0"/>
    <n v="0"/>
    <n v="0"/>
    <n v="0"/>
    <x v="3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2"/>
  </r>
  <r>
    <n v="0"/>
    <n v="0"/>
    <n v="0"/>
    <n v="0"/>
    <n v="0"/>
    <n v="0"/>
    <x v="3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2"/>
  </r>
  <r>
    <n v="0"/>
    <n v="0"/>
    <n v="0"/>
    <n v="0"/>
    <n v="0"/>
    <n v="0"/>
    <x v="3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2"/>
  </r>
  <r>
    <n v="0"/>
    <n v="0"/>
    <n v="0"/>
    <n v="0"/>
    <n v="0"/>
    <n v="0"/>
    <x v="3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2"/>
  </r>
  <r>
    <n v="0"/>
    <n v="0"/>
    <n v="0"/>
    <n v="0"/>
    <n v="0"/>
    <n v="0"/>
    <x v="3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2"/>
  </r>
  <r>
    <n v="0"/>
    <n v="0"/>
    <n v="0"/>
    <n v="0"/>
    <n v="0"/>
    <n v="0"/>
    <x v="3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2"/>
  </r>
  <r>
    <n v="0"/>
    <n v="0"/>
    <n v="0"/>
    <n v="0"/>
    <n v="0"/>
    <n v="0"/>
    <x v="3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2"/>
  </r>
  <r>
    <n v="0"/>
    <n v="0"/>
    <n v="0"/>
    <n v="0"/>
    <n v="0"/>
    <n v="0"/>
    <x v="3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2"/>
  </r>
  <r>
    <n v="0"/>
    <n v="0"/>
    <n v="0"/>
    <n v="0"/>
    <n v="0"/>
    <n v="0"/>
    <x v="3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2"/>
  </r>
  <r>
    <n v="0"/>
    <n v="0"/>
    <n v="0"/>
    <n v="0"/>
    <n v="0"/>
    <n v="0"/>
    <x v="3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2"/>
  </r>
  <r>
    <n v="0"/>
    <n v="0"/>
    <n v="0"/>
    <n v="0"/>
    <n v="0"/>
    <n v="0"/>
    <x v="3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2"/>
  </r>
  <r>
    <n v="0"/>
    <n v="0"/>
    <n v="0"/>
    <n v="0"/>
    <n v="0"/>
    <n v="0"/>
    <x v="3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2"/>
  </r>
  <r>
    <n v="0"/>
    <n v="0"/>
    <n v="0"/>
    <n v="0"/>
    <n v="0"/>
    <n v="0"/>
    <x v="3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2"/>
  </r>
  <r>
    <n v="0"/>
    <n v="0"/>
    <n v="0"/>
    <n v="0"/>
    <n v="0"/>
    <n v="0"/>
    <x v="3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2"/>
  </r>
  <r>
    <n v="0"/>
    <n v="0"/>
    <n v="0"/>
    <n v="0"/>
    <n v="0"/>
    <n v="0"/>
    <x v="3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2"/>
  </r>
  <r>
    <n v="0"/>
    <n v="0"/>
    <n v="0"/>
    <n v="0"/>
    <n v="0"/>
    <n v="0"/>
    <x v="3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2"/>
  </r>
  <r>
    <n v="0"/>
    <n v="0"/>
    <n v="0"/>
    <n v="0"/>
    <n v="0"/>
    <n v="0"/>
    <x v="3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2"/>
  </r>
  <r>
    <n v="0"/>
    <n v="0"/>
    <n v="0"/>
    <n v="0"/>
    <n v="0"/>
    <n v="0"/>
    <x v="3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2"/>
  </r>
  <r>
    <n v="0"/>
    <n v="0"/>
    <n v="0"/>
    <n v="0"/>
    <n v="0"/>
    <n v="0"/>
    <x v="3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2"/>
  </r>
  <r>
    <n v="0"/>
    <n v="0"/>
    <n v="0"/>
    <n v="0"/>
    <n v="0"/>
    <n v="0"/>
    <x v="3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2"/>
  </r>
  <r>
    <n v="0"/>
    <n v="0"/>
    <n v="0"/>
    <n v="0"/>
    <n v="0"/>
    <n v="0"/>
    <x v="3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2"/>
  </r>
  <r>
    <n v="0"/>
    <n v="0"/>
    <n v="0"/>
    <n v="0"/>
    <n v="0"/>
    <n v="0"/>
    <x v="3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2"/>
  </r>
  <r>
    <n v="0"/>
    <n v="0"/>
    <n v="0"/>
    <n v="0"/>
    <n v="0"/>
    <n v="0"/>
    <x v="3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2"/>
  </r>
  <r>
    <n v="0"/>
    <n v="0"/>
    <n v="0"/>
    <n v="0"/>
    <n v="0"/>
    <n v="0"/>
    <x v="3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2"/>
  </r>
  <r>
    <n v="0"/>
    <n v="0"/>
    <n v="0"/>
    <n v="0"/>
    <n v="0"/>
    <n v="0"/>
    <x v="3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2"/>
  </r>
  <r>
    <n v="0"/>
    <n v="0"/>
    <n v="0"/>
    <n v="0"/>
    <n v="0"/>
    <n v="0"/>
    <x v="3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2"/>
  </r>
  <r>
    <n v="0"/>
    <n v="0"/>
    <n v="0"/>
    <n v="0"/>
    <n v="0"/>
    <n v="0"/>
    <x v="3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2"/>
  </r>
  <r>
    <n v="0"/>
    <n v="0"/>
    <n v="0"/>
    <n v="0"/>
    <n v="0"/>
    <n v="0"/>
    <x v="3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2"/>
  </r>
  <r>
    <n v="0"/>
    <n v="0"/>
    <n v="0"/>
    <n v="0"/>
    <n v="0"/>
    <n v="0"/>
    <x v="3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2"/>
  </r>
  <r>
    <n v="0"/>
    <n v="0"/>
    <n v="0"/>
    <n v="0"/>
    <n v="0"/>
    <n v="0"/>
    <x v="3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2"/>
  </r>
  <r>
    <n v="0"/>
    <n v="0"/>
    <n v="0"/>
    <n v="0"/>
    <n v="0"/>
    <n v="0"/>
    <x v="3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2"/>
  </r>
  <r>
    <n v="0"/>
    <n v="0"/>
    <n v="0"/>
    <n v="0"/>
    <n v="0"/>
    <n v="0"/>
    <x v="3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2"/>
  </r>
  <r>
    <n v="0"/>
    <n v="0"/>
    <n v="0"/>
    <n v="0"/>
    <n v="0"/>
    <n v="0"/>
    <x v="3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2"/>
  </r>
  <r>
    <n v="0"/>
    <n v="0"/>
    <n v="0"/>
    <n v="0"/>
    <n v="0"/>
    <n v="0"/>
    <x v="3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2"/>
  </r>
  <r>
    <n v="0"/>
    <n v="0"/>
    <n v="0"/>
    <n v="0"/>
    <n v="0"/>
    <n v="0"/>
    <x v="3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2"/>
  </r>
  <r>
    <n v="0"/>
    <n v="0"/>
    <n v="0"/>
    <n v="0"/>
    <n v="0"/>
    <n v="0"/>
    <x v="3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2"/>
  </r>
  <r>
    <n v="0"/>
    <n v="0"/>
    <n v="0"/>
    <n v="0"/>
    <n v="0"/>
    <n v="0"/>
    <x v="3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2"/>
  </r>
  <r>
    <n v="0"/>
    <n v="0"/>
    <n v="0"/>
    <n v="0"/>
    <n v="0"/>
    <n v="0"/>
    <x v="3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2"/>
  </r>
  <r>
    <n v="0"/>
    <n v="0"/>
    <n v="0"/>
    <n v="0"/>
    <n v="0"/>
    <n v="0"/>
    <x v="3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2"/>
  </r>
  <r>
    <n v="0"/>
    <n v="0"/>
    <n v="0"/>
    <n v="0"/>
    <n v="0"/>
    <n v="0"/>
    <x v="3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2"/>
  </r>
  <r>
    <n v="0"/>
    <n v="0"/>
    <n v="0"/>
    <n v="0"/>
    <n v="0"/>
    <n v="0"/>
    <x v="3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2"/>
  </r>
  <r>
    <n v="0"/>
    <n v="0"/>
    <n v="0"/>
    <n v="0"/>
    <n v="0"/>
    <n v="0"/>
    <x v="3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2"/>
  </r>
  <r>
    <n v="0"/>
    <n v="0"/>
    <n v="0"/>
    <n v="0"/>
    <n v="0"/>
    <n v="0"/>
    <x v="3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2"/>
  </r>
  <r>
    <n v="0"/>
    <n v="0"/>
    <n v="0"/>
    <n v="0"/>
    <n v="0"/>
    <n v="0"/>
    <x v="3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2"/>
  </r>
  <r>
    <n v="0"/>
    <n v="0"/>
    <n v="0"/>
    <n v="0"/>
    <n v="0"/>
    <n v="0"/>
    <x v="3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2"/>
  </r>
  <r>
    <n v="0"/>
    <n v="0"/>
    <n v="0"/>
    <n v="0"/>
    <n v="0"/>
    <n v="0"/>
    <x v="3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2"/>
  </r>
  <r>
    <n v="0"/>
    <n v="0"/>
    <n v="0"/>
    <n v="0"/>
    <n v="0"/>
    <n v="0"/>
    <x v="3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2"/>
  </r>
  <r>
    <n v="0"/>
    <n v="0"/>
    <n v="0"/>
    <n v="0"/>
    <n v="0"/>
    <n v="0"/>
    <x v="3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2"/>
  </r>
  <r>
    <n v="0"/>
    <n v="0"/>
    <n v="0"/>
    <n v="0"/>
    <n v="0"/>
    <n v="0"/>
    <x v="3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2"/>
  </r>
  <r>
    <n v="0"/>
    <n v="0"/>
    <n v="0"/>
    <n v="0"/>
    <n v="0"/>
    <n v="0"/>
    <x v="3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2"/>
  </r>
  <r>
    <n v="0"/>
    <n v="0"/>
    <n v="0"/>
    <n v="0"/>
    <n v="0"/>
    <n v="0"/>
    <x v="3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2"/>
  </r>
  <r>
    <n v="0"/>
    <n v="0"/>
    <n v="0"/>
    <n v="0"/>
    <n v="0"/>
    <n v="0"/>
    <x v="3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2"/>
  </r>
  <r>
    <n v="0"/>
    <n v="0"/>
    <n v="0"/>
    <n v="0"/>
    <n v="0"/>
    <n v="0"/>
    <x v="3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2"/>
  </r>
  <r>
    <n v="0"/>
    <n v="0"/>
    <n v="0"/>
    <n v="0"/>
    <n v="0"/>
    <n v="0"/>
    <x v="3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2"/>
  </r>
  <r>
    <n v="0"/>
    <n v="0"/>
    <n v="0"/>
    <n v="0"/>
    <n v="0"/>
    <n v="0"/>
    <x v="3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2"/>
  </r>
  <r>
    <n v="0"/>
    <n v="0"/>
    <n v="0"/>
    <n v="0"/>
    <n v="0"/>
    <n v="0"/>
    <x v="3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2"/>
  </r>
  <r>
    <n v="0"/>
    <n v="0"/>
    <n v="0"/>
    <n v="0"/>
    <n v="0"/>
    <n v="0"/>
    <x v="3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2"/>
  </r>
  <r>
    <n v="0"/>
    <n v="0"/>
    <n v="0"/>
    <n v="0"/>
    <n v="0"/>
    <n v="0"/>
    <x v="3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2"/>
  </r>
  <r>
    <n v="0"/>
    <n v="0"/>
    <n v="0"/>
    <n v="0"/>
    <n v="0"/>
    <n v="0"/>
    <x v="3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2"/>
  </r>
  <r>
    <n v="0"/>
    <n v="0"/>
    <n v="0"/>
    <n v="0"/>
    <n v="0"/>
    <n v="0"/>
    <x v="3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2"/>
  </r>
  <r>
    <n v="0"/>
    <n v="0"/>
    <n v="0"/>
    <n v="0"/>
    <n v="0"/>
    <n v="0"/>
    <x v="3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2"/>
  </r>
  <r>
    <n v="0"/>
    <n v="0"/>
    <n v="0"/>
    <n v="0"/>
    <n v="0"/>
    <n v="0"/>
    <x v="3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2"/>
  </r>
  <r>
    <n v="0"/>
    <n v="0"/>
    <n v="0"/>
    <n v="0"/>
    <n v="0"/>
    <n v="0"/>
    <x v="3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2"/>
  </r>
  <r>
    <n v="0"/>
    <n v="0"/>
    <n v="0"/>
    <n v="0"/>
    <n v="0"/>
    <n v="0"/>
    <x v="3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2"/>
  </r>
  <r>
    <n v="0"/>
    <n v="0"/>
    <n v="0"/>
    <n v="0"/>
    <n v="0"/>
    <n v="0"/>
    <x v="3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2"/>
  </r>
  <r>
    <n v="0"/>
    <n v="0"/>
    <n v="0"/>
    <n v="0"/>
    <n v="0"/>
    <n v="0"/>
    <x v="3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2"/>
  </r>
  <r>
    <n v="0"/>
    <n v="0"/>
    <n v="0"/>
    <n v="0"/>
    <n v="0"/>
    <n v="0"/>
    <x v="3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2"/>
  </r>
  <r>
    <n v="0"/>
    <n v="0"/>
    <n v="0"/>
    <n v="0"/>
    <n v="0"/>
    <n v="0"/>
    <x v="3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2"/>
  </r>
  <r>
    <n v="0"/>
    <n v="0"/>
    <n v="0"/>
    <n v="0"/>
    <n v="0"/>
    <n v="0"/>
    <x v="3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2"/>
  </r>
  <r>
    <n v="0"/>
    <n v="0"/>
    <n v="0"/>
    <n v="0"/>
    <n v="0"/>
    <n v="0"/>
    <x v="3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2"/>
  </r>
  <r>
    <n v="0"/>
    <n v="0"/>
    <n v="0"/>
    <n v="0"/>
    <n v="0"/>
    <n v="0"/>
    <x v="3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2"/>
  </r>
  <r>
    <n v="0"/>
    <n v="0"/>
    <n v="0"/>
    <n v="0"/>
    <n v="0"/>
    <n v="0"/>
    <x v="3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2"/>
  </r>
  <r>
    <n v="0"/>
    <n v="0"/>
    <n v="0"/>
    <n v="0"/>
    <n v="0"/>
    <n v="0"/>
    <x v="3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2"/>
  </r>
  <r>
    <n v="0"/>
    <n v="0"/>
    <n v="0"/>
    <n v="0"/>
    <n v="0"/>
    <n v="0"/>
    <x v="3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2"/>
  </r>
  <r>
    <n v="0"/>
    <n v="0"/>
    <n v="0"/>
    <n v="0"/>
    <n v="0"/>
    <n v="0"/>
    <x v="3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2"/>
  </r>
  <r>
    <n v="0"/>
    <n v="0"/>
    <n v="0"/>
    <n v="0"/>
    <n v="0"/>
    <n v="0"/>
    <x v="3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2"/>
  </r>
  <r>
    <n v="0"/>
    <n v="0"/>
    <n v="0"/>
    <n v="0"/>
    <n v="0"/>
    <n v="0"/>
    <x v="3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2"/>
  </r>
  <r>
    <n v="0"/>
    <n v="0"/>
    <n v="0"/>
    <n v="0"/>
    <n v="0"/>
    <n v="0"/>
    <x v="3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2"/>
  </r>
  <r>
    <n v="0"/>
    <n v="0"/>
    <n v="0"/>
    <n v="0"/>
    <n v="0"/>
    <n v="0"/>
    <x v="3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2"/>
  </r>
  <r>
    <n v="0"/>
    <n v="0"/>
    <n v="0"/>
    <n v="0"/>
    <n v="0"/>
    <n v="0"/>
    <x v="3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2"/>
  </r>
  <r>
    <n v="0"/>
    <n v="0"/>
    <n v="0"/>
    <n v="0"/>
    <n v="0"/>
    <n v="0"/>
    <x v="3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2"/>
  </r>
  <r>
    <n v="0"/>
    <n v="0"/>
    <n v="0"/>
    <n v="0"/>
    <n v="0"/>
    <n v="0"/>
    <x v="3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2"/>
  </r>
  <r>
    <n v="0"/>
    <n v="0"/>
    <n v="0"/>
    <n v="0"/>
    <n v="0"/>
    <n v="0"/>
    <x v="3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2"/>
  </r>
  <r>
    <n v="0"/>
    <n v="0"/>
    <n v="0"/>
    <n v="0"/>
    <n v="0"/>
    <n v="0"/>
    <x v="3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2"/>
  </r>
  <r>
    <n v="0"/>
    <n v="0"/>
    <n v="0"/>
    <n v="0"/>
    <n v="0"/>
    <n v="0"/>
    <x v="3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2"/>
  </r>
  <r>
    <n v="0"/>
    <n v="0"/>
    <n v="0"/>
    <n v="0"/>
    <n v="0"/>
    <n v="0"/>
    <x v="3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2"/>
  </r>
  <r>
    <n v="0"/>
    <n v="0"/>
    <n v="0"/>
    <n v="0"/>
    <n v="0"/>
    <n v="0"/>
    <x v="3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2"/>
  </r>
  <r>
    <n v="0"/>
    <n v="0"/>
    <n v="0"/>
    <n v="0"/>
    <n v="0"/>
    <n v="0"/>
    <x v="3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2"/>
  </r>
  <r>
    <n v="0"/>
    <n v="0"/>
    <n v="0"/>
    <n v="0"/>
    <n v="0"/>
    <n v="0"/>
    <x v="3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2"/>
  </r>
  <r>
    <n v="0"/>
    <n v="0"/>
    <n v="0"/>
    <n v="0"/>
    <n v="0"/>
    <n v="0"/>
    <x v="3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2"/>
  </r>
  <r>
    <n v="0"/>
    <n v="0"/>
    <n v="0"/>
    <n v="0"/>
    <n v="0"/>
    <n v="0"/>
    <x v="3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2"/>
  </r>
  <r>
    <n v="0"/>
    <n v="0"/>
    <n v="0"/>
    <n v="0"/>
    <n v="0"/>
    <n v="0"/>
    <x v="3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2"/>
  </r>
  <r>
    <n v="0"/>
    <n v="0"/>
    <n v="0"/>
    <n v="0"/>
    <n v="0"/>
    <n v="0"/>
    <x v="3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2"/>
  </r>
  <r>
    <n v="0"/>
    <n v="0"/>
    <n v="0"/>
    <n v="0"/>
    <n v="0"/>
    <n v="0"/>
    <x v="3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2"/>
  </r>
  <r>
    <n v="0"/>
    <n v="0"/>
    <n v="0"/>
    <n v="0"/>
    <n v="0"/>
    <n v="0"/>
    <x v="3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2"/>
  </r>
  <r>
    <n v="0"/>
    <n v="0"/>
    <n v="0"/>
    <n v="0"/>
    <n v="0"/>
    <n v="0"/>
    <x v="3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2"/>
  </r>
  <r>
    <n v="0"/>
    <n v="0"/>
    <n v="0"/>
    <n v="0"/>
    <n v="0"/>
    <n v="0"/>
    <x v="3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2"/>
  </r>
  <r>
    <n v="0"/>
    <n v="0"/>
    <n v="0"/>
    <n v="0"/>
    <n v="0"/>
    <n v="0"/>
    <x v="3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2"/>
  </r>
  <r>
    <n v="0"/>
    <n v="0"/>
    <n v="0"/>
    <n v="0"/>
    <n v="0"/>
    <n v="0"/>
    <x v="3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2"/>
  </r>
  <r>
    <n v="0"/>
    <n v="0"/>
    <n v="0"/>
    <n v="0"/>
    <n v="0"/>
    <n v="0"/>
    <x v="3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2"/>
  </r>
  <r>
    <n v="0"/>
    <n v="0"/>
    <n v="0"/>
    <n v="0"/>
    <n v="0"/>
    <n v="0"/>
    <x v="3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2"/>
  </r>
  <r>
    <n v="0"/>
    <n v="0"/>
    <n v="0"/>
    <n v="0"/>
    <n v="0"/>
    <n v="0"/>
    <x v="3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2"/>
  </r>
  <r>
    <n v="0"/>
    <n v="0"/>
    <n v="0"/>
    <n v="0"/>
    <n v="0"/>
    <n v="0"/>
    <x v="3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2"/>
  </r>
  <r>
    <n v="0"/>
    <n v="0"/>
    <n v="0"/>
    <n v="0"/>
    <n v="0"/>
    <n v="0"/>
    <x v="3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2"/>
  </r>
  <r>
    <n v="0"/>
    <n v="0"/>
    <n v="0"/>
    <n v="0"/>
    <n v="0"/>
    <n v="0"/>
    <x v="3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2"/>
  </r>
  <r>
    <n v="0"/>
    <n v="0"/>
    <n v="0"/>
    <n v="0"/>
    <n v="0"/>
    <n v="0"/>
    <x v="3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2"/>
  </r>
  <r>
    <n v="0"/>
    <n v="0"/>
    <n v="0"/>
    <n v="0"/>
    <n v="0"/>
    <n v="0"/>
    <x v="3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2"/>
  </r>
  <r>
    <n v="0"/>
    <n v="0"/>
    <n v="0"/>
    <n v="0"/>
    <n v="0"/>
    <n v="0"/>
    <x v="3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2"/>
  </r>
  <r>
    <n v="0"/>
    <n v="0"/>
    <n v="0"/>
    <n v="0"/>
    <n v="0"/>
    <n v="0"/>
    <x v="3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2"/>
  </r>
  <r>
    <n v="0"/>
    <n v="0"/>
    <n v="0"/>
    <n v="0"/>
    <n v="0"/>
    <n v="0"/>
    <x v="3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2"/>
  </r>
  <r>
    <n v="0"/>
    <n v="0"/>
    <n v="0"/>
    <n v="0"/>
    <n v="0"/>
    <n v="0"/>
    <x v="3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2"/>
  </r>
  <r>
    <n v="0"/>
    <n v="0"/>
    <n v="0"/>
    <n v="0"/>
    <n v="0"/>
    <n v="0"/>
    <x v="3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2"/>
  </r>
  <r>
    <n v="0"/>
    <n v="0"/>
    <n v="0"/>
    <n v="0"/>
    <n v="0"/>
    <n v="0"/>
    <x v="3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2"/>
  </r>
  <r>
    <n v="0"/>
    <n v="0"/>
    <n v="0"/>
    <n v="0"/>
    <n v="0"/>
    <n v="0"/>
    <x v="3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2"/>
  </r>
  <r>
    <n v="0"/>
    <n v="0"/>
    <n v="0"/>
    <n v="0"/>
    <n v="0"/>
    <n v="0"/>
    <x v="3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2"/>
  </r>
  <r>
    <n v="0"/>
    <n v="0"/>
    <n v="0"/>
    <n v="0"/>
    <n v="0"/>
    <n v="0"/>
    <x v="3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2"/>
  </r>
  <r>
    <n v="0"/>
    <n v="0"/>
    <n v="0"/>
    <n v="0"/>
    <n v="0"/>
    <n v="0"/>
    <x v="3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2"/>
  </r>
  <r>
    <n v="0"/>
    <n v="0"/>
    <n v="0"/>
    <n v="0"/>
    <n v="0"/>
    <n v="0"/>
    <x v="3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2"/>
  </r>
  <r>
    <n v="0"/>
    <n v="0"/>
    <n v="0"/>
    <n v="0"/>
    <n v="0"/>
    <n v="0"/>
    <x v="3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2"/>
  </r>
  <r>
    <n v="0"/>
    <n v="0"/>
    <n v="0"/>
    <n v="0"/>
    <n v="0"/>
    <n v="0"/>
    <x v="3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2"/>
  </r>
  <r>
    <n v="0"/>
    <n v="0"/>
    <n v="0"/>
    <n v="0"/>
    <n v="0"/>
    <n v="0"/>
    <x v="3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2"/>
  </r>
  <r>
    <n v="0"/>
    <n v="0"/>
    <n v="0"/>
    <n v="0"/>
    <n v="0"/>
    <n v="0"/>
    <x v="3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2"/>
  </r>
  <r>
    <n v="0"/>
    <n v="0"/>
    <n v="0"/>
    <n v="0"/>
    <n v="0"/>
    <n v="0"/>
    <x v="3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2"/>
  </r>
  <r>
    <n v="0"/>
    <n v="0"/>
    <n v="0"/>
    <n v="0"/>
    <n v="0"/>
    <n v="0"/>
    <x v="3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2"/>
  </r>
  <r>
    <n v="0"/>
    <n v="0"/>
    <n v="0"/>
    <n v="0"/>
    <n v="0"/>
    <n v="0"/>
    <x v="3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2"/>
  </r>
  <r>
    <n v="0"/>
    <n v="0"/>
    <n v="0"/>
    <n v="0"/>
    <n v="0"/>
    <n v="0"/>
    <x v="3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2"/>
  </r>
  <r>
    <n v="0"/>
    <n v="0"/>
    <n v="0"/>
    <n v="0"/>
    <n v="0"/>
    <n v="0"/>
    <x v="3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2"/>
  </r>
  <r>
    <n v="0"/>
    <n v="0"/>
    <n v="0"/>
    <n v="0"/>
    <n v="0"/>
    <n v="0"/>
    <x v="3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2"/>
  </r>
  <r>
    <n v="0"/>
    <n v="0"/>
    <n v="0"/>
    <n v="0"/>
    <n v="0"/>
    <n v="0"/>
    <x v="3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2"/>
  </r>
  <r>
    <n v="0"/>
    <n v="0"/>
    <n v="0"/>
    <n v="0"/>
    <n v="0"/>
    <n v="0"/>
    <x v="3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2"/>
  </r>
  <r>
    <n v="0"/>
    <n v="0"/>
    <n v="0"/>
    <n v="0"/>
    <n v="0"/>
    <n v="0"/>
    <x v="3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2"/>
  </r>
  <r>
    <n v="0"/>
    <n v="0"/>
    <n v="0"/>
    <n v="0"/>
    <n v="0"/>
    <n v="0"/>
    <x v="3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2"/>
  </r>
  <r>
    <n v="0"/>
    <n v="0"/>
    <n v="0"/>
    <n v="0"/>
    <n v="0"/>
    <n v="0"/>
    <x v="3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2"/>
  </r>
  <r>
    <n v="0"/>
    <n v="0"/>
    <n v="0"/>
    <n v="0"/>
    <n v="0"/>
    <n v="0"/>
    <x v="3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2"/>
  </r>
  <r>
    <n v="0"/>
    <n v="0"/>
    <n v="0"/>
    <n v="0"/>
    <n v="0"/>
    <n v="0"/>
    <x v="3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2"/>
  </r>
  <r>
    <n v="0"/>
    <n v="0"/>
    <n v="0"/>
    <n v="0"/>
    <n v="0"/>
    <n v="0"/>
    <x v="3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2"/>
  </r>
  <r>
    <n v="0"/>
    <n v="0"/>
    <n v="0"/>
    <n v="0"/>
    <n v="0"/>
    <n v="0"/>
    <x v="3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2"/>
  </r>
  <r>
    <n v="0"/>
    <n v="0"/>
    <n v="0"/>
    <n v="0"/>
    <n v="0"/>
    <n v="0"/>
    <x v="3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2"/>
  </r>
  <r>
    <n v="0"/>
    <n v="0"/>
    <n v="0"/>
    <n v="0"/>
    <n v="0"/>
    <n v="0"/>
    <x v="3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2"/>
  </r>
  <r>
    <n v="0"/>
    <n v="0"/>
    <n v="0"/>
    <n v="0"/>
    <n v="0"/>
    <n v="0"/>
    <x v="3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2"/>
  </r>
  <r>
    <n v="0"/>
    <n v="0"/>
    <n v="0"/>
    <n v="0"/>
    <n v="0"/>
    <n v="0"/>
    <x v="3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2"/>
  </r>
  <r>
    <n v="0"/>
    <n v="0"/>
    <n v="0"/>
    <n v="0"/>
    <n v="0"/>
    <n v="0"/>
    <x v="3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2"/>
  </r>
  <r>
    <n v="0"/>
    <n v="0"/>
    <n v="0"/>
    <n v="0"/>
    <n v="0"/>
    <n v="0"/>
    <x v="3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2"/>
  </r>
  <r>
    <n v="0"/>
    <n v="0"/>
    <n v="0"/>
    <n v="0"/>
    <n v="0"/>
    <n v="0"/>
    <x v="3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2"/>
  </r>
  <r>
    <n v="0"/>
    <n v="0"/>
    <n v="0"/>
    <n v="0"/>
    <n v="0"/>
    <n v="0"/>
    <x v="3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2"/>
  </r>
  <r>
    <n v="0"/>
    <n v="0"/>
    <n v="0"/>
    <n v="0"/>
    <n v="0"/>
    <n v="0"/>
    <x v="3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2"/>
  </r>
  <r>
    <n v="0"/>
    <n v="0"/>
    <n v="0"/>
    <n v="0"/>
    <n v="0"/>
    <n v="0"/>
    <x v="3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2"/>
  </r>
  <r>
    <n v="0"/>
    <n v="0"/>
    <n v="0"/>
    <n v="0"/>
    <n v="0"/>
    <n v="0"/>
    <x v="3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2"/>
  </r>
  <r>
    <n v="0"/>
    <n v="0"/>
    <n v="0"/>
    <n v="0"/>
    <n v="0"/>
    <n v="0"/>
    <x v="3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2"/>
  </r>
  <r>
    <n v="0"/>
    <n v="0"/>
    <n v="0"/>
    <n v="0"/>
    <n v="0"/>
    <n v="0"/>
    <x v="3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2"/>
  </r>
  <r>
    <n v="0"/>
    <n v="0"/>
    <n v="0"/>
    <n v="0"/>
    <n v="0"/>
    <n v="0"/>
    <x v="3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2"/>
  </r>
  <r>
    <n v="0"/>
    <n v="0"/>
    <n v="0"/>
    <n v="0"/>
    <n v="0"/>
    <n v="0"/>
    <x v="3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2"/>
  </r>
  <r>
    <n v="0"/>
    <n v="0"/>
    <n v="0"/>
    <n v="0"/>
    <n v="0"/>
    <n v="0"/>
    <x v="3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2"/>
  </r>
  <r>
    <n v="0"/>
    <n v="0"/>
    <n v="0"/>
    <n v="0"/>
    <n v="0"/>
    <n v="0"/>
    <x v="3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2"/>
  </r>
  <r>
    <n v="0"/>
    <n v="0"/>
    <n v="0"/>
    <n v="0"/>
    <n v="0"/>
    <n v="0"/>
    <x v="3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2"/>
  </r>
  <r>
    <n v="0"/>
    <n v="0"/>
    <n v="0"/>
    <n v="0"/>
    <n v="0"/>
    <n v="0"/>
    <x v="3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2"/>
  </r>
  <r>
    <n v="0"/>
    <n v="0"/>
    <n v="0"/>
    <n v="0"/>
    <n v="0"/>
    <n v="0"/>
    <x v="3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2"/>
  </r>
  <r>
    <n v="0"/>
    <n v="0"/>
    <n v="0"/>
    <n v="0"/>
    <n v="0"/>
    <n v="0"/>
    <x v="3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2"/>
  </r>
  <r>
    <n v="0"/>
    <n v="0"/>
    <n v="0"/>
    <n v="0"/>
    <n v="0"/>
    <n v="0"/>
    <x v="3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2"/>
  </r>
  <r>
    <n v="0"/>
    <n v="0"/>
    <n v="0"/>
    <n v="0"/>
    <n v="0"/>
    <n v="0"/>
    <x v="3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2"/>
  </r>
  <r>
    <n v="0"/>
    <n v="0"/>
    <n v="0"/>
    <n v="0"/>
    <n v="0"/>
    <n v="0"/>
    <x v="3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2"/>
  </r>
  <r>
    <n v="0"/>
    <n v="0"/>
    <n v="0"/>
    <n v="0"/>
    <n v="0"/>
    <n v="0"/>
    <x v="3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2"/>
  </r>
  <r>
    <n v="0"/>
    <n v="0"/>
    <n v="0"/>
    <n v="0"/>
    <n v="0"/>
    <n v="0"/>
    <x v="3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2"/>
  </r>
  <r>
    <n v="0"/>
    <n v="0"/>
    <n v="0"/>
    <n v="0"/>
    <n v="0"/>
    <n v="0"/>
    <x v="3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2"/>
  </r>
  <r>
    <n v="0"/>
    <n v="0"/>
    <n v="0"/>
    <n v="0"/>
    <n v="0"/>
    <n v="0"/>
    <x v="3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2"/>
  </r>
  <r>
    <n v="0"/>
    <n v="0"/>
    <n v="0"/>
    <n v="0"/>
    <n v="0"/>
    <n v="0"/>
    <x v="3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2"/>
  </r>
  <r>
    <n v="0"/>
    <n v="0"/>
    <n v="0"/>
    <n v="0"/>
    <n v="0"/>
    <n v="0"/>
    <x v="3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2"/>
  </r>
  <r>
    <n v="0"/>
    <n v="0"/>
    <n v="0"/>
    <n v="0"/>
    <n v="0"/>
    <n v="0"/>
    <x v="3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2"/>
  </r>
  <r>
    <n v="0"/>
    <n v="0"/>
    <n v="0"/>
    <n v="0"/>
    <n v="0"/>
    <n v="0"/>
    <x v="3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2"/>
  </r>
  <r>
    <n v="0"/>
    <n v="0"/>
    <n v="0"/>
    <n v="0"/>
    <n v="0"/>
    <n v="0"/>
    <x v="3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2"/>
  </r>
  <r>
    <n v="0"/>
    <n v="0"/>
    <n v="0"/>
    <n v="0"/>
    <n v="0"/>
    <n v="0"/>
    <x v="3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2"/>
  </r>
  <r>
    <n v="0"/>
    <n v="0"/>
    <n v="0"/>
    <n v="0"/>
    <n v="0"/>
    <n v="0"/>
    <x v="3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2"/>
  </r>
  <r>
    <n v="0"/>
    <n v="0"/>
    <n v="0"/>
    <n v="0"/>
    <n v="0"/>
    <n v="0"/>
    <x v="3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2"/>
  </r>
  <r>
    <n v="0"/>
    <n v="0"/>
    <n v="0"/>
    <n v="0"/>
    <n v="0"/>
    <n v="0"/>
    <x v="3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2"/>
  </r>
  <r>
    <n v="0"/>
    <n v="0"/>
    <n v="0"/>
    <n v="0"/>
    <n v="0"/>
    <n v="0"/>
    <x v="3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2"/>
  </r>
  <r>
    <n v="0"/>
    <n v="0"/>
    <n v="0"/>
    <n v="0"/>
    <n v="0"/>
    <n v="0"/>
    <x v="3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2"/>
  </r>
  <r>
    <n v="0"/>
    <n v="0"/>
    <n v="0"/>
    <n v="0"/>
    <n v="0"/>
    <n v="0"/>
    <x v="3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2"/>
  </r>
  <r>
    <n v="0"/>
    <n v="0"/>
    <n v="0"/>
    <n v="0"/>
    <n v="0"/>
    <n v="0"/>
    <x v="3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2"/>
  </r>
  <r>
    <n v="0"/>
    <n v="0"/>
    <n v="0"/>
    <n v="0"/>
    <n v="0"/>
    <n v="0"/>
    <x v="3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2"/>
  </r>
  <r>
    <n v="0"/>
    <n v="0"/>
    <n v="0"/>
    <n v="0"/>
    <n v="0"/>
    <n v="0"/>
    <x v="3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2"/>
  </r>
  <r>
    <n v="0"/>
    <n v="0"/>
    <n v="0"/>
    <n v="0"/>
    <n v="0"/>
    <n v="0"/>
    <x v="3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2"/>
  </r>
  <r>
    <n v="0"/>
    <n v="0"/>
    <n v="0"/>
    <n v="0"/>
    <n v="0"/>
    <n v="0"/>
    <x v="3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2"/>
  </r>
  <r>
    <n v="0"/>
    <n v="0"/>
    <n v="0"/>
    <n v="0"/>
    <n v="0"/>
    <n v="0"/>
    <x v="3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2"/>
  </r>
  <r>
    <n v="0"/>
    <n v="0"/>
    <n v="0"/>
    <n v="0"/>
    <n v="0"/>
    <n v="0"/>
    <x v="3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2"/>
  </r>
  <r>
    <n v="0"/>
    <n v="0"/>
    <n v="0"/>
    <n v="0"/>
    <n v="0"/>
    <n v="0"/>
    <x v="3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2"/>
  </r>
  <r>
    <n v="0"/>
    <n v="0"/>
    <n v="0"/>
    <n v="0"/>
    <n v="0"/>
    <n v="0"/>
    <x v="3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2"/>
  </r>
  <r>
    <n v="0"/>
    <n v="0"/>
    <n v="0"/>
    <n v="0"/>
    <n v="0"/>
    <n v="0"/>
    <x v="3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2"/>
  </r>
  <r>
    <n v="0"/>
    <n v="0"/>
    <n v="0"/>
    <n v="0"/>
    <n v="0"/>
    <n v="0"/>
    <x v="3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2"/>
  </r>
  <r>
    <n v="0"/>
    <n v="0"/>
    <n v="0"/>
    <n v="0"/>
    <n v="0"/>
    <n v="0"/>
    <x v="3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2"/>
  </r>
  <r>
    <n v="0"/>
    <n v="0"/>
    <n v="0"/>
    <n v="0"/>
    <n v="0"/>
    <n v="0"/>
    <x v="3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2"/>
  </r>
  <r>
    <n v="0"/>
    <n v="0"/>
    <n v="0"/>
    <n v="0"/>
    <n v="0"/>
    <n v="0"/>
    <x v="3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2"/>
  </r>
  <r>
    <n v="0"/>
    <n v="0"/>
    <n v="0"/>
    <n v="0"/>
    <n v="0"/>
    <n v="0"/>
    <x v="3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2"/>
  </r>
  <r>
    <n v="0"/>
    <n v="0"/>
    <n v="0"/>
    <n v="0"/>
    <n v="0"/>
    <n v="0"/>
    <x v="3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2"/>
  </r>
  <r>
    <n v="0"/>
    <n v="0"/>
    <n v="0"/>
    <n v="0"/>
    <n v="0"/>
    <n v="0"/>
    <x v="3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2"/>
  </r>
  <r>
    <n v="0"/>
    <n v="0"/>
    <n v="0"/>
    <n v="0"/>
    <n v="0"/>
    <n v="0"/>
    <x v="3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2"/>
  </r>
  <r>
    <n v="0"/>
    <n v="0"/>
    <n v="0"/>
    <n v="0"/>
    <n v="0"/>
    <n v="0"/>
    <x v="3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2"/>
  </r>
  <r>
    <n v="0"/>
    <n v="0"/>
    <n v="0"/>
    <n v="0"/>
    <n v="0"/>
    <n v="0"/>
    <x v="3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2"/>
  </r>
  <r>
    <n v="0"/>
    <n v="0"/>
    <n v="0"/>
    <n v="0"/>
    <n v="0"/>
    <n v="0"/>
    <x v="3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2"/>
  </r>
  <r>
    <n v="0"/>
    <n v="0"/>
    <n v="0"/>
    <n v="0"/>
    <n v="0"/>
    <n v="0"/>
    <x v="3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2"/>
  </r>
  <r>
    <n v="0"/>
    <n v="0"/>
    <n v="0"/>
    <n v="0"/>
    <n v="0"/>
    <n v="0"/>
    <x v="3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2"/>
  </r>
  <r>
    <n v="0"/>
    <n v="0"/>
    <n v="0"/>
    <n v="0"/>
    <n v="0"/>
    <n v="0"/>
    <x v="3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2"/>
  </r>
  <r>
    <n v="0"/>
    <n v="0"/>
    <n v="0"/>
    <n v="0"/>
    <n v="0"/>
    <n v="0"/>
    <x v="3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2"/>
  </r>
  <r>
    <n v="0"/>
    <n v="0"/>
    <n v="0"/>
    <n v="0"/>
    <n v="0"/>
    <n v="0"/>
    <x v="3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2"/>
  </r>
  <r>
    <n v="0"/>
    <n v="0"/>
    <n v="0"/>
    <n v="0"/>
    <n v="0"/>
    <n v="0"/>
    <x v="3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2"/>
  </r>
  <r>
    <n v="0"/>
    <n v="0"/>
    <n v="0"/>
    <n v="0"/>
    <n v="0"/>
    <n v="0"/>
    <x v="3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2"/>
  </r>
  <r>
    <n v="0"/>
    <n v="0"/>
    <n v="0"/>
    <n v="0"/>
    <n v="0"/>
    <n v="0"/>
    <x v="3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2"/>
  </r>
  <r>
    <n v="0"/>
    <n v="0"/>
    <n v="0"/>
    <n v="0"/>
    <n v="0"/>
    <n v="0"/>
    <x v="3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2"/>
  </r>
  <r>
    <n v="0"/>
    <n v="0"/>
    <n v="0"/>
    <n v="0"/>
    <n v="0"/>
    <n v="0"/>
    <x v="3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2"/>
  </r>
  <r>
    <n v="0"/>
    <n v="0"/>
    <n v="0"/>
    <n v="0"/>
    <n v="0"/>
    <n v="0"/>
    <x v="3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2"/>
  </r>
  <r>
    <n v="0"/>
    <n v="0"/>
    <n v="0"/>
    <n v="0"/>
    <n v="0"/>
    <n v="0"/>
    <x v="3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2"/>
  </r>
  <r>
    <n v="0"/>
    <n v="0"/>
    <n v="0"/>
    <n v="0"/>
    <n v="0"/>
    <n v="0"/>
    <x v="3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2"/>
  </r>
  <r>
    <n v="0"/>
    <n v="0"/>
    <n v="0"/>
    <n v="0"/>
    <n v="0"/>
    <n v="0"/>
    <x v="3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2"/>
  </r>
  <r>
    <n v="0"/>
    <n v="0"/>
    <n v="0"/>
    <n v="0"/>
    <n v="0"/>
    <n v="0"/>
    <x v="3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2"/>
  </r>
  <r>
    <n v="0"/>
    <n v="0"/>
    <n v="0"/>
    <n v="0"/>
    <n v="0"/>
    <n v="0"/>
    <x v="3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2"/>
  </r>
  <r>
    <n v="0"/>
    <n v="0"/>
    <n v="0"/>
    <n v="0"/>
    <n v="0"/>
    <n v="0"/>
    <x v="3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2"/>
  </r>
  <r>
    <n v="0"/>
    <n v="0"/>
    <n v="0"/>
    <n v="0"/>
    <n v="0"/>
    <n v="0"/>
    <x v="3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2"/>
  </r>
  <r>
    <n v="0"/>
    <n v="0"/>
    <n v="0"/>
    <n v="0"/>
    <n v="0"/>
    <n v="0"/>
    <x v="3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2"/>
  </r>
  <r>
    <n v="0"/>
    <n v="0"/>
    <n v="0"/>
    <n v="0"/>
    <n v="0"/>
    <n v="0"/>
    <x v="3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2"/>
  </r>
  <r>
    <n v="0"/>
    <n v="0"/>
    <n v="0"/>
    <n v="0"/>
    <n v="0"/>
    <n v="0"/>
    <x v="3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2"/>
  </r>
  <r>
    <n v="0"/>
    <n v="0"/>
    <n v="0"/>
    <n v="0"/>
    <n v="0"/>
    <n v="0"/>
    <x v="3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2"/>
  </r>
  <r>
    <n v="0"/>
    <n v="0"/>
    <n v="0"/>
    <n v="0"/>
    <n v="0"/>
    <n v="0"/>
    <x v="3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2"/>
  </r>
  <r>
    <n v="0"/>
    <n v="0"/>
    <n v="0"/>
    <n v="0"/>
    <n v="0"/>
    <n v="0"/>
    <x v="3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2"/>
  </r>
  <r>
    <n v="0"/>
    <n v="0"/>
    <n v="0"/>
    <n v="0"/>
    <n v="0"/>
    <n v="0"/>
    <x v="3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2"/>
  </r>
  <r>
    <n v="0"/>
    <n v="0"/>
    <n v="0"/>
    <n v="0"/>
    <n v="0"/>
    <n v="0"/>
    <x v="3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2"/>
  </r>
  <r>
    <n v="0"/>
    <n v="0"/>
    <n v="0"/>
    <n v="0"/>
    <n v="0"/>
    <n v="0"/>
    <x v="3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2"/>
  </r>
  <r>
    <n v="0"/>
    <n v="0"/>
    <n v="0"/>
    <n v="0"/>
    <n v="0"/>
    <n v="0"/>
    <x v="3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2"/>
  </r>
  <r>
    <n v="0"/>
    <n v="0"/>
    <n v="0"/>
    <n v="0"/>
    <n v="0"/>
    <n v="0"/>
    <x v="3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2"/>
  </r>
  <r>
    <n v="0"/>
    <n v="0"/>
    <n v="0"/>
    <n v="0"/>
    <n v="0"/>
    <n v="0"/>
    <x v="3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2"/>
  </r>
  <r>
    <n v="0"/>
    <n v="0"/>
    <n v="0"/>
    <n v="0"/>
    <n v="0"/>
    <n v="0"/>
    <x v="3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2"/>
  </r>
  <r>
    <n v="0"/>
    <n v="0"/>
    <n v="0"/>
    <n v="0"/>
    <n v="0"/>
    <n v="0"/>
    <x v="3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2"/>
  </r>
  <r>
    <n v="0"/>
    <n v="0"/>
    <n v="0"/>
    <n v="0"/>
    <n v="0"/>
    <n v="0"/>
    <x v="3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2"/>
  </r>
  <r>
    <n v="0"/>
    <n v="0"/>
    <n v="0"/>
    <n v="0"/>
    <n v="0"/>
    <n v="0"/>
    <x v="3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2"/>
  </r>
  <r>
    <n v="0"/>
    <n v="0"/>
    <n v="0"/>
    <n v="0"/>
    <n v="0"/>
    <n v="0"/>
    <x v="3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2"/>
  </r>
  <r>
    <n v="0"/>
    <n v="0"/>
    <n v="0"/>
    <n v="0"/>
    <n v="0"/>
    <n v="0"/>
    <x v="3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2"/>
  </r>
  <r>
    <n v="0"/>
    <n v="0"/>
    <n v="0"/>
    <n v="0"/>
    <n v="0"/>
    <n v="0"/>
    <x v="3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2"/>
  </r>
  <r>
    <n v="0"/>
    <n v="0"/>
    <n v="0"/>
    <n v="0"/>
    <n v="0"/>
    <n v="0"/>
    <x v="3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2"/>
  </r>
  <r>
    <n v="0"/>
    <n v="0"/>
    <n v="0"/>
    <n v="0"/>
    <n v="0"/>
    <n v="0"/>
    <x v="3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2"/>
  </r>
  <r>
    <n v="0"/>
    <n v="0"/>
    <n v="0"/>
    <n v="0"/>
    <n v="0"/>
    <n v="0"/>
    <x v="3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2"/>
  </r>
  <r>
    <n v="0"/>
    <n v="0"/>
    <n v="0"/>
    <n v="0"/>
    <n v="0"/>
    <n v="0"/>
    <x v="3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2"/>
  </r>
  <r>
    <n v="0"/>
    <n v="0"/>
    <n v="0"/>
    <n v="0"/>
    <n v="0"/>
    <n v="0"/>
    <x v="3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2"/>
  </r>
  <r>
    <n v="0"/>
    <n v="0"/>
    <n v="0"/>
    <n v="0"/>
    <n v="0"/>
    <n v="0"/>
    <x v="3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2"/>
  </r>
  <r>
    <n v="0"/>
    <n v="0"/>
    <n v="0"/>
    <n v="0"/>
    <n v="0"/>
    <n v="0"/>
    <x v="3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2"/>
  </r>
  <r>
    <n v="0"/>
    <n v="0"/>
    <n v="0"/>
    <n v="0"/>
    <n v="0"/>
    <n v="0"/>
    <x v="3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2"/>
  </r>
  <r>
    <n v="0"/>
    <n v="0"/>
    <n v="0"/>
    <n v="0"/>
    <n v="0"/>
    <n v="0"/>
    <x v="3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2"/>
  </r>
  <r>
    <n v="0"/>
    <n v="0"/>
    <n v="0"/>
    <n v="0"/>
    <n v="0"/>
    <n v="0"/>
    <x v="3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2"/>
  </r>
  <r>
    <n v="0"/>
    <n v="0"/>
    <n v="0"/>
    <n v="0"/>
    <n v="0"/>
    <n v="0"/>
    <x v="3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2"/>
  </r>
  <r>
    <n v="0"/>
    <n v="0"/>
    <n v="0"/>
    <n v="0"/>
    <n v="0"/>
    <n v="0"/>
    <x v="3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2"/>
  </r>
  <r>
    <n v="0"/>
    <n v="0"/>
    <n v="0"/>
    <n v="0"/>
    <n v="0"/>
    <n v="0"/>
    <x v="3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2"/>
  </r>
  <r>
    <n v="0"/>
    <n v="0"/>
    <n v="0"/>
    <n v="0"/>
    <n v="0"/>
    <n v="0"/>
    <x v="3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2"/>
  </r>
  <r>
    <n v="0"/>
    <n v="0"/>
    <n v="0"/>
    <n v="0"/>
    <n v="0"/>
    <n v="0"/>
    <x v="3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2"/>
  </r>
  <r>
    <n v="0"/>
    <n v="0"/>
    <n v="0"/>
    <n v="0"/>
    <n v="0"/>
    <n v="0"/>
    <x v="3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2"/>
  </r>
  <r>
    <n v="0"/>
    <n v="0"/>
    <n v="0"/>
    <n v="0"/>
    <n v="0"/>
    <n v="0"/>
    <x v="3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2"/>
  </r>
  <r>
    <n v="0"/>
    <n v="0"/>
    <n v="0"/>
    <n v="0"/>
    <n v="0"/>
    <n v="0"/>
    <x v="3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2"/>
  </r>
  <r>
    <n v="0"/>
    <n v="0"/>
    <n v="0"/>
    <n v="0"/>
    <n v="0"/>
    <n v="0"/>
    <x v="3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2"/>
  </r>
  <r>
    <n v="0"/>
    <n v="0"/>
    <n v="0"/>
    <n v="0"/>
    <n v="0"/>
    <n v="0"/>
    <x v="3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2"/>
  </r>
  <r>
    <n v="0"/>
    <n v="0"/>
    <n v="0"/>
    <n v="0"/>
    <n v="0"/>
    <n v="0"/>
    <x v="3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2"/>
  </r>
  <r>
    <n v="0"/>
    <n v="0"/>
    <n v="0"/>
    <n v="0"/>
    <n v="0"/>
    <n v="0"/>
    <x v="3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2"/>
  </r>
  <r>
    <n v="0"/>
    <n v="0"/>
    <n v="0"/>
    <n v="0"/>
    <n v="0"/>
    <n v="0"/>
    <x v="3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2"/>
  </r>
  <r>
    <n v="0"/>
    <n v="0"/>
    <n v="0"/>
    <n v="0"/>
    <n v="0"/>
    <n v="0"/>
    <x v="3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2"/>
  </r>
  <r>
    <n v="0"/>
    <n v="0"/>
    <n v="0"/>
    <n v="0"/>
    <n v="0"/>
    <n v="0"/>
    <x v="3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2"/>
  </r>
  <r>
    <n v="0"/>
    <n v="0"/>
    <n v="0"/>
    <n v="0"/>
    <n v="0"/>
    <n v="0"/>
    <x v="3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2"/>
  </r>
  <r>
    <n v="0"/>
    <n v="0"/>
    <n v="0"/>
    <n v="0"/>
    <n v="0"/>
    <n v="0"/>
    <x v="3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2"/>
  </r>
  <r>
    <n v="0"/>
    <n v="0"/>
    <n v="0"/>
    <n v="0"/>
    <n v="0"/>
    <n v="0"/>
    <x v="3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2"/>
  </r>
  <r>
    <n v="0"/>
    <n v="0"/>
    <n v="0"/>
    <n v="0"/>
    <n v="0"/>
    <n v="0"/>
    <x v="3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2"/>
  </r>
  <r>
    <n v="0"/>
    <n v="0"/>
    <n v="0"/>
    <n v="0"/>
    <n v="0"/>
    <n v="0"/>
    <x v="3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2"/>
  </r>
  <r>
    <n v="0"/>
    <n v="0"/>
    <n v="0"/>
    <n v="0"/>
    <n v="0"/>
    <n v="0"/>
    <x v="3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2"/>
  </r>
  <r>
    <m/>
    <m/>
    <m/>
    <m/>
    <m/>
    <m/>
    <x v="33"/>
    <m/>
    <m/>
    <m/>
    <m/>
    <m/>
    <m/>
    <m/>
    <m/>
    <m/>
    <m/>
    <m/>
    <m/>
    <m/>
    <m/>
    <m/>
    <m/>
    <m/>
    <m/>
    <m/>
    <m/>
    <m/>
    <m/>
    <m/>
    <x v="2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3DE7CD75-522A-4B22-9987-418AB6311BA6}" name="Pass/Fail" cacheId="0" applyNumberFormats="0" applyBorderFormats="0" applyFontFormats="0" applyPatternFormats="0" applyAlignmentFormats="0" applyWidthHeightFormats="1" dataCaption="Values" updatedVersion="8" minRefreshableVersion="3" useAutoFormatting="1" itemPrintTitles="1" createdVersion="8" indent="0" outline="1" outlineData="1" multipleFieldFilters="0">
  <location ref="A1:C35" firstHeaderRow="1" firstDataRow="2" firstDataCol="1"/>
  <pivotFields count="31">
    <pivotField showAll="0"/>
    <pivotField showAll="0"/>
    <pivotField showAll="0"/>
    <pivotField showAll="0"/>
    <pivotField showAll="0"/>
    <pivotField showAll="0"/>
    <pivotField axis="axisRow" showAll="0">
      <items count="35">
        <item x="32"/>
        <item x="33"/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axis="axisCol" dataField="1" showAll="0">
      <items count="5">
        <item h="1" x="1"/>
        <item m="1" x="3"/>
        <item x="0"/>
        <item h="1" x="2"/>
        <item t="default"/>
      </items>
    </pivotField>
  </pivotFields>
  <rowFields count="1">
    <field x="6"/>
  </rowFields>
  <rowItems count="33"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>
      <x v="13"/>
    </i>
    <i>
      <x v="14"/>
    </i>
    <i>
      <x v="15"/>
    </i>
    <i>
      <x v="16"/>
    </i>
    <i>
      <x v="17"/>
    </i>
    <i>
      <x v="18"/>
    </i>
    <i>
      <x v="19"/>
    </i>
    <i>
      <x v="20"/>
    </i>
    <i>
      <x v="21"/>
    </i>
    <i>
      <x v="22"/>
    </i>
    <i>
      <x v="23"/>
    </i>
    <i>
      <x v="24"/>
    </i>
    <i>
      <x v="25"/>
    </i>
    <i>
      <x v="26"/>
    </i>
    <i>
      <x v="27"/>
    </i>
    <i>
      <x v="28"/>
    </i>
    <i>
      <x v="29"/>
    </i>
    <i>
      <x v="30"/>
    </i>
    <i>
      <x v="31"/>
    </i>
    <i>
      <x v="32"/>
    </i>
    <i>
      <x v="33"/>
    </i>
    <i t="grand">
      <x/>
    </i>
  </rowItems>
  <colFields count="1">
    <field x="30"/>
  </colFields>
  <colItems count="2">
    <i>
      <x v="2"/>
    </i>
    <i t="grand">
      <x/>
    </i>
  </colItems>
  <dataFields count="1">
    <dataField name="Count of Successful / Failed" fld="30" subtotal="count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richData/rdRichValueTypes.xml><?xml version="1.0" encoding="utf-8"?>
<rvTypesInfo xmlns="http://schemas.microsoft.com/office/spreadsheetml/2017/richdata2" xmlns:mc="http://schemas.openxmlformats.org/markup-compatibility/2006" xmlns:x="http://schemas.openxmlformats.org/spreadsheetml/2006/main" mc:Ignorable="x">
  <global>
    <keyFlags>
      <key name="_Self">
        <flag name="ExcludeFromFile" value="1"/>
        <flag name="ExcludeFromCalcComparison" value="1"/>
      </key>
      <key name="_DisplayString">
        <flag name="ExcludeFromCalcComparison" value="1"/>
      </key>
      <key name="_Flags">
        <flag name="ExcludeFromCalcComparison" value="1"/>
      </key>
      <key name="_Format">
        <flag name="ExcludeFromCalcComparison" value="1"/>
      </key>
      <key name="_SubLabel">
        <flag name="ExcludeFromCalcComparison" value="1"/>
      </key>
      <key name="_Attribution">
        <flag name="ExcludeFromCalcComparison" value="1"/>
      </key>
      <key name="_Icon">
        <flag name="ExcludeFromCalcComparison" value="1"/>
      </key>
      <key name="_Display">
        <flag name="ExcludeFromCalcComparison" value="1"/>
      </key>
      <key name="_CanonicalPropertyNames">
        <flag name="ExcludeFromCalcComparison" value="1"/>
      </key>
      <key name="_ClassificationId">
        <flag name="ExcludeFromCalcComparison" value="1"/>
      </key>
    </keyFlags>
  </global>
</rvTypesInfo>
</file>

<file path=xl/richData/rdrichvalue.xml><?xml version="1.0" encoding="utf-8"?>
<rvData xmlns="http://schemas.microsoft.com/office/spreadsheetml/2017/richdata" count="2">
  <rv s="0">
    <v>13</v>
    <v>3</v>
  </rv>
  <rv s="1">
    <v>13</v>
    <v>1</v>
  </rv>
</rvData>
</file>

<file path=xl/richData/rdrichvaluestructure.xml><?xml version="1.0" encoding="utf-8"?>
<rvStructures xmlns="http://schemas.microsoft.com/office/spreadsheetml/2017/richdata" count="2">
  <s t="_error">
    <k n="errorType" t="i"/>
    <k n="subType" t="i"/>
  </s>
  <s t="_error">
    <k n="errorType" t="i"/>
    <k n="propagated" t="b"/>
  </s>
</rvStructure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29308B2E-F192-42B4-8523-53AD44BB76CD}" name="Table2" displayName="Table2" ref="D1:AE1048576" totalsRowShown="0" tableBorderDxfId="5">
  <autoFilter ref="D1:AE1048576" xr:uid="{29308B2E-F192-42B4-8523-53AD44BB76CD}"/>
  <tableColumns count="28">
    <tableColumn id="1" xr3:uid="{CA4A19EC-6339-4325-A6BC-133496FB2C2B}" name="Business name"/>
    <tableColumn id="2" xr3:uid="{E8939219-9533-4261-9B75-9E2EEAD29D82}" name="System manufacturer"/>
    <tableColumn id="3" xr3:uid="{CF1B9FB7-360A-441F-9794-6814816BBACC}" name="System chassis type"/>
    <tableColumn id="4" xr3:uid="{1CCD10D5-E1EB-4E59-8947-E2E611153631}" name="Custom 1"/>
    <tableColumn id="5" xr3:uid="{B2523AC3-1063-4191-AE8B-126221A9B0EE}" name="Device Identifier"/>
    <tableColumn id="6" xr3:uid="{1C96BB52-9FD7-4294-9A12-E4806761FA73}" name="Erasure state"/>
    <tableColumn id="7" xr3:uid="{1B4B9B8A-2393-4981-8F5F-201262948360}" name="System serial"/>
    <tableColumn id="8" xr3:uid="{F4AA606D-0AB3-452C-B903-16B8C5D35911}" name="System version"/>
    <tableColumn id="9" xr3:uid="{194EE924-59CC-4F8A-AA5B-D9BDEFE83D5B}" name="System model"/>
    <tableColumn id="10" xr3:uid="{7F7FE8DD-10D1-4C92-B90D-F8622A18C631}" name="Battery test"/>
    <tableColumn id="11" xr3:uid="{64E7313F-9764-4039-ACF2-C26A42FA7871}" name="Display test comment"/>
    <tableColumn id="12" xr3:uid="{F4945B93-6847-4A4C-891D-0CCA487E3C05}" name="Keyboard test comment"/>
    <tableColumn id="14" xr3:uid="{E1D7D404-EDA4-4347-901D-F1BE69507E44}" name="Pointer Test Comment"/>
    <tableColumn id="15" xr3:uid="{277DC48B-A6F1-448E-AD2E-244326B1EE05}" name="Speakers test"/>
    <tableColumn id="16" xr3:uid="{64567BD6-EB70-472D-8F5D-F45DE6897DA3}" name="USB port hardware test comment"/>
    <tableColumn id="17" xr3:uid="{DE0C002B-64F3-4C56-A6CC-E2F99B41DD0F}" name="Webcam test comment"/>
    <tableColumn id="19" xr3:uid="{1887D030-FA0F-451B-B129-80FEE6CFAA53}" name="CPU model"/>
    <tableColumn id="20" xr3:uid="{B946C031-7248-4A4E-B14A-6120F0C64983}" name="Memory capacity"/>
    <tableColumn id="21" xr3:uid="{520A2281-2436-4088-944B-DACE8F490E6F}" name="Memory type"/>
    <tableColumn id="22" xr3:uid="{DB98B945-3709-420E-924A-FFA918C4CDFC}" name="Disk capacity"/>
    <tableColumn id="23" xr3:uid="{D44E1F9F-981A-4F98-BD6C-E86E2C91E7D5}" name="Disk interface type"/>
    <tableColumn id="24" xr3:uid="{00F92944-EE85-489C-9796-712BF730220F}" name="Disk serial" dataDxfId="4"/>
    <tableColumn id="25" xr3:uid="{142BB3A2-A27E-40E2-B3D1-7BF1AA333550}" name="Disk model"/>
    <tableColumn id="26" xr3:uid="{3C512A73-D70A-427B-BD05-153BCFB5F7F3}" name="Erasure start time"/>
    <tableColumn id="27" xr3:uid="{1C7C5782-8831-4ECC-8367-7A6FCD2462BA}" name="Battery capacity"/>
    <tableColumn id="28" xr3:uid="{2AEE377B-86E4-4F06-95D9-38854F86FA1E}" name="Battery test comment"/>
    <tableColumn id="29" xr3:uid="{F7E5595E-CE00-474F-8219-E0FA8B5B5CB9}" name="Erasure technician"/>
    <tableColumn id="30" xr3:uid="{80EED2BA-96AB-419E-80D9-28E14D0A4A90}" name="UUID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91EA0642-D003-44E0-B644-5798523C3892}" name="Table3" displayName="Table3" ref="A1:C2" totalsRowShown="0" dataDxfId="3">
  <autoFilter ref="A1:C2" xr:uid="{91EA0642-D003-44E0-B644-5798523C3892}"/>
  <tableColumns count="3">
    <tableColumn id="1" xr3:uid="{6E6F8EA8-FB6F-4A67-90FD-C7B6AFB035E4}" name="מספר פרויקט" dataDxfId="2"/>
    <tableColumn id="2" xr3:uid="{9C21112A-AE9D-46C7-9194-30F78707C528}" name="Item code" dataDxfId="1"/>
    <tableColumn id="3" xr3:uid="{D157A6C9-50AE-40BB-A385-BA3D5F36133C}" name="לקוח סופי" dataDxfId="0"/>
  </tableColumns>
  <tableStyleInfo name="TableStyleMedium8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table" Target="../tables/table2.xml"/><Relationship Id="rId1" Type="http://schemas.openxmlformats.org/officeDocument/2006/relationships/table" Target="../tables/table1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7EBCD98-A94D-41DA-81ED-307598EC0F43}">
  <sheetPr codeName="Sheet1">
    <tabColor theme="9"/>
  </sheetPr>
  <dimension ref="A1:X170"/>
  <sheetViews>
    <sheetView topLeftCell="B1" workbookViewId="0">
      <selection activeCell="B1" sqref="B1:X1"/>
    </sheetView>
  </sheetViews>
  <sheetFormatPr defaultRowHeight="15"/>
  <cols>
    <col min="1" max="1" width="8.140625" style="2" hidden="1" customWidth="1"/>
    <col min="2" max="2" width="26" style="2" customWidth="1"/>
    <col min="3" max="3" width="18.7109375" style="2" customWidth="1"/>
    <col min="4" max="4" width="7" style="2" bestFit="1" customWidth="1"/>
    <col min="5" max="5" width="13" style="2" customWidth="1"/>
    <col min="6" max="6" width="11.5703125" style="2" customWidth="1"/>
    <col min="7" max="7" width="22" style="2" customWidth="1"/>
    <col min="8" max="8" width="28.42578125" style="2" customWidth="1"/>
    <col min="9" max="9" width="18.28515625" style="2" customWidth="1"/>
    <col min="10" max="10" width="20.7109375" style="2" customWidth="1"/>
    <col min="11" max="11" width="15.140625" style="2" customWidth="1"/>
    <col min="12" max="12" width="26.140625" style="2" customWidth="1"/>
    <col min="13" max="13" width="17.85546875" style="2" customWidth="1"/>
    <col min="14" max="14" width="20" style="2" customWidth="1"/>
    <col min="15" max="15" width="71.85546875" style="2" customWidth="1"/>
    <col min="16" max="16" width="17.28515625" style="2" bestFit="1" customWidth="1"/>
    <col min="17" max="17" width="32.140625" style="2" bestFit="1" customWidth="1"/>
    <col min="18" max="18" width="18" style="2" bestFit="1" customWidth="1"/>
    <col min="19" max="19" width="17.140625" style="2" bestFit="1" customWidth="1"/>
    <col min="20" max="20" width="26.7109375" style="2" bestFit="1" customWidth="1"/>
    <col min="21" max="22" width="12.5703125" style="2" bestFit="1" customWidth="1"/>
    <col min="23" max="23" width="11.28515625" style="2" bestFit="1" customWidth="1"/>
    <col min="24" max="24" width="17.28515625" customWidth="1"/>
  </cols>
  <sheetData>
    <row r="1" spans="1:24" ht="18" thickBot="1">
      <c r="A1" s="1" t="s">
        <v>566</v>
      </c>
      <c r="B1" s="43" t="s">
        <v>567</v>
      </c>
      <c r="C1" s="43" t="s">
        <v>65</v>
      </c>
      <c r="D1" s="43" t="s">
        <v>2</v>
      </c>
      <c r="E1" s="43" t="s">
        <v>3</v>
      </c>
      <c r="F1" s="43" t="s">
        <v>4</v>
      </c>
      <c r="G1" s="43" t="s">
        <v>5</v>
      </c>
      <c r="H1" s="43" t="s">
        <v>6</v>
      </c>
      <c r="I1" s="43" t="s">
        <v>7</v>
      </c>
      <c r="J1" s="43" t="s">
        <v>8</v>
      </c>
      <c r="K1" s="43" t="s">
        <v>9</v>
      </c>
      <c r="L1" s="43" t="s">
        <v>10</v>
      </c>
      <c r="M1" s="43" t="s">
        <v>11</v>
      </c>
      <c r="N1" s="43" t="s">
        <v>12</v>
      </c>
      <c r="O1" s="43" t="s">
        <v>13</v>
      </c>
      <c r="P1" s="43" t="s">
        <v>14</v>
      </c>
      <c r="Q1" s="43" t="s">
        <v>15</v>
      </c>
      <c r="R1" s="43" t="s">
        <v>16</v>
      </c>
      <c r="S1" s="43" t="s">
        <v>17</v>
      </c>
      <c r="T1" s="43" t="s">
        <v>18</v>
      </c>
      <c r="U1" s="43" t="s">
        <v>19</v>
      </c>
      <c r="V1" s="43" t="s">
        <v>20</v>
      </c>
      <c r="W1" s="43" t="s">
        <v>21</v>
      </c>
      <c r="X1" s="44" t="s">
        <v>565</v>
      </c>
    </row>
    <row r="2" spans="1:24" ht="15.75" thickTop="1">
      <c r="A2" s="2" t="str">
        <f>_xlfn.TEXTJOIN("",TRUE,Input!$B$2,"0",ROW(My_Audit!A1))</f>
        <v>X01</v>
      </c>
      <c r="B2" s="2" t="str">
        <f>_xlfn.TEXTJOIN("-",TRUE,"ITD",Input!$A$2,A2)</f>
        <v>ITD-SHR-X01</v>
      </c>
      <c r="C2" s="2" t="str" cm="1">
        <f t="array" ref="C2">IFERROR(_xlfn.LET(
_xlpm.CSVVal,_xlfn.XLOOKUP($A2,CSV!$A:$A,CSV!B:B,""),
_xlpm.MacVal,_xlfn.XLOOKUP($A2,Output_Mac!$A:$A,Output_Mac!B:B,""),
_xlpm.MyAuditVal,_xlfn.XLOOKUP($A2,My_Audit!$A:$A,My_Audit!B:B,""),
_xlfn.IFS(_xlpm.MyAuditVal&lt;&gt;"",UPPER(_xlpm.MyAuditVal),_xlpm.MacVal&lt;&gt;"",_xlpm.MacVal,_xlpm.CSVVal&lt;&gt;"",_xlpm.CSVVal
)),"")</f>
        <v/>
      </c>
      <c r="D2" s="2" t="str" cm="1">
        <f t="array" ref="D2">IFERROR(_xlfn.LET(
_xlpm.CSVVal,_xlfn.XLOOKUP($A2,CSV!$A:$A,CSV!D:D,""),
_xlpm.MacVal,_xlfn.XLOOKUP($A2,Output_Mac!$A:$A,Output_Mac!C:C,""),
_xlpm.MyAuditVal,_xlfn.XLOOKUP($A2,My_Audit!$A:$A,My_Audit!C:C,""),
_xlfn.IFS(_xlpm.MyAuditVal&lt;&gt;"",_xlpm.MyAuditVal,_xlpm.MacVal&lt;&gt;"",_xlpm.MacVal,_xlpm.CSVVal&lt;&gt;"",_xlpm.CSVVal
)),"")</f>
        <v/>
      </c>
      <c r="E2" s="2">
        <f>_xlfn.XLOOKUP(A2,My_Audit!A:A,My_Audit!D:D,"")</f>
        <v>0</v>
      </c>
      <c r="F2" s="2" t="str" cm="1">
        <f t="array" ref="F2">IFERROR(_xlfn.LET(
_xlpm.CSVVal,_xlfn.XLOOKUP($A2,CSV!$A:$A,CSV!F:F,""),
_xlpm.MacVal,_xlfn.XLOOKUP($A2,Output_Mac!$A:$A,Output_Mac!E:E,""),
_xlpm.MyAuditVal,_xlfn.XLOOKUP($A2,My_Audit!$A:$A,My_Audit!E:E,""),
_xlfn.IFS(_xlpm.MyAuditVal&lt;&gt;"",_xlpm.MyAuditVal,_xlpm.MacVal&lt;&gt;"",_xlpm.MacVal,_xlpm.CSVVal&lt;&gt;"",_xlpm.CSVVal
)),"")</f>
        <v/>
      </c>
      <c r="G2" s="2" t="str" cm="1">
        <f t="array" ref="G2">IFERROR(_xlfn.LET(
_xlpm.CSVVal,_xlfn.XLOOKUP($A2,CSV!$A:$A,CSV!G:G,""),
_xlpm.MacVal,_xlfn.XLOOKUP($A2,Output_Mac!$A:$A,Output_Mac!F:F,""),
_xlpm.MyAuditVal,_xlfn.XLOOKUP($A2,My_Audit!$A:$A,My_Audit!F:F,""),
_xlfn.IFS(_xlpm.MyAuditVal&lt;&gt;"",_xlpm.MyAuditVal,_xlpm.MacVal&lt;&gt;"",_xlpm.MacVal,_xlpm.CSVVal&lt;&gt;"",PROPER(_xlpm.CSVVal)
)),"")</f>
        <v/>
      </c>
      <c r="H2" s="2" t="str" cm="1">
        <f t="array" ref="H2">IFERROR(_xlfn.LET(
_xlpm.CSVVal,_xlfn.XLOOKUP($A2,CSV!$A:$A,CSV!H:H,""),
_xlpm.MacVal,_xlfn.XLOOKUP($A2,Output_Mac!$A:$A,Output_Mac!H:H,""),
_xlpm.MyAuditVal,_xlfn.XLOOKUP($A2,My_Audit!$A:$A,My_Audit!G:G,""),
_xlfn.IFS(_xlpm.MyAuditVal&lt;&gt;"",_xlpm.MyAuditVal,_xlpm.MacVal&lt;&gt;"",_xlpm.MacVal,_xlpm.CSVVal&lt;&gt;"",_xlpm.CSVVal
)),"")</f>
        <v/>
      </c>
      <c r="I2" s="2" t="str">
        <f>_xlfn.XLOOKUP(A2,Output_Mac!A:A,Output_Mac!I:I,"")</f>
        <v/>
      </c>
      <c r="J2" s="2" t="str" cm="1">
        <f t="array" ref="J2">IFERROR(_xlfn.LET(
_xlpm.CSVVal,_xlfn.XLOOKUP($A2,CSV!$A:$A,CSV!I:I,""),
_xlpm.MacVal,_xlfn.XLOOKUP($A2,Output_Mac!$A:$A,Output_Mac!J:J,""),
_xlpm.MyAuditVal,_xlfn.XLOOKUP($A2,My_Audit!$A:$A,My_Audit!I:I,""),
_xlfn.IFS(_xlpm.MyAuditVal&lt;&gt;"",UPPER(_xlpm.MyAuditVal),_xlpm.MacVal&lt;&gt;"",_xlpm.MacVal,_xlpm.CSVVal&lt;&gt;"",_xlpm.CSVVal
)),"")</f>
        <v/>
      </c>
      <c r="K2" s="2" t="str" cm="1">
        <f t="array" ref="K2">IFERROR(_xlfn.LET(
_xlpm.CSVVal,_xlfn.XLOOKUP($A2,CSV!$A:$A,CSV!K:K,""),
_xlpm.MacVal,_xlfn.XLOOKUP($A2,Output_Mac!$A:$A,Output_Mac!K:K,""),
_xlpm.MyAuditVal,_xlfn.XLOOKUP($A2,My_Audit!$A:$A,My_Audit!J:J,""),
_xlfn.IFS(_xlpm.MyAuditVal&lt;&gt;"",UPPER(_xlpm.MyAuditVal),_xlpm.MacVal&lt;&gt;"",_xlpm.MacVal,_xlpm.CSVVal&lt;&gt;"",_xlpm.CSVVal
)),"")</f>
        <v/>
      </c>
      <c r="L2" s="2" t="str" cm="1">
        <f t="array" ref="L2">IFERROR(_xlfn.LET(
_xlpm.CSVVal,_xlfn.XLOOKUP($A2,CSV!$A:$A,CSV!P:P,""),
_xlpm.MacVal,_xlfn.XLOOKUP($A2,Output_Mac!$A:$A,Output_Mac!L:L,""),
_xlpm.MyAuditVal,_xlfn.XLOOKUP($A2,My_Audit!$A:$A,My_Audit!K:K,""),
_xlfn.IFS(_xlpm.MyAuditVal&lt;&gt;"",UPPER(_xlpm.MyAuditVal),_xlpm.MacVal&lt;&gt;"",_xlpm.MacVal,_xlpm.CSVVal&lt;&gt;"",_xlpm.CSVVal
)),"")</f>
        <v/>
      </c>
      <c r="M2" s="2" t="str" cm="1">
        <f t="array" ref="M2">IFERROR(_xlfn.LET(
_xlpm.CSVVal,_xlfn.XLOOKUP($A2,CSV!$A:$A,CSV!Q:Q,""),
_xlpm.MacVal,_xlfn.XLOOKUP($A2,Output_Mac!$A:$A,Output_Mac!M:M,""),
_xlpm.MyAuditVal,_xlfn.XLOOKUP($A2,My_Audit!$A:$A,My_Audit!L:L,""),
_xlfn.IFS(_xlpm.MyAuditVal&lt;&gt;"",UPPER(_xlpm.MyAuditVal),_xlpm.MacVal&lt;&gt;"",_xlpm.MacVal,_xlpm.CSVVal&lt;&gt;"",_xlpm.CSVVal
)),"")</f>
        <v/>
      </c>
      <c r="O2" s="2" t="str">
        <f>_xlfn.LET(
    _xlpm.CSVVal, _xlfn.XLOOKUP($A2, CSV!$A:$A, CSV!AA:AA, ""),
    _xlpm.MacVal, _xlfn.XLOOKUP($A2, Output_Mac!$A:$A, Output_Mac!S:S, ""),
    _xlpm.MyAuditVal, _xlfn.XLOOKUP($A2, My_Audit!$A:$A, My_Audit!P:P, ""),
    _xlfn.TEXTJOIN(", ", TRUE, _xlpm.MyAuditVal, _xlpm.MacVal, _xlpm.CSVVal)
)</f>
        <v/>
      </c>
      <c r="P2" s="2" t="str" cm="1">
        <f t="array" ref="P2">IFERROR(_xlfn.LET(
_xlpm.CSVVal,_xlfn.XLOOKUP($A2,CSV!$A:$A,CSV!AB:AB,""),
_xlpm.MacVal,_xlfn.XLOOKUP($A2,Output_Mac!$A:$A,Output_Mac!T:T,""),
_xlpm.MyAuditVal,_xlfn.XLOOKUP($A2,My_Audit!$A:$A,My_Audit!Q:Q,""),
_xlfn.IFS(_xlpm.MyAuditVal&lt;&gt;"",UPPER(_xlpm.MyAuditVal),_xlpm.MacVal&lt;&gt;"",_xlpm.MacVal,_xlpm.CSVVal&lt;&gt;"",_xlpm.CSVVal
)),"No")</f>
        <v>No</v>
      </c>
      <c r="Q2" s="2" t="str" cm="1">
        <f t="array" ref="Q2">IFERROR(_xlfn.LET(
_xlpm.CSVVal,_xlfn.XLOOKUP($A2,CSV!$A:$A,CSV!AC:AC,""),
_xlpm.MacVal,_xlfn.XLOOKUP($A2,Output_Mac!$A:$A,Output_Mac!U:U,""),
_xlpm.MyAuditVal,_xlfn.XLOOKUP($A2,My_Audit!$A:$A,My_Audit!R:R,""),
_xlfn.IFS(_xlpm.MyAuditVal&lt;&gt;"",UPPER(_xlpm.MyAuditVal),_xlpm.MacVal&lt;&gt;"",_xlpm.MacVal,_xlpm.CSVVal&lt;&gt;"",_xlpm.CSVVal
)),"")</f>
        <v/>
      </c>
      <c r="X2" t="str">
        <f>_xlfn.LET(
    _xlpm.MacVal, _xlfn.XLOOKUP($A2, Output_Mac!$A:$A, Output_Mac!AB:AB, ""),
    _xlpm.MyAuditVal, _xlfn.XLOOKUP($A2, My_Audit!$A:$A, My_Audit!N:N, ""),
    _xlfn.TEXTJOIN(", ", TRUE, _xlpm.MyAuditVal, _xlpm.MacVal)
)</f>
        <v/>
      </c>
    </row>
    <row r="3" spans="1:24">
      <c r="A3" s="2" t="str">
        <f>_xlfn.TEXTJOIN("",TRUE,Input!$B$2,"0",ROW(My_Audit!A2))</f>
        <v>X02</v>
      </c>
      <c r="B3" s="2" t="str">
        <f>_xlfn.TEXTJOIN("-",TRUE,"ITD",Input!$A$2,A3)</f>
        <v>ITD-SHR-X02</v>
      </c>
      <c r="C3" s="2" t="str" cm="1">
        <f t="array" ref="C3">IFERROR(_xlfn.LET(
_xlpm.CSVVal,_xlfn.XLOOKUP($A3,CSV!$A:$A,CSV!B:B,""),
_xlpm.MacVal,_xlfn.XLOOKUP($A3,Output_Mac!$A:$A,Output_Mac!B:B,""),
_xlpm.MyAuditVal,_xlfn.XLOOKUP($A3,My_Audit!$A:$A,My_Audit!B:B,""),
_xlfn.IFS(_xlpm.MyAuditVal&lt;&gt;"",UPPER(_xlpm.MyAuditVal),_xlpm.MacVal&lt;&gt;"",_xlpm.MacVal,_xlpm.CSVVal&lt;&gt;"",_xlpm.CSVVal
)),"")</f>
        <v/>
      </c>
      <c r="D3" s="2" t="str" cm="1">
        <f t="array" ref="D3">IFERROR(_xlfn.LET(
_xlpm.CSVVal,_xlfn.XLOOKUP($A3,CSV!$A:$A,CSV!D:D,""),
_xlpm.MacVal,_xlfn.XLOOKUP($A3,Output_Mac!$A:$A,Output_Mac!C:C,""),
_xlpm.MyAuditVal,_xlfn.XLOOKUP($A3,My_Audit!$A:$A,My_Audit!C:C,""),
_xlfn.IFS(_xlpm.MyAuditVal&lt;&gt;"",_xlpm.MyAuditVal,_xlpm.MacVal&lt;&gt;"",_xlpm.MacVal,_xlpm.CSVVal&lt;&gt;"",_xlpm.CSVVal
)),"")</f>
        <v/>
      </c>
      <c r="E3" s="2">
        <f>_xlfn.XLOOKUP(A3,My_Audit!A:A,My_Audit!D:D,"")</f>
        <v>0</v>
      </c>
      <c r="F3" s="2" t="str" cm="1">
        <f t="array" ref="F3">IFERROR(_xlfn.LET(
_xlpm.CSVVal,_xlfn.XLOOKUP($A3,CSV!$A:$A,CSV!F:F,""),
_xlpm.MacVal,_xlfn.XLOOKUP($A3,Output_Mac!$A:$A,Output_Mac!E:E,""),
_xlpm.MyAuditVal,_xlfn.XLOOKUP($A3,My_Audit!$A:$A,My_Audit!E:E,""),
_xlfn.IFS(_xlpm.MyAuditVal&lt;&gt;"",_xlpm.MyAuditVal,_xlpm.MacVal&lt;&gt;"",_xlpm.MacVal,_xlpm.CSVVal&lt;&gt;"",_xlpm.CSVVal
)),"")</f>
        <v/>
      </c>
      <c r="G3" s="2" t="str" cm="1">
        <f t="array" ref="G3">IFERROR(_xlfn.LET(
_xlpm.CSVVal,_xlfn.XLOOKUP($A3,CSV!$A:$A,CSV!G:G,""),
_xlpm.MacVal,_xlfn.XLOOKUP($A3,Output_Mac!$A:$A,Output_Mac!F:F,""),
_xlpm.MyAuditVal,_xlfn.XLOOKUP($A3,My_Audit!$A:$A,My_Audit!F:F,""),
_xlfn.IFS(_xlpm.MyAuditVal&lt;&gt;"",_xlpm.MyAuditVal,_xlpm.MacVal&lt;&gt;"",_xlpm.MacVal,_xlpm.CSVVal&lt;&gt;"",PROPER(_xlpm.CSVVal)
)),"")</f>
        <v/>
      </c>
      <c r="H3" s="2" t="str" cm="1">
        <f t="array" ref="H3">IFERROR(_xlfn.LET(
_xlpm.CSVVal,_xlfn.XLOOKUP($A3,CSV!$A:$A,CSV!H:H,""),
_xlpm.MacVal,_xlfn.XLOOKUP($A3,Output_Mac!$A:$A,Output_Mac!H:H,""),
_xlpm.MyAuditVal,_xlfn.XLOOKUP($A3,My_Audit!$A:$A,My_Audit!G:G,""),
_xlfn.IFS(_xlpm.MyAuditVal&lt;&gt;"",_xlpm.MyAuditVal,_xlpm.MacVal&lt;&gt;"",_xlpm.MacVal,_xlpm.CSVVal&lt;&gt;"",_xlpm.CSVVal
)),"")</f>
        <v/>
      </c>
      <c r="I3" s="2" t="str">
        <f>_xlfn.XLOOKUP(A3,Output_Mac!A:A,Output_Mac!I:I,"")</f>
        <v/>
      </c>
      <c r="J3" s="2" t="str" cm="1">
        <f t="array" ref="J3">IFERROR(_xlfn.LET(
_xlpm.CSVVal,_xlfn.XLOOKUP($A3,CSV!$A:$A,CSV!I:I,""),
_xlpm.MacVal,_xlfn.XLOOKUP($A3,Output_Mac!$A:$A,Output_Mac!J:J,""),
_xlpm.MyAuditVal,_xlfn.XLOOKUP($A3,My_Audit!$A:$A,My_Audit!I:I,""),
_xlfn.IFS(_xlpm.MyAuditVal&lt;&gt;"",UPPER(_xlpm.MyAuditVal),_xlpm.MacVal&lt;&gt;"",_xlpm.MacVal,_xlpm.CSVVal&lt;&gt;"",_xlpm.CSVVal
)),"")</f>
        <v/>
      </c>
      <c r="K3" s="2" t="str" cm="1">
        <f t="array" ref="K3">IFERROR(_xlfn.LET(
_xlpm.CSVVal,_xlfn.XLOOKUP($A3,CSV!$A:$A,CSV!K:K,""),
_xlpm.MacVal,_xlfn.XLOOKUP($A3,Output_Mac!$A:$A,Output_Mac!K:K,""),
_xlpm.MyAuditVal,_xlfn.XLOOKUP($A3,My_Audit!$A:$A,My_Audit!J:J,""),
_xlfn.IFS(_xlpm.MyAuditVal&lt;&gt;"",UPPER(_xlpm.MyAuditVal),_xlpm.MacVal&lt;&gt;"",_xlpm.MacVal,_xlpm.CSVVal&lt;&gt;"",_xlpm.CSVVal
)),"")</f>
        <v/>
      </c>
      <c r="L3" s="2" t="str" cm="1">
        <f t="array" ref="L3">IFERROR(_xlfn.LET(
_xlpm.CSVVal,_xlfn.XLOOKUP($A3,CSV!$A:$A,CSV!P:P,""),
_xlpm.MacVal,_xlfn.XLOOKUP($A3,Output_Mac!$A:$A,Output_Mac!L:L,""),
_xlpm.MyAuditVal,_xlfn.XLOOKUP($A3,My_Audit!$A:$A,My_Audit!K:K,""),
_xlfn.IFS(_xlpm.MyAuditVal&lt;&gt;"",UPPER(_xlpm.MyAuditVal),_xlpm.MacVal&lt;&gt;"",_xlpm.MacVal,_xlpm.CSVVal&lt;&gt;"",_xlpm.CSVVal
)),"")</f>
        <v/>
      </c>
      <c r="M3" s="2" t="str" cm="1">
        <f t="array" ref="M3">IFERROR(_xlfn.LET(
_xlpm.CSVVal,_xlfn.XLOOKUP($A3,CSV!$A:$A,CSV!Q:Q,""),
_xlpm.MacVal,_xlfn.XLOOKUP($A3,Output_Mac!$A:$A,Output_Mac!M:M,""),
_xlpm.MyAuditVal,_xlfn.XLOOKUP($A3,My_Audit!$A:$A,My_Audit!L:L,""),
_xlfn.IFS(_xlpm.MyAuditVal&lt;&gt;"",UPPER(_xlpm.MyAuditVal),_xlpm.MacVal&lt;&gt;"",_xlpm.MacVal,_xlpm.CSVVal&lt;&gt;"",_xlpm.CSVVal
)),"")</f>
        <v/>
      </c>
      <c r="O3" s="2" t="str">
        <f>_xlfn.LET(
    _xlpm.CSVVal, _xlfn.XLOOKUP($A3, CSV!$A:$A, CSV!AA:AA, ""),
    _xlpm.MacVal, _xlfn.XLOOKUP($A3, Output_Mac!$A:$A, Output_Mac!S:S, ""),
    _xlpm.MyAuditVal, _xlfn.XLOOKUP($A3, My_Audit!$A:$A, My_Audit!P:P, ""),
    _xlfn.TEXTJOIN(", ", TRUE, _xlpm.MyAuditVal, _xlpm.MacVal, _xlpm.CSVVal)
)</f>
        <v/>
      </c>
      <c r="P3" s="2" t="str" cm="1">
        <f t="array" ref="P3">IFERROR(_xlfn.LET(
_xlpm.CSVVal,_xlfn.XLOOKUP($A3,CSV!$A:$A,CSV!AB:AB,""),
_xlpm.MacVal,_xlfn.XLOOKUP($A3,Output_Mac!$A:$A,Output_Mac!T:T,""),
_xlpm.MyAuditVal,_xlfn.XLOOKUP($A3,My_Audit!$A:$A,My_Audit!Q:Q,""),
_xlfn.IFS(_xlpm.MyAuditVal&lt;&gt;"",UPPER(_xlpm.MyAuditVal),_xlpm.MacVal&lt;&gt;"",_xlpm.MacVal,_xlpm.CSVVal&lt;&gt;"",_xlpm.CSVVal
)),"No")</f>
        <v>No</v>
      </c>
      <c r="Q3" s="2" t="str" cm="1">
        <f t="array" ref="Q3">IFERROR(_xlfn.LET(
_xlpm.CSVVal,_xlfn.XLOOKUP($A3,CSV!$A:$A,CSV!AC:AC,""),
_xlpm.MacVal,_xlfn.XLOOKUP($A3,Output_Mac!$A:$A,Output_Mac!U:U,""),
_xlpm.MyAuditVal,_xlfn.XLOOKUP($A3,My_Audit!$A:$A,My_Audit!R:R,""),
_xlfn.IFS(_xlpm.MyAuditVal&lt;&gt;"",UPPER(_xlpm.MyAuditVal),_xlpm.MacVal&lt;&gt;"",_xlpm.MacVal,_xlpm.CSVVal&lt;&gt;"",_xlpm.CSVVal
)),"")</f>
        <v/>
      </c>
      <c r="X3" t="str">
        <f>_xlfn.LET(
    _xlpm.MacVal, _xlfn.XLOOKUP($A3, Output_Mac!$A:$A, Output_Mac!AB:AB, ""),
    _xlpm.MyAuditVal, _xlfn.XLOOKUP($A3, My_Audit!$A:$A, My_Audit!N:N, ""),
    _xlfn.TEXTJOIN(", ", TRUE, _xlpm.MyAuditVal, _xlpm.MacVal)
)</f>
        <v/>
      </c>
    </row>
    <row r="4" spans="1:24">
      <c r="A4" s="2" t="str">
        <f>_xlfn.TEXTJOIN("",TRUE,Input!$B$2,"0",ROW(My_Audit!A3))</f>
        <v>X03</v>
      </c>
      <c r="B4" s="2" t="str">
        <f>_xlfn.TEXTJOIN("-",TRUE,"ITD",Input!$A$2,A4)</f>
        <v>ITD-SHR-X03</v>
      </c>
      <c r="C4" s="2" t="str" cm="1">
        <f t="array" ref="C4">IFERROR(_xlfn.LET(
_xlpm.CSVVal,_xlfn.XLOOKUP($A4,CSV!$A:$A,CSV!B:B,""),
_xlpm.MacVal,_xlfn.XLOOKUP($A4,Output_Mac!$A:$A,Output_Mac!B:B,""),
_xlpm.MyAuditVal,_xlfn.XLOOKUP($A4,My_Audit!$A:$A,My_Audit!B:B,""),
_xlfn.IFS(_xlpm.MyAuditVal&lt;&gt;"",UPPER(_xlpm.MyAuditVal),_xlpm.MacVal&lt;&gt;"",_xlpm.MacVal,_xlpm.CSVVal&lt;&gt;"",_xlpm.CSVVal
)),"")</f>
        <v/>
      </c>
      <c r="D4" s="2" t="str" cm="1">
        <f t="array" ref="D4">IFERROR(_xlfn.LET(
_xlpm.CSVVal,_xlfn.XLOOKUP($A4,CSV!$A:$A,CSV!D:D,""),
_xlpm.MacVal,_xlfn.XLOOKUP($A4,Output_Mac!$A:$A,Output_Mac!C:C,""),
_xlpm.MyAuditVal,_xlfn.XLOOKUP($A4,My_Audit!$A:$A,My_Audit!C:C,""),
_xlfn.IFS(_xlpm.MyAuditVal&lt;&gt;"",_xlpm.MyAuditVal,_xlpm.MacVal&lt;&gt;"",_xlpm.MacVal,_xlpm.CSVVal&lt;&gt;"",_xlpm.CSVVal
)),"")</f>
        <v/>
      </c>
      <c r="E4" s="2">
        <f>_xlfn.XLOOKUP(A4,My_Audit!A:A,My_Audit!D:D,"")</f>
        <v>0</v>
      </c>
      <c r="F4" s="2" t="str" cm="1">
        <f t="array" ref="F4">IFERROR(_xlfn.LET(
_xlpm.CSVVal,_xlfn.XLOOKUP($A4,CSV!$A:$A,CSV!F:F,""),
_xlpm.MacVal,_xlfn.XLOOKUP($A4,Output_Mac!$A:$A,Output_Mac!E:E,""),
_xlpm.MyAuditVal,_xlfn.XLOOKUP($A4,My_Audit!$A:$A,My_Audit!E:E,""),
_xlfn.IFS(_xlpm.MyAuditVal&lt;&gt;"",_xlpm.MyAuditVal,_xlpm.MacVal&lt;&gt;"",_xlpm.MacVal,_xlpm.CSVVal&lt;&gt;"",_xlpm.CSVVal
)),"")</f>
        <v/>
      </c>
      <c r="G4" s="2" t="str" cm="1">
        <f t="array" ref="G4">IFERROR(_xlfn.LET(
_xlpm.CSVVal,_xlfn.XLOOKUP($A4,CSV!$A:$A,CSV!G:G,""),
_xlpm.MacVal,_xlfn.XLOOKUP($A4,Output_Mac!$A:$A,Output_Mac!F:F,""),
_xlpm.MyAuditVal,_xlfn.XLOOKUP($A4,My_Audit!$A:$A,My_Audit!F:F,""),
_xlfn.IFS(_xlpm.MyAuditVal&lt;&gt;"",_xlpm.MyAuditVal,_xlpm.MacVal&lt;&gt;"",_xlpm.MacVal,_xlpm.CSVVal&lt;&gt;"",PROPER(_xlpm.CSVVal)
)),"")</f>
        <v/>
      </c>
      <c r="H4" s="2" t="str" cm="1">
        <f t="array" ref="H4">IFERROR(_xlfn.LET(
_xlpm.CSVVal,_xlfn.XLOOKUP($A4,CSV!$A:$A,CSV!H:H,""),
_xlpm.MacVal,_xlfn.XLOOKUP($A4,Output_Mac!$A:$A,Output_Mac!H:H,""),
_xlpm.MyAuditVal,_xlfn.XLOOKUP($A4,My_Audit!$A:$A,My_Audit!G:G,""),
_xlfn.IFS(_xlpm.MyAuditVal&lt;&gt;"",_xlpm.MyAuditVal,_xlpm.MacVal&lt;&gt;"",_xlpm.MacVal,_xlpm.CSVVal&lt;&gt;"",_xlpm.CSVVal
)),"")</f>
        <v/>
      </c>
      <c r="I4" s="2" t="str">
        <f>_xlfn.XLOOKUP(A4,Output_Mac!A:A,Output_Mac!I:I,"")</f>
        <v/>
      </c>
      <c r="J4" s="2" t="str" cm="1">
        <f t="array" ref="J4">IFERROR(_xlfn.LET(
_xlpm.CSVVal,_xlfn.XLOOKUP($A4,CSV!$A:$A,CSV!I:I,""),
_xlpm.MacVal,_xlfn.XLOOKUP($A4,Output_Mac!$A:$A,Output_Mac!J:J,""),
_xlpm.MyAuditVal,_xlfn.XLOOKUP($A4,My_Audit!$A:$A,My_Audit!I:I,""),
_xlfn.IFS(_xlpm.MyAuditVal&lt;&gt;"",UPPER(_xlpm.MyAuditVal),_xlpm.MacVal&lt;&gt;"",_xlpm.MacVal,_xlpm.CSVVal&lt;&gt;"",_xlpm.CSVVal
)),"")</f>
        <v/>
      </c>
      <c r="K4" s="2" t="str" cm="1">
        <f t="array" ref="K4">IFERROR(_xlfn.LET(
_xlpm.CSVVal,_xlfn.XLOOKUP($A4,CSV!$A:$A,CSV!K:K,""),
_xlpm.MacVal,_xlfn.XLOOKUP($A4,Output_Mac!$A:$A,Output_Mac!K:K,""),
_xlpm.MyAuditVal,_xlfn.XLOOKUP($A4,My_Audit!$A:$A,My_Audit!J:J,""),
_xlfn.IFS(_xlpm.MyAuditVal&lt;&gt;"",UPPER(_xlpm.MyAuditVal),_xlpm.MacVal&lt;&gt;"",_xlpm.MacVal,_xlpm.CSVVal&lt;&gt;"",_xlpm.CSVVal
)),"")</f>
        <v/>
      </c>
      <c r="L4" s="2" t="str" cm="1">
        <f t="array" ref="L4">IFERROR(_xlfn.LET(
_xlpm.CSVVal,_xlfn.XLOOKUP($A4,CSV!$A:$A,CSV!P:P,""),
_xlpm.MacVal,_xlfn.XLOOKUP($A4,Output_Mac!$A:$A,Output_Mac!L:L,""),
_xlpm.MyAuditVal,_xlfn.XLOOKUP($A4,My_Audit!$A:$A,My_Audit!K:K,""),
_xlfn.IFS(_xlpm.MyAuditVal&lt;&gt;"",UPPER(_xlpm.MyAuditVal),_xlpm.MacVal&lt;&gt;"",_xlpm.MacVal,_xlpm.CSVVal&lt;&gt;"",_xlpm.CSVVal
)),"")</f>
        <v/>
      </c>
      <c r="M4" s="2" t="str" cm="1">
        <f t="array" ref="M4">IFERROR(_xlfn.LET(
_xlpm.CSVVal,_xlfn.XLOOKUP($A4,CSV!$A:$A,CSV!Q:Q,""),
_xlpm.MacVal,_xlfn.XLOOKUP($A4,Output_Mac!$A:$A,Output_Mac!M:M,""),
_xlpm.MyAuditVal,_xlfn.XLOOKUP($A4,My_Audit!$A:$A,My_Audit!L:L,""),
_xlfn.IFS(_xlpm.MyAuditVal&lt;&gt;"",UPPER(_xlpm.MyAuditVal),_xlpm.MacVal&lt;&gt;"",_xlpm.MacVal,_xlpm.CSVVal&lt;&gt;"",_xlpm.CSVVal
)),"")</f>
        <v/>
      </c>
      <c r="O4" s="2" t="str">
        <f>_xlfn.LET(
    _xlpm.CSVVal, _xlfn.XLOOKUP($A4, CSV!$A:$A, CSV!AA:AA, ""),
    _xlpm.MacVal, _xlfn.XLOOKUP($A4, Output_Mac!$A:$A, Output_Mac!S:S, ""),
    _xlpm.MyAuditVal, _xlfn.XLOOKUP($A4, My_Audit!$A:$A, My_Audit!P:P, ""),
    _xlfn.TEXTJOIN(", ", TRUE, _xlpm.MyAuditVal, _xlpm.MacVal, _xlpm.CSVVal)
)</f>
        <v/>
      </c>
      <c r="P4" s="2" t="str" cm="1">
        <f t="array" ref="P4">IFERROR(_xlfn.LET(
_xlpm.CSVVal,_xlfn.XLOOKUP($A4,CSV!$A:$A,CSV!AB:AB,""),
_xlpm.MacVal,_xlfn.XLOOKUP($A4,Output_Mac!$A:$A,Output_Mac!T:T,""),
_xlpm.MyAuditVal,_xlfn.XLOOKUP($A4,My_Audit!$A:$A,My_Audit!Q:Q,""),
_xlfn.IFS(_xlpm.MyAuditVal&lt;&gt;"",UPPER(_xlpm.MyAuditVal),_xlpm.MacVal&lt;&gt;"",_xlpm.MacVal,_xlpm.CSVVal&lt;&gt;"",_xlpm.CSVVal
)),"No")</f>
        <v>No</v>
      </c>
      <c r="Q4" s="2" t="str" cm="1">
        <f t="array" ref="Q4">IFERROR(_xlfn.LET(
_xlpm.CSVVal,_xlfn.XLOOKUP($A4,CSV!$A:$A,CSV!AC:AC,""),
_xlpm.MacVal,_xlfn.XLOOKUP($A4,Output_Mac!$A:$A,Output_Mac!U:U,""),
_xlpm.MyAuditVal,_xlfn.XLOOKUP($A4,My_Audit!$A:$A,My_Audit!R:R,""),
_xlfn.IFS(_xlpm.MyAuditVal&lt;&gt;"",UPPER(_xlpm.MyAuditVal),_xlpm.MacVal&lt;&gt;"",_xlpm.MacVal,_xlpm.CSVVal&lt;&gt;"",_xlpm.CSVVal
)),"")</f>
        <v/>
      </c>
      <c r="X4" t="str">
        <f>_xlfn.LET(
    _xlpm.MacVal, _xlfn.XLOOKUP($A4, Output_Mac!$A:$A, Output_Mac!AB:AB, ""),
    _xlpm.MyAuditVal, _xlfn.XLOOKUP($A4, My_Audit!$A:$A, My_Audit!N:N, ""),
    _xlfn.TEXTJOIN(", ", TRUE, _xlpm.MyAuditVal, _xlpm.MacVal)
)</f>
        <v/>
      </c>
    </row>
    <row r="5" spans="1:24">
      <c r="A5" s="2" t="str">
        <f>_xlfn.TEXTJOIN("",TRUE,Input!$B$2,"0",ROW(My_Audit!A4))</f>
        <v>X04</v>
      </c>
      <c r="B5" s="2" t="str">
        <f>_xlfn.TEXTJOIN("-",TRUE,"ITD",Input!$A$2,A5)</f>
        <v>ITD-SHR-X04</v>
      </c>
      <c r="C5" s="2" t="str" cm="1">
        <f t="array" ref="C5">IFERROR(_xlfn.LET(
_xlpm.CSVVal,_xlfn.XLOOKUP($A5,CSV!$A:$A,CSV!B:B,""),
_xlpm.MacVal,_xlfn.XLOOKUP($A5,Output_Mac!$A:$A,Output_Mac!B:B,""),
_xlpm.MyAuditVal,_xlfn.XLOOKUP($A5,My_Audit!$A:$A,My_Audit!B:B,""),
_xlfn.IFS(_xlpm.MyAuditVal&lt;&gt;"",UPPER(_xlpm.MyAuditVal),_xlpm.MacVal&lt;&gt;"",_xlpm.MacVal,_xlpm.CSVVal&lt;&gt;"",_xlpm.CSVVal
)),"")</f>
        <v/>
      </c>
      <c r="D5" s="2" t="str" cm="1">
        <f t="array" ref="D5">IFERROR(_xlfn.LET(
_xlpm.CSVVal,_xlfn.XLOOKUP($A5,CSV!$A:$A,CSV!D:D,""),
_xlpm.MacVal,_xlfn.XLOOKUP($A5,Output_Mac!$A:$A,Output_Mac!C:C,""),
_xlpm.MyAuditVal,_xlfn.XLOOKUP($A5,My_Audit!$A:$A,My_Audit!C:C,""),
_xlfn.IFS(_xlpm.MyAuditVal&lt;&gt;"",_xlpm.MyAuditVal,_xlpm.MacVal&lt;&gt;"",_xlpm.MacVal,_xlpm.CSVVal&lt;&gt;"",_xlpm.CSVVal
)),"")</f>
        <v/>
      </c>
      <c r="E5" s="2">
        <f>_xlfn.XLOOKUP(A5,My_Audit!A:A,My_Audit!D:D,"")</f>
        <v>0</v>
      </c>
      <c r="F5" s="2" t="str" cm="1">
        <f t="array" ref="F5">IFERROR(_xlfn.LET(
_xlpm.CSVVal,_xlfn.XLOOKUP($A5,CSV!$A:$A,CSV!F:F,""),
_xlpm.MacVal,_xlfn.XLOOKUP($A5,Output_Mac!$A:$A,Output_Mac!E:E,""),
_xlpm.MyAuditVal,_xlfn.XLOOKUP($A5,My_Audit!$A:$A,My_Audit!E:E,""),
_xlfn.IFS(_xlpm.MyAuditVal&lt;&gt;"",_xlpm.MyAuditVal,_xlpm.MacVal&lt;&gt;"",_xlpm.MacVal,_xlpm.CSVVal&lt;&gt;"",_xlpm.CSVVal
)),"")</f>
        <v/>
      </c>
      <c r="G5" s="2" t="str" cm="1">
        <f t="array" ref="G5">IFERROR(_xlfn.LET(
_xlpm.CSVVal,_xlfn.XLOOKUP($A5,CSV!$A:$A,CSV!G:G,""),
_xlpm.MacVal,_xlfn.XLOOKUP($A5,Output_Mac!$A:$A,Output_Mac!F:F,""),
_xlpm.MyAuditVal,_xlfn.XLOOKUP($A5,My_Audit!$A:$A,My_Audit!F:F,""),
_xlfn.IFS(_xlpm.MyAuditVal&lt;&gt;"",_xlpm.MyAuditVal,_xlpm.MacVal&lt;&gt;"",_xlpm.MacVal,_xlpm.CSVVal&lt;&gt;"",PROPER(_xlpm.CSVVal)
)),"")</f>
        <v/>
      </c>
      <c r="H5" s="2" t="str" cm="1">
        <f t="array" ref="H5">IFERROR(_xlfn.LET(
_xlpm.CSVVal,_xlfn.XLOOKUP($A5,CSV!$A:$A,CSV!H:H,""),
_xlpm.MacVal,_xlfn.XLOOKUP($A5,Output_Mac!$A:$A,Output_Mac!H:H,""),
_xlpm.MyAuditVal,_xlfn.XLOOKUP($A5,My_Audit!$A:$A,My_Audit!G:G,""),
_xlfn.IFS(_xlpm.MyAuditVal&lt;&gt;"",_xlpm.MyAuditVal,_xlpm.MacVal&lt;&gt;"",_xlpm.MacVal,_xlpm.CSVVal&lt;&gt;"",_xlpm.CSVVal
)),"")</f>
        <v/>
      </c>
      <c r="I5" s="2" t="str">
        <f>_xlfn.XLOOKUP(A5,Output_Mac!A:A,Output_Mac!I:I,"")</f>
        <v/>
      </c>
      <c r="J5" s="2" t="str" cm="1">
        <f t="array" ref="J5">IFERROR(_xlfn.LET(
_xlpm.CSVVal,_xlfn.XLOOKUP($A5,CSV!$A:$A,CSV!I:I,""),
_xlpm.MacVal,_xlfn.XLOOKUP($A5,Output_Mac!$A:$A,Output_Mac!J:J,""),
_xlpm.MyAuditVal,_xlfn.XLOOKUP($A5,My_Audit!$A:$A,My_Audit!I:I,""),
_xlfn.IFS(_xlpm.MyAuditVal&lt;&gt;"",UPPER(_xlpm.MyAuditVal),_xlpm.MacVal&lt;&gt;"",_xlpm.MacVal,_xlpm.CSVVal&lt;&gt;"",_xlpm.CSVVal
)),"")</f>
        <v/>
      </c>
      <c r="K5" s="2" t="str" cm="1">
        <f t="array" ref="K5">IFERROR(_xlfn.LET(
_xlpm.CSVVal,_xlfn.XLOOKUP($A5,CSV!$A:$A,CSV!K:K,""),
_xlpm.MacVal,_xlfn.XLOOKUP($A5,Output_Mac!$A:$A,Output_Mac!K:K,""),
_xlpm.MyAuditVal,_xlfn.XLOOKUP($A5,My_Audit!$A:$A,My_Audit!J:J,""),
_xlfn.IFS(_xlpm.MyAuditVal&lt;&gt;"",UPPER(_xlpm.MyAuditVal),_xlpm.MacVal&lt;&gt;"",_xlpm.MacVal,_xlpm.CSVVal&lt;&gt;"",_xlpm.CSVVal
)),"")</f>
        <v/>
      </c>
      <c r="L5" s="2" t="str" cm="1">
        <f t="array" ref="L5">IFERROR(_xlfn.LET(
_xlpm.CSVVal,_xlfn.XLOOKUP($A5,CSV!$A:$A,CSV!P:P,""),
_xlpm.MacVal,_xlfn.XLOOKUP($A5,Output_Mac!$A:$A,Output_Mac!L:L,""),
_xlpm.MyAuditVal,_xlfn.XLOOKUP($A5,My_Audit!$A:$A,My_Audit!K:K,""),
_xlfn.IFS(_xlpm.MyAuditVal&lt;&gt;"",UPPER(_xlpm.MyAuditVal),_xlpm.MacVal&lt;&gt;"",_xlpm.MacVal,_xlpm.CSVVal&lt;&gt;"",_xlpm.CSVVal
)),"")</f>
        <v/>
      </c>
      <c r="M5" s="2" t="str" cm="1">
        <f t="array" ref="M5">IFERROR(_xlfn.LET(
_xlpm.CSVVal,_xlfn.XLOOKUP($A5,CSV!$A:$A,CSV!Q:Q,""),
_xlpm.MacVal,_xlfn.XLOOKUP($A5,Output_Mac!$A:$A,Output_Mac!M:M,""),
_xlpm.MyAuditVal,_xlfn.XLOOKUP($A5,My_Audit!$A:$A,My_Audit!L:L,""),
_xlfn.IFS(_xlpm.MyAuditVal&lt;&gt;"",UPPER(_xlpm.MyAuditVal),_xlpm.MacVal&lt;&gt;"",_xlpm.MacVal,_xlpm.CSVVal&lt;&gt;"",_xlpm.CSVVal
)),"")</f>
        <v/>
      </c>
      <c r="O5" s="2" t="str">
        <f>_xlfn.LET(
    _xlpm.CSVVal, _xlfn.XLOOKUP($A5, CSV!$A:$A, CSV!AA:AA, ""),
    _xlpm.MacVal, _xlfn.XLOOKUP($A5, Output_Mac!$A:$A, Output_Mac!S:S, ""),
    _xlpm.MyAuditVal, _xlfn.XLOOKUP($A5, My_Audit!$A:$A, My_Audit!P:P, ""),
    _xlfn.TEXTJOIN(", ", TRUE, _xlpm.MyAuditVal, _xlpm.MacVal, _xlpm.CSVVal)
)</f>
        <v/>
      </c>
      <c r="P5" s="2" t="str" cm="1">
        <f t="array" ref="P5">IFERROR(_xlfn.LET(
_xlpm.CSVVal,_xlfn.XLOOKUP($A5,CSV!$A:$A,CSV!AB:AB,""),
_xlpm.MacVal,_xlfn.XLOOKUP($A5,Output_Mac!$A:$A,Output_Mac!T:T,""),
_xlpm.MyAuditVal,_xlfn.XLOOKUP($A5,My_Audit!$A:$A,My_Audit!Q:Q,""),
_xlfn.IFS(_xlpm.MyAuditVal&lt;&gt;"",UPPER(_xlpm.MyAuditVal),_xlpm.MacVal&lt;&gt;"",_xlpm.MacVal,_xlpm.CSVVal&lt;&gt;"",_xlpm.CSVVal
)),"No")</f>
        <v>No</v>
      </c>
      <c r="Q5" s="2" t="str" cm="1">
        <f t="array" ref="Q5">IFERROR(_xlfn.LET(
_xlpm.CSVVal,_xlfn.XLOOKUP($A5,CSV!$A:$A,CSV!AC:AC,""),
_xlpm.MacVal,_xlfn.XLOOKUP($A5,Output_Mac!$A:$A,Output_Mac!U:U,""),
_xlpm.MyAuditVal,_xlfn.XLOOKUP($A5,My_Audit!$A:$A,My_Audit!R:R,""),
_xlfn.IFS(_xlpm.MyAuditVal&lt;&gt;"",UPPER(_xlpm.MyAuditVal),_xlpm.MacVal&lt;&gt;"",_xlpm.MacVal,_xlpm.CSVVal&lt;&gt;"",_xlpm.CSVVal
)),"")</f>
        <v/>
      </c>
      <c r="X5" t="str">
        <f>_xlfn.LET(
    _xlpm.MacVal, _xlfn.XLOOKUP($A5, Output_Mac!$A:$A, Output_Mac!AB:AB, ""),
    _xlpm.MyAuditVal, _xlfn.XLOOKUP($A5, My_Audit!$A:$A, My_Audit!N:N, ""),
    _xlfn.TEXTJOIN(", ", TRUE, _xlpm.MyAuditVal, _xlpm.MacVal)
)</f>
        <v/>
      </c>
    </row>
    <row r="6" spans="1:24">
      <c r="A6" s="2" t="str">
        <f>_xlfn.TEXTJOIN("",TRUE,Input!$B$2,"0",ROW(My_Audit!A5))</f>
        <v>X05</v>
      </c>
      <c r="B6" s="2" t="str">
        <f>_xlfn.TEXTJOIN("-",TRUE,"ITD",Input!$A$2,A6)</f>
        <v>ITD-SHR-X05</v>
      </c>
      <c r="C6" s="2" t="str" cm="1">
        <f t="array" ref="C6">IFERROR(_xlfn.LET(
_xlpm.CSVVal,_xlfn.XLOOKUP($A6,CSV!$A:$A,CSV!B:B,""),
_xlpm.MacVal,_xlfn.XLOOKUP($A6,Output_Mac!$A:$A,Output_Mac!B:B,""),
_xlpm.MyAuditVal,_xlfn.XLOOKUP($A6,My_Audit!$A:$A,My_Audit!B:B,""),
_xlfn.IFS(_xlpm.MyAuditVal&lt;&gt;"",UPPER(_xlpm.MyAuditVal),_xlpm.MacVal&lt;&gt;"",_xlpm.MacVal,_xlpm.CSVVal&lt;&gt;"",_xlpm.CSVVal
)),"")</f>
        <v/>
      </c>
      <c r="D6" s="2" t="str" cm="1">
        <f t="array" ref="D6">IFERROR(_xlfn.LET(
_xlpm.CSVVal,_xlfn.XLOOKUP($A6,CSV!$A:$A,CSV!D:D,""),
_xlpm.MacVal,_xlfn.XLOOKUP($A6,Output_Mac!$A:$A,Output_Mac!C:C,""),
_xlpm.MyAuditVal,_xlfn.XLOOKUP($A6,My_Audit!$A:$A,My_Audit!C:C,""),
_xlfn.IFS(_xlpm.MyAuditVal&lt;&gt;"",_xlpm.MyAuditVal,_xlpm.MacVal&lt;&gt;"",_xlpm.MacVal,_xlpm.CSVVal&lt;&gt;"",_xlpm.CSVVal
)),"")</f>
        <v/>
      </c>
      <c r="E6" s="2">
        <f>_xlfn.XLOOKUP(A6,My_Audit!A:A,My_Audit!D:D,"")</f>
        <v>0</v>
      </c>
      <c r="F6" s="2" t="str" cm="1">
        <f t="array" ref="F6">IFERROR(_xlfn.LET(
_xlpm.CSVVal,_xlfn.XLOOKUP($A6,CSV!$A:$A,CSV!F:F,""),
_xlpm.MacVal,_xlfn.XLOOKUP($A6,Output_Mac!$A:$A,Output_Mac!E:E,""),
_xlpm.MyAuditVal,_xlfn.XLOOKUP($A6,My_Audit!$A:$A,My_Audit!E:E,""),
_xlfn.IFS(_xlpm.MyAuditVal&lt;&gt;"",_xlpm.MyAuditVal,_xlpm.MacVal&lt;&gt;"",_xlpm.MacVal,_xlpm.CSVVal&lt;&gt;"",_xlpm.CSVVal
)),"")</f>
        <v/>
      </c>
      <c r="G6" s="2" t="str" cm="1">
        <f t="array" ref="G6">IFERROR(_xlfn.LET(
_xlpm.CSVVal,_xlfn.XLOOKUP($A6,CSV!$A:$A,CSV!G:G,""),
_xlpm.MacVal,_xlfn.XLOOKUP($A6,Output_Mac!$A:$A,Output_Mac!F:F,""),
_xlpm.MyAuditVal,_xlfn.XLOOKUP($A6,My_Audit!$A:$A,My_Audit!F:F,""),
_xlfn.IFS(_xlpm.MyAuditVal&lt;&gt;"",_xlpm.MyAuditVal,_xlpm.MacVal&lt;&gt;"",_xlpm.MacVal,_xlpm.CSVVal&lt;&gt;"",PROPER(_xlpm.CSVVal)
)),"")</f>
        <v/>
      </c>
      <c r="H6" s="2" t="str" cm="1">
        <f t="array" ref="H6">IFERROR(_xlfn.LET(
_xlpm.CSVVal,_xlfn.XLOOKUP($A6,CSV!$A:$A,CSV!H:H,""),
_xlpm.MacVal,_xlfn.XLOOKUP($A6,Output_Mac!$A:$A,Output_Mac!H:H,""),
_xlpm.MyAuditVal,_xlfn.XLOOKUP($A6,My_Audit!$A:$A,My_Audit!G:G,""),
_xlfn.IFS(_xlpm.MyAuditVal&lt;&gt;"",_xlpm.MyAuditVal,_xlpm.MacVal&lt;&gt;"",_xlpm.MacVal,_xlpm.CSVVal&lt;&gt;"",_xlpm.CSVVal
)),"")</f>
        <v/>
      </c>
      <c r="I6" s="2" t="str">
        <f>_xlfn.XLOOKUP(A6,Output_Mac!A:A,Output_Mac!I:I,"")</f>
        <v/>
      </c>
      <c r="J6" s="2" t="str" cm="1">
        <f t="array" ref="J6">IFERROR(_xlfn.LET(
_xlpm.CSVVal,_xlfn.XLOOKUP($A6,CSV!$A:$A,CSV!I:I,""),
_xlpm.MacVal,_xlfn.XLOOKUP($A6,Output_Mac!$A:$A,Output_Mac!J:J,""),
_xlpm.MyAuditVal,_xlfn.XLOOKUP($A6,My_Audit!$A:$A,My_Audit!I:I,""),
_xlfn.IFS(_xlpm.MyAuditVal&lt;&gt;"",UPPER(_xlpm.MyAuditVal),_xlpm.MacVal&lt;&gt;"",_xlpm.MacVal,_xlpm.CSVVal&lt;&gt;"",_xlpm.CSVVal
)),"")</f>
        <v/>
      </c>
      <c r="K6" s="2" t="str" cm="1">
        <f t="array" ref="K6">IFERROR(_xlfn.LET(
_xlpm.CSVVal,_xlfn.XLOOKUP($A6,CSV!$A:$A,CSV!K:K,""),
_xlpm.MacVal,_xlfn.XLOOKUP($A6,Output_Mac!$A:$A,Output_Mac!K:K,""),
_xlpm.MyAuditVal,_xlfn.XLOOKUP($A6,My_Audit!$A:$A,My_Audit!J:J,""),
_xlfn.IFS(_xlpm.MyAuditVal&lt;&gt;"",UPPER(_xlpm.MyAuditVal),_xlpm.MacVal&lt;&gt;"",_xlpm.MacVal,_xlpm.CSVVal&lt;&gt;"",_xlpm.CSVVal
)),"")</f>
        <v/>
      </c>
      <c r="L6" s="2" t="str" cm="1">
        <f t="array" ref="L6">IFERROR(_xlfn.LET(
_xlpm.CSVVal,_xlfn.XLOOKUP($A6,CSV!$A:$A,CSV!P:P,""),
_xlpm.MacVal,_xlfn.XLOOKUP($A6,Output_Mac!$A:$A,Output_Mac!L:L,""),
_xlpm.MyAuditVal,_xlfn.XLOOKUP($A6,My_Audit!$A:$A,My_Audit!K:K,""),
_xlfn.IFS(_xlpm.MyAuditVal&lt;&gt;"",UPPER(_xlpm.MyAuditVal),_xlpm.MacVal&lt;&gt;"",_xlpm.MacVal,_xlpm.CSVVal&lt;&gt;"",_xlpm.CSVVal
)),"")</f>
        <v/>
      </c>
      <c r="M6" s="2" t="str" cm="1">
        <f t="array" ref="M6">IFERROR(_xlfn.LET(
_xlpm.CSVVal,_xlfn.XLOOKUP($A6,CSV!$A:$A,CSV!Q:Q,""),
_xlpm.MacVal,_xlfn.XLOOKUP($A6,Output_Mac!$A:$A,Output_Mac!M:M,""),
_xlpm.MyAuditVal,_xlfn.XLOOKUP($A6,My_Audit!$A:$A,My_Audit!L:L,""),
_xlfn.IFS(_xlpm.MyAuditVal&lt;&gt;"",UPPER(_xlpm.MyAuditVal),_xlpm.MacVal&lt;&gt;"",_xlpm.MacVal,_xlpm.CSVVal&lt;&gt;"",_xlpm.CSVVal
)),"")</f>
        <v/>
      </c>
      <c r="O6" s="2" t="str">
        <f>_xlfn.LET(
    _xlpm.CSVVal, _xlfn.XLOOKUP($A6, CSV!$A:$A, CSV!AA:AA, ""),
    _xlpm.MacVal, _xlfn.XLOOKUP($A6, Output_Mac!$A:$A, Output_Mac!S:S, ""),
    _xlpm.MyAuditVal, _xlfn.XLOOKUP($A6, My_Audit!$A:$A, My_Audit!P:P, ""),
    _xlfn.TEXTJOIN(", ", TRUE, _xlpm.MyAuditVal, _xlpm.MacVal, _xlpm.CSVVal)
)</f>
        <v/>
      </c>
      <c r="P6" s="2" t="str" cm="1">
        <f t="array" ref="P6">IFERROR(_xlfn.LET(
_xlpm.CSVVal,_xlfn.XLOOKUP($A6,CSV!$A:$A,CSV!AB:AB,""),
_xlpm.MacVal,_xlfn.XLOOKUP($A6,Output_Mac!$A:$A,Output_Mac!T:T,""),
_xlpm.MyAuditVal,_xlfn.XLOOKUP($A6,My_Audit!$A:$A,My_Audit!Q:Q,""),
_xlfn.IFS(_xlpm.MyAuditVal&lt;&gt;"",UPPER(_xlpm.MyAuditVal),_xlpm.MacVal&lt;&gt;"",_xlpm.MacVal,_xlpm.CSVVal&lt;&gt;"",_xlpm.CSVVal
)),"No")</f>
        <v>No</v>
      </c>
      <c r="Q6" s="2" t="str" cm="1">
        <f t="array" ref="Q6">IFERROR(_xlfn.LET(
_xlpm.CSVVal,_xlfn.XLOOKUP($A6,CSV!$A:$A,CSV!AC:AC,""),
_xlpm.MacVal,_xlfn.XLOOKUP($A6,Output_Mac!$A:$A,Output_Mac!U:U,""),
_xlpm.MyAuditVal,_xlfn.XLOOKUP($A6,My_Audit!$A:$A,My_Audit!R:R,""),
_xlfn.IFS(_xlpm.MyAuditVal&lt;&gt;"",UPPER(_xlpm.MyAuditVal),_xlpm.MacVal&lt;&gt;"",_xlpm.MacVal,_xlpm.CSVVal&lt;&gt;"",_xlpm.CSVVal
)),"")</f>
        <v/>
      </c>
      <c r="X6" t="str">
        <f>_xlfn.LET(
    _xlpm.MacVal, _xlfn.XLOOKUP($A6, Output_Mac!$A:$A, Output_Mac!AB:AB, ""),
    _xlpm.MyAuditVal, _xlfn.XLOOKUP($A6, My_Audit!$A:$A, My_Audit!N:N, ""),
    _xlfn.TEXTJOIN(", ", TRUE, _xlpm.MyAuditVal, _xlpm.MacVal)
)</f>
        <v/>
      </c>
    </row>
    <row r="7" spans="1:24">
      <c r="A7" s="2" t="str">
        <f>_xlfn.TEXTJOIN("",TRUE,Input!$B$2,"0",ROW(My_Audit!A6))</f>
        <v>X06</v>
      </c>
      <c r="B7" s="2" t="str">
        <f>_xlfn.TEXTJOIN("-",TRUE,"ITD",Input!$A$2,A7)</f>
        <v>ITD-SHR-X06</v>
      </c>
      <c r="C7" s="2" t="str" cm="1">
        <f t="array" ref="C7">IFERROR(_xlfn.LET(
_xlpm.CSVVal,_xlfn.XLOOKUP($A7,CSV!$A:$A,CSV!B:B,""),
_xlpm.MacVal,_xlfn.XLOOKUP($A7,Output_Mac!$A:$A,Output_Mac!B:B,""),
_xlpm.MyAuditVal,_xlfn.XLOOKUP($A7,My_Audit!$A:$A,My_Audit!B:B,""),
_xlfn.IFS(_xlpm.MyAuditVal&lt;&gt;"",UPPER(_xlpm.MyAuditVal),_xlpm.MacVal&lt;&gt;"",_xlpm.MacVal,_xlpm.CSVVal&lt;&gt;"",_xlpm.CSVVal
)),"")</f>
        <v/>
      </c>
      <c r="D7" s="2" t="str" cm="1">
        <f t="array" ref="D7">IFERROR(_xlfn.LET(
_xlpm.CSVVal,_xlfn.XLOOKUP($A7,CSV!$A:$A,CSV!D:D,""),
_xlpm.MacVal,_xlfn.XLOOKUP($A7,Output_Mac!$A:$A,Output_Mac!C:C,""),
_xlpm.MyAuditVal,_xlfn.XLOOKUP($A7,My_Audit!$A:$A,My_Audit!C:C,""),
_xlfn.IFS(_xlpm.MyAuditVal&lt;&gt;"",_xlpm.MyAuditVal,_xlpm.MacVal&lt;&gt;"",_xlpm.MacVal,_xlpm.CSVVal&lt;&gt;"",_xlpm.CSVVal
)),"")</f>
        <v/>
      </c>
      <c r="E7" s="2">
        <f>_xlfn.XLOOKUP(A7,My_Audit!A:A,My_Audit!D:D,"")</f>
        <v>0</v>
      </c>
      <c r="F7" s="2" t="str" cm="1">
        <f t="array" ref="F7">IFERROR(_xlfn.LET(
_xlpm.CSVVal,_xlfn.XLOOKUP($A7,CSV!$A:$A,CSV!F:F,""),
_xlpm.MacVal,_xlfn.XLOOKUP($A7,Output_Mac!$A:$A,Output_Mac!E:E,""),
_xlpm.MyAuditVal,_xlfn.XLOOKUP($A7,My_Audit!$A:$A,My_Audit!E:E,""),
_xlfn.IFS(_xlpm.MyAuditVal&lt;&gt;"",_xlpm.MyAuditVal,_xlpm.MacVal&lt;&gt;"",_xlpm.MacVal,_xlpm.CSVVal&lt;&gt;"",_xlpm.CSVVal
)),"")</f>
        <v/>
      </c>
      <c r="G7" s="2" t="str" cm="1">
        <f t="array" ref="G7">IFERROR(_xlfn.LET(
_xlpm.CSVVal,_xlfn.XLOOKUP($A7,CSV!$A:$A,CSV!G:G,""),
_xlpm.MacVal,_xlfn.XLOOKUP($A7,Output_Mac!$A:$A,Output_Mac!F:F,""),
_xlpm.MyAuditVal,_xlfn.XLOOKUP($A7,My_Audit!$A:$A,My_Audit!F:F,""),
_xlfn.IFS(_xlpm.MyAuditVal&lt;&gt;"",_xlpm.MyAuditVal,_xlpm.MacVal&lt;&gt;"",_xlpm.MacVal,_xlpm.CSVVal&lt;&gt;"",PROPER(_xlpm.CSVVal)
)),"")</f>
        <v/>
      </c>
      <c r="H7" s="2" t="str" cm="1">
        <f t="array" ref="H7">IFERROR(_xlfn.LET(
_xlpm.CSVVal,_xlfn.XLOOKUP($A7,CSV!$A:$A,CSV!H:H,""),
_xlpm.MacVal,_xlfn.XLOOKUP($A7,Output_Mac!$A:$A,Output_Mac!H:H,""),
_xlpm.MyAuditVal,_xlfn.XLOOKUP($A7,My_Audit!$A:$A,My_Audit!G:G,""),
_xlfn.IFS(_xlpm.MyAuditVal&lt;&gt;"",_xlpm.MyAuditVal,_xlpm.MacVal&lt;&gt;"",_xlpm.MacVal,_xlpm.CSVVal&lt;&gt;"",_xlpm.CSVVal
)),"")</f>
        <v/>
      </c>
      <c r="I7" s="2" t="str">
        <f>_xlfn.XLOOKUP(A7,Output_Mac!A:A,Output_Mac!I:I,"")</f>
        <v/>
      </c>
      <c r="J7" s="2" t="str" cm="1">
        <f t="array" ref="J7">IFERROR(_xlfn.LET(
_xlpm.CSVVal,_xlfn.XLOOKUP($A7,CSV!$A:$A,CSV!I:I,""),
_xlpm.MacVal,_xlfn.XLOOKUP($A7,Output_Mac!$A:$A,Output_Mac!J:J,""),
_xlpm.MyAuditVal,_xlfn.XLOOKUP($A7,My_Audit!$A:$A,My_Audit!I:I,""),
_xlfn.IFS(_xlpm.MyAuditVal&lt;&gt;"",UPPER(_xlpm.MyAuditVal),_xlpm.MacVal&lt;&gt;"",_xlpm.MacVal,_xlpm.CSVVal&lt;&gt;"",_xlpm.CSVVal
)),"")</f>
        <v/>
      </c>
      <c r="K7" s="2" t="str" cm="1">
        <f t="array" ref="K7">IFERROR(_xlfn.LET(
_xlpm.CSVVal,_xlfn.XLOOKUP($A7,CSV!$A:$A,CSV!K:K,""),
_xlpm.MacVal,_xlfn.XLOOKUP($A7,Output_Mac!$A:$A,Output_Mac!K:K,""),
_xlpm.MyAuditVal,_xlfn.XLOOKUP($A7,My_Audit!$A:$A,My_Audit!J:J,""),
_xlfn.IFS(_xlpm.MyAuditVal&lt;&gt;"",UPPER(_xlpm.MyAuditVal),_xlpm.MacVal&lt;&gt;"",_xlpm.MacVal,_xlpm.CSVVal&lt;&gt;"",_xlpm.CSVVal
)),"")</f>
        <v/>
      </c>
      <c r="L7" s="2" t="str" cm="1">
        <f t="array" ref="L7">IFERROR(_xlfn.LET(
_xlpm.CSVVal,_xlfn.XLOOKUP($A7,CSV!$A:$A,CSV!P:P,""),
_xlpm.MacVal,_xlfn.XLOOKUP($A7,Output_Mac!$A:$A,Output_Mac!L:L,""),
_xlpm.MyAuditVal,_xlfn.XLOOKUP($A7,My_Audit!$A:$A,My_Audit!K:K,""),
_xlfn.IFS(_xlpm.MyAuditVal&lt;&gt;"",UPPER(_xlpm.MyAuditVal),_xlpm.MacVal&lt;&gt;"",_xlpm.MacVal,_xlpm.CSVVal&lt;&gt;"",_xlpm.CSVVal
)),"")</f>
        <v/>
      </c>
      <c r="M7" s="2" t="str" cm="1">
        <f t="array" ref="M7">IFERROR(_xlfn.LET(
_xlpm.CSVVal,_xlfn.XLOOKUP($A7,CSV!$A:$A,CSV!Q:Q,""),
_xlpm.MacVal,_xlfn.XLOOKUP($A7,Output_Mac!$A:$A,Output_Mac!M:M,""),
_xlpm.MyAuditVal,_xlfn.XLOOKUP($A7,My_Audit!$A:$A,My_Audit!L:L,""),
_xlfn.IFS(_xlpm.MyAuditVal&lt;&gt;"",UPPER(_xlpm.MyAuditVal),_xlpm.MacVal&lt;&gt;"",_xlpm.MacVal,_xlpm.CSVVal&lt;&gt;"",_xlpm.CSVVal
)),"")</f>
        <v/>
      </c>
      <c r="O7" s="2" t="str">
        <f>_xlfn.LET(
    _xlpm.CSVVal, _xlfn.XLOOKUP($A7, CSV!$A:$A, CSV!AA:AA, ""),
    _xlpm.MacVal, _xlfn.XLOOKUP($A7, Output_Mac!$A:$A, Output_Mac!S:S, ""),
    _xlpm.MyAuditVal, _xlfn.XLOOKUP($A7, My_Audit!$A:$A, My_Audit!P:P, ""),
    _xlfn.TEXTJOIN(", ", TRUE, _xlpm.MyAuditVal, _xlpm.MacVal, _xlpm.CSVVal)
)</f>
        <v/>
      </c>
      <c r="P7" s="2" t="str" cm="1">
        <f t="array" ref="P7">IFERROR(_xlfn.LET(
_xlpm.CSVVal,_xlfn.XLOOKUP($A7,CSV!$A:$A,CSV!AB:AB,""),
_xlpm.MacVal,_xlfn.XLOOKUP($A7,Output_Mac!$A:$A,Output_Mac!T:T,""),
_xlpm.MyAuditVal,_xlfn.XLOOKUP($A7,My_Audit!$A:$A,My_Audit!Q:Q,""),
_xlfn.IFS(_xlpm.MyAuditVal&lt;&gt;"",UPPER(_xlpm.MyAuditVal),_xlpm.MacVal&lt;&gt;"",_xlpm.MacVal,_xlpm.CSVVal&lt;&gt;"",_xlpm.CSVVal
)),"No")</f>
        <v>No</v>
      </c>
      <c r="Q7" s="2" t="str" cm="1">
        <f t="array" ref="Q7">IFERROR(_xlfn.LET(
_xlpm.CSVVal,_xlfn.XLOOKUP($A7,CSV!$A:$A,CSV!AC:AC,""),
_xlpm.MacVal,_xlfn.XLOOKUP($A7,Output_Mac!$A:$A,Output_Mac!U:U,""),
_xlpm.MyAuditVal,_xlfn.XLOOKUP($A7,My_Audit!$A:$A,My_Audit!R:R,""),
_xlfn.IFS(_xlpm.MyAuditVal&lt;&gt;"",UPPER(_xlpm.MyAuditVal),_xlpm.MacVal&lt;&gt;"",_xlpm.MacVal,_xlpm.CSVVal&lt;&gt;"",_xlpm.CSVVal
)),"")</f>
        <v/>
      </c>
      <c r="X7" t="str">
        <f>_xlfn.LET(
    _xlpm.MacVal, _xlfn.XLOOKUP($A7, Output_Mac!$A:$A, Output_Mac!AB:AB, ""),
    _xlpm.MyAuditVal, _xlfn.XLOOKUP($A7, My_Audit!$A:$A, My_Audit!N:N, ""),
    _xlfn.TEXTJOIN(", ", TRUE, _xlpm.MyAuditVal, _xlpm.MacVal)
)</f>
        <v/>
      </c>
    </row>
    <row r="8" spans="1:24">
      <c r="A8" s="2" t="str">
        <f>_xlfn.TEXTJOIN("",TRUE,Input!$B$2,"0",ROW(My_Audit!A7))</f>
        <v>X07</v>
      </c>
      <c r="B8" s="2" t="str">
        <f>_xlfn.TEXTJOIN("-",TRUE,"ITD",Input!$A$2,A8)</f>
        <v>ITD-SHR-X07</v>
      </c>
      <c r="C8" s="2" t="str" cm="1">
        <f t="array" ref="C8">IFERROR(_xlfn.LET(
_xlpm.CSVVal,_xlfn.XLOOKUP($A8,CSV!$A:$A,CSV!B:B,""),
_xlpm.MacVal,_xlfn.XLOOKUP($A8,Output_Mac!$A:$A,Output_Mac!B:B,""),
_xlpm.MyAuditVal,_xlfn.XLOOKUP($A8,My_Audit!$A:$A,My_Audit!B:B,""),
_xlfn.IFS(_xlpm.MyAuditVal&lt;&gt;"",UPPER(_xlpm.MyAuditVal),_xlpm.MacVal&lt;&gt;"",_xlpm.MacVal,_xlpm.CSVVal&lt;&gt;"",_xlpm.CSVVal
)),"")</f>
        <v/>
      </c>
      <c r="D8" s="2" t="str" cm="1">
        <f t="array" ref="D8">IFERROR(_xlfn.LET(
_xlpm.CSVVal,_xlfn.XLOOKUP($A8,CSV!$A:$A,CSV!D:D,""),
_xlpm.MacVal,_xlfn.XLOOKUP($A8,Output_Mac!$A:$A,Output_Mac!C:C,""),
_xlpm.MyAuditVal,_xlfn.XLOOKUP($A8,My_Audit!$A:$A,My_Audit!C:C,""),
_xlfn.IFS(_xlpm.MyAuditVal&lt;&gt;"",_xlpm.MyAuditVal,_xlpm.MacVal&lt;&gt;"",_xlpm.MacVal,_xlpm.CSVVal&lt;&gt;"",_xlpm.CSVVal
)),"")</f>
        <v/>
      </c>
      <c r="E8" s="2">
        <f>_xlfn.XLOOKUP(A8,My_Audit!A:A,My_Audit!D:D,"")</f>
        <v>0</v>
      </c>
      <c r="F8" s="2" t="str" cm="1">
        <f t="array" ref="F8">IFERROR(_xlfn.LET(
_xlpm.CSVVal,_xlfn.XLOOKUP($A8,CSV!$A:$A,CSV!F:F,""),
_xlpm.MacVal,_xlfn.XLOOKUP($A8,Output_Mac!$A:$A,Output_Mac!E:E,""),
_xlpm.MyAuditVal,_xlfn.XLOOKUP($A8,My_Audit!$A:$A,My_Audit!E:E,""),
_xlfn.IFS(_xlpm.MyAuditVal&lt;&gt;"",_xlpm.MyAuditVal,_xlpm.MacVal&lt;&gt;"",_xlpm.MacVal,_xlpm.CSVVal&lt;&gt;"",_xlpm.CSVVal
)),"")</f>
        <v/>
      </c>
      <c r="G8" s="2" t="str" cm="1">
        <f t="array" ref="G8">IFERROR(_xlfn.LET(
_xlpm.CSVVal,_xlfn.XLOOKUP($A8,CSV!$A:$A,CSV!G:G,""),
_xlpm.MacVal,_xlfn.XLOOKUP($A8,Output_Mac!$A:$A,Output_Mac!F:F,""),
_xlpm.MyAuditVal,_xlfn.XLOOKUP($A8,My_Audit!$A:$A,My_Audit!F:F,""),
_xlfn.IFS(_xlpm.MyAuditVal&lt;&gt;"",_xlpm.MyAuditVal,_xlpm.MacVal&lt;&gt;"",_xlpm.MacVal,_xlpm.CSVVal&lt;&gt;"",PROPER(_xlpm.CSVVal)
)),"")</f>
        <v/>
      </c>
      <c r="H8" s="2" t="str" cm="1">
        <f t="array" ref="H8">IFERROR(_xlfn.LET(
_xlpm.CSVVal,_xlfn.XLOOKUP($A8,CSV!$A:$A,CSV!H:H,""),
_xlpm.MacVal,_xlfn.XLOOKUP($A8,Output_Mac!$A:$A,Output_Mac!H:H,""),
_xlpm.MyAuditVal,_xlfn.XLOOKUP($A8,My_Audit!$A:$A,My_Audit!G:G,""),
_xlfn.IFS(_xlpm.MyAuditVal&lt;&gt;"",_xlpm.MyAuditVal,_xlpm.MacVal&lt;&gt;"",_xlpm.MacVal,_xlpm.CSVVal&lt;&gt;"",_xlpm.CSVVal
)),"")</f>
        <v/>
      </c>
      <c r="I8" s="2" t="str">
        <f>_xlfn.XLOOKUP(A8,Output_Mac!A:A,Output_Mac!I:I,"")</f>
        <v/>
      </c>
      <c r="J8" s="2" t="str" cm="1">
        <f t="array" ref="J8">IFERROR(_xlfn.LET(
_xlpm.CSVVal,_xlfn.XLOOKUP($A8,CSV!$A:$A,CSV!I:I,""),
_xlpm.MacVal,_xlfn.XLOOKUP($A8,Output_Mac!$A:$A,Output_Mac!J:J,""),
_xlpm.MyAuditVal,_xlfn.XLOOKUP($A8,My_Audit!$A:$A,My_Audit!I:I,""),
_xlfn.IFS(_xlpm.MyAuditVal&lt;&gt;"",UPPER(_xlpm.MyAuditVal),_xlpm.MacVal&lt;&gt;"",_xlpm.MacVal,_xlpm.CSVVal&lt;&gt;"",_xlpm.CSVVal
)),"")</f>
        <v/>
      </c>
      <c r="K8" s="2" t="str" cm="1">
        <f t="array" ref="K8">IFERROR(_xlfn.LET(
_xlpm.CSVVal,_xlfn.XLOOKUP($A8,CSV!$A:$A,CSV!K:K,""),
_xlpm.MacVal,_xlfn.XLOOKUP($A8,Output_Mac!$A:$A,Output_Mac!K:K,""),
_xlpm.MyAuditVal,_xlfn.XLOOKUP($A8,My_Audit!$A:$A,My_Audit!J:J,""),
_xlfn.IFS(_xlpm.MyAuditVal&lt;&gt;"",UPPER(_xlpm.MyAuditVal),_xlpm.MacVal&lt;&gt;"",_xlpm.MacVal,_xlpm.CSVVal&lt;&gt;"",_xlpm.CSVVal
)),"")</f>
        <v/>
      </c>
      <c r="L8" s="2" t="str" cm="1">
        <f t="array" ref="L8">IFERROR(_xlfn.LET(
_xlpm.CSVVal,_xlfn.XLOOKUP($A8,CSV!$A:$A,CSV!P:P,""),
_xlpm.MacVal,_xlfn.XLOOKUP($A8,Output_Mac!$A:$A,Output_Mac!L:L,""),
_xlpm.MyAuditVal,_xlfn.XLOOKUP($A8,My_Audit!$A:$A,My_Audit!K:K,""),
_xlfn.IFS(_xlpm.MyAuditVal&lt;&gt;"",UPPER(_xlpm.MyAuditVal),_xlpm.MacVal&lt;&gt;"",_xlpm.MacVal,_xlpm.CSVVal&lt;&gt;"",_xlpm.CSVVal
)),"")</f>
        <v/>
      </c>
      <c r="M8" s="2" t="str" cm="1">
        <f t="array" ref="M8">IFERROR(_xlfn.LET(
_xlpm.CSVVal,_xlfn.XLOOKUP($A8,CSV!$A:$A,CSV!Q:Q,""),
_xlpm.MacVal,_xlfn.XLOOKUP($A8,Output_Mac!$A:$A,Output_Mac!M:M,""),
_xlpm.MyAuditVal,_xlfn.XLOOKUP($A8,My_Audit!$A:$A,My_Audit!L:L,""),
_xlfn.IFS(_xlpm.MyAuditVal&lt;&gt;"",UPPER(_xlpm.MyAuditVal),_xlpm.MacVal&lt;&gt;"",_xlpm.MacVal,_xlpm.CSVVal&lt;&gt;"",_xlpm.CSVVal
)),"")</f>
        <v/>
      </c>
      <c r="O8" s="2" t="str">
        <f>_xlfn.LET(
    _xlpm.CSVVal, _xlfn.XLOOKUP($A8, CSV!$A:$A, CSV!AA:AA, ""),
    _xlpm.MacVal, _xlfn.XLOOKUP($A8, Output_Mac!$A:$A, Output_Mac!S:S, ""),
    _xlpm.MyAuditVal, _xlfn.XLOOKUP($A8, My_Audit!$A:$A, My_Audit!P:P, ""),
    _xlfn.TEXTJOIN(", ", TRUE, _xlpm.MyAuditVal, _xlpm.MacVal, _xlpm.CSVVal)
)</f>
        <v/>
      </c>
      <c r="P8" s="2" t="str" cm="1">
        <f t="array" ref="P8">IFERROR(_xlfn.LET(
_xlpm.CSVVal,_xlfn.XLOOKUP($A8,CSV!$A:$A,CSV!AB:AB,""),
_xlpm.MacVal,_xlfn.XLOOKUP($A8,Output_Mac!$A:$A,Output_Mac!T:T,""),
_xlpm.MyAuditVal,_xlfn.XLOOKUP($A8,My_Audit!$A:$A,My_Audit!Q:Q,""),
_xlfn.IFS(_xlpm.MyAuditVal&lt;&gt;"",UPPER(_xlpm.MyAuditVal),_xlpm.MacVal&lt;&gt;"",_xlpm.MacVal,_xlpm.CSVVal&lt;&gt;"",_xlpm.CSVVal
)),"No")</f>
        <v>No</v>
      </c>
      <c r="Q8" s="2" t="str" cm="1">
        <f t="array" ref="Q8">IFERROR(_xlfn.LET(
_xlpm.CSVVal,_xlfn.XLOOKUP($A8,CSV!$A:$A,CSV!AC:AC,""),
_xlpm.MacVal,_xlfn.XLOOKUP($A8,Output_Mac!$A:$A,Output_Mac!U:U,""),
_xlpm.MyAuditVal,_xlfn.XLOOKUP($A8,My_Audit!$A:$A,My_Audit!R:R,""),
_xlfn.IFS(_xlpm.MyAuditVal&lt;&gt;"",UPPER(_xlpm.MyAuditVal),_xlpm.MacVal&lt;&gt;"",_xlpm.MacVal,_xlpm.CSVVal&lt;&gt;"",_xlpm.CSVVal
)),"")</f>
        <v/>
      </c>
      <c r="X8" t="str">
        <f>_xlfn.LET(
    _xlpm.MacVal, _xlfn.XLOOKUP($A8, Output_Mac!$A:$A, Output_Mac!AB:AB, ""),
    _xlpm.MyAuditVal, _xlfn.XLOOKUP($A8, My_Audit!$A:$A, My_Audit!N:N, ""),
    _xlfn.TEXTJOIN(", ", TRUE, _xlpm.MyAuditVal, _xlpm.MacVal)
)</f>
        <v/>
      </c>
    </row>
    <row r="9" spans="1:24">
      <c r="A9" s="2" t="str">
        <f>_xlfn.TEXTJOIN("",TRUE,Input!$B$2,"0",ROW(My_Audit!A8))</f>
        <v>X08</v>
      </c>
      <c r="B9" s="2" t="str">
        <f>_xlfn.TEXTJOIN("-",TRUE,"ITD",Input!$A$2,A9)</f>
        <v>ITD-SHR-X08</v>
      </c>
      <c r="C9" s="2" t="str" cm="1">
        <f t="array" ref="C9">IFERROR(_xlfn.LET(
_xlpm.CSVVal,_xlfn.XLOOKUP($A9,CSV!$A:$A,CSV!B:B,""),
_xlpm.MacVal,_xlfn.XLOOKUP($A9,Output_Mac!$A:$A,Output_Mac!B:B,""),
_xlpm.MyAuditVal,_xlfn.XLOOKUP($A9,My_Audit!$A:$A,My_Audit!B:B,""),
_xlfn.IFS(_xlpm.MyAuditVal&lt;&gt;"",UPPER(_xlpm.MyAuditVal),_xlpm.MacVal&lt;&gt;"",_xlpm.MacVal,_xlpm.CSVVal&lt;&gt;"",_xlpm.CSVVal
)),"")</f>
        <v/>
      </c>
      <c r="D9" s="2" t="str" cm="1">
        <f t="array" ref="D9">IFERROR(_xlfn.LET(
_xlpm.CSVVal,_xlfn.XLOOKUP($A9,CSV!$A:$A,CSV!D:D,""),
_xlpm.MacVal,_xlfn.XLOOKUP($A9,Output_Mac!$A:$A,Output_Mac!C:C,""),
_xlpm.MyAuditVal,_xlfn.XLOOKUP($A9,My_Audit!$A:$A,My_Audit!C:C,""),
_xlfn.IFS(_xlpm.MyAuditVal&lt;&gt;"",_xlpm.MyAuditVal,_xlpm.MacVal&lt;&gt;"",_xlpm.MacVal,_xlpm.CSVVal&lt;&gt;"",_xlpm.CSVVal
)),"")</f>
        <v/>
      </c>
      <c r="E9" s="2">
        <f>_xlfn.XLOOKUP(A9,My_Audit!A:A,My_Audit!D:D,"")</f>
        <v>0</v>
      </c>
      <c r="F9" s="2" t="str" cm="1">
        <f t="array" ref="F9">IFERROR(_xlfn.LET(
_xlpm.CSVVal,_xlfn.XLOOKUP($A9,CSV!$A:$A,CSV!F:F,""),
_xlpm.MacVal,_xlfn.XLOOKUP($A9,Output_Mac!$A:$A,Output_Mac!E:E,""),
_xlpm.MyAuditVal,_xlfn.XLOOKUP($A9,My_Audit!$A:$A,My_Audit!E:E,""),
_xlfn.IFS(_xlpm.MyAuditVal&lt;&gt;"",_xlpm.MyAuditVal,_xlpm.MacVal&lt;&gt;"",_xlpm.MacVal,_xlpm.CSVVal&lt;&gt;"",_xlpm.CSVVal
)),"")</f>
        <v/>
      </c>
      <c r="G9" s="2" t="str" cm="1">
        <f t="array" ref="G9">IFERROR(_xlfn.LET(
_xlpm.CSVVal,_xlfn.XLOOKUP($A9,CSV!$A:$A,CSV!G:G,""),
_xlpm.MacVal,_xlfn.XLOOKUP($A9,Output_Mac!$A:$A,Output_Mac!F:F,""),
_xlpm.MyAuditVal,_xlfn.XLOOKUP($A9,My_Audit!$A:$A,My_Audit!F:F,""),
_xlfn.IFS(_xlpm.MyAuditVal&lt;&gt;"",_xlpm.MyAuditVal,_xlpm.MacVal&lt;&gt;"",_xlpm.MacVal,_xlpm.CSVVal&lt;&gt;"",PROPER(_xlpm.CSVVal)
)),"")</f>
        <v/>
      </c>
      <c r="H9" s="2" t="str" cm="1">
        <f t="array" ref="H9">IFERROR(_xlfn.LET(
_xlpm.CSVVal,_xlfn.XLOOKUP($A9,CSV!$A:$A,CSV!H:H,""),
_xlpm.MacVal,_xlfn.XLOOKUP($A9,Output_Mac!$A:$A,Output_Mac!H:H,""),
_xlpm.MyAuditVal,_xlfn.XLOOKUP($A9,My_Audit!$A:$A,My_Audit!G:G,""),
_xlfn.IFS(_xlpm.MyAuditVal&lt;&gt;"",_xlpm.MyAuditVal,_xlpm.MacVal&lt;&gt;"",_xlpm.MacVal,_xlpm.CSVVal&lt;&gt;"",_xlpm.CSVVal
)),"")</f>
        <v/>
      </c>
      <c r="I9" s="2" t="str">
        <f>_xlfn.XLOOKUP(A9,Output_Mac!A:A,Output_Mac!I:I,"")</f>
        <v/>
      </c>
      <c r="J9" s="2" t="str" cm="1">
        <f t="array" ref="J9">IFERROR(_xlfn.LET(
_xlpm.CSVVal,_xlfn.XLOOKUP($A9,CSV!$A:$A,CSV!I:I,""),
_xlpm.MacVal,_xlfn.XLOOKUP($A9,Output_Mac!$A:$A,Output_Mac!J:J,""),
_xlpm.MyAuditVal,_xlfn.XLOOKUP($A9,My_Audit!$A:$A,My_Audit!I:I,""),
_xlfn.IFS(_xlpm.MyAuditVal&lt;&gt;"",UPPER(_xlpm.MyAuditVal),_xlpm.MacVal&lt;&gt;"",_xlpm.MacVal,_xlpm.CSVVal&lt;&gt;"",_xlpm.CSVVal
)),"")</f>
        <v/>
      </c>
      <c r="K9" s="2" t="str" cm="1">
        <f t="array" ref="K9">IFERROR(_xlfn.LET(
_xlpm.CSVVal,_xlfn.XLOOKUP($A9,CSV!$A:$A,CSV!K:K,""),
_xlpm.MacVal,_xlfn.XLOOKUP($A9,Output_Mac!$A:$A,Output_Mac!K:K,""),
_xlpm.MyAuditVal,_xlfn.XLOOKUP($A9,My_Audit!$A:$A,My_Audit!J:J,""),
_xlfn.IFS(_xlpm.MyAuditVal&lt;&gt;"",UPPER(_xlpm.MyAuditVal),_xlpm.MacVal&lt;&gt;"",_xlpm.MacVal,_xlpm.CSVVal&lt;&gt;"",_xlpm.CSVVal
)),"")</f>
        <v/>
      </c>
      <c r="L9" s="2" t="str" cm="1">
        <f t="array" ref="L9">IFERROR(_xlfn.LET(
_xlpm.CSVVal,_xlfn.XLOOKUP($A9,CSV!$A:$A,CSV!P:P,""),
_xlpm.MacVal,_xlfn.XLOOKUP($A9,Output_Mac!$A:$A,Output_Mac!L:L,""),
_xlpm.MyAuditVal,_xlfn.XLOOKUP($A9,My_Audit!$A:$A,My_Audit!K:K,""),
_xlfn.IFS(_xlpm.MyAuditVal&lt;&gt;"",UPPER(_xlpm.MyAuditVal),_xlpm.MacVal&lt;&gt;"",_xlpm.MacVal,_xlpm.CSVVal&lt;&gt;"",_xlpm.CSVVal
)),"")</f>
        <v/>
      </c>
      <c r="M9" s="2" t="str" cm="1">
        <f t="array" ref="M9">IFERROR(_xlfn.LET(
_xlpm.CSVVal,_xlfn.XLOOKUP($A9,CSV!$A:$A,CSV!Q:Q,""),
_xlpm.MacVal,_xlfn.XLOOKUP($A9,Output_Mac!$A:$A,Output_Mac!M:M,""),
_xlpm.MyAuditVal,_xlfn.XLOOKUP($A9,My_Audit!$A:$A,My_Audit!L:L,""),
_xlfn.IFS(_xlpm.MyAuditVal&lt;&gt;"",UPPER(_xlpm.MyAuditVal),_xlpm.MacVal&lt;&gt;"",_xlpm.MacVal,_xlpm.CSVVal&lt;&gt;"",_xlpm.CSVVal
)),"")</f>
        <v/>
      </c>
      <c r="O9" s="2" t="str">
        <f>_xlfn.LET(
    _xlpm.CSVVal, _xlfn.XLOOKUP($A9, CSV!$A:$A, CSV!AA:AA, ""),
    _xlpm.MacVal, _xlfn.XLOOKUP($A9, Output_Mac!$A:$A, Output_Mac!S:S, ""),
    _xlpm.MyAuditVal, _xlfn.XLOOKUP($A9, My_Audit!$A:$A, My_Audit!P:P, ""),
    _xlfn.TEXTJOIN(", ", TRUE, _xlpm.MyAuditVal, _xlpm.MacVal, _xlpm.CSVVal)
)</f>
        <v/>
      </c>
      <c r="P9" s="2" t="str" cm="1">
        <f t="array" ref="P9">IFERROR(_xlfn.LET(
_xlpm.CSVVal,_xlfn.XLOOKUP($A9,CSV!$A:$A,CSV!AB:AB,""),
_xlpm.MacVal,_xlfn.XLOOKUP($A9,Output_Mac!$A:$A,Output_Mac!T:T,""),
_xlpm.MyAuditVal,_xlfn.XLOOKUP($A9,My_Audit!$A:$A,My_Audit!Q:Q,""),
_xlfn.IFS(_xlpm.MyAuditVal&lt;&gt;"",UPPER(_xlpm.MyAuditVal),_xlpm.MacVal&lt;&gt;"",_xlpm.MacVal,_xlpm.CSVVal&lt;&gt;"",_xlpm.CSVVal
)),"No")</f>
        <v>No</v>
      </c>
      <c r="Q9" s="2" t="str" cm="1">
        <f t="array" ref="Q9">IFERROR(_xlfn.LET(
_xlpm.CSVVal,_xlfn.XLOOKUP($A9,CSV!$A:$A,CSV!AC:AC,""),
_xlpm.MacVal,_xlfn.XLOOKUP($A9,Output_Mac!$A:$A,Output_Mac!U:U,""),
_xlpm.MyAuditVal,_xlfn.XLOOKUP($A9,My_Audit!$A:$A,My_Audit!R:R,""),
_xlfn.IFS(_xlpm.MyAuditVal&lt;&gt;"",UPPER(_xlpm.MyAuditVal),_xlpm.MacVal&lt;&gt;"",_xlpm.MacVal,_xlpm.CSVVal&lt;&gt;"",_xlpm.CSVVal
)),"")</f>
        <v/>
      </c>
      <c r="X9" t="str">
        <f>_xlfn.LET(
    _xlpm.MacVal, _xlfn.XLOOKUP($A9, Output_Mac!$A:$A, Output_Mac!AB:AB, ""),
    _xlpm.MyAuditVal, _xlfn.XLOOKUP($A9, My_Audit!$A:$A, My_Audit!N:N, ""),
    _xlfn.TEXTJOIN(", ", TRUE, _xlpm.MyAuditVal, _xlpm.MacVal)
)</f>
        <v/>
      </c>
    </row>
    <row r="10" spans="1:24">
      <c r="A10" s="2" t="str">
        <f>_xlfn.TEXTJOIN("",TRUE,Input!$B$2,"0",ROW(My_Audit!A9))</f>
        <v>X09</v>
      </c>
      <c r="B10" s="2" t="str">
        <f>_xlfn.TEXTJOIN("-",TRUE,"ITD",Input!$A$2,A10)</f>
        <v>ITD-SHR-X09</v>
      </c>
      <c r="C10" s="2" t="str" cm="1">
        <f t="array" ref="C10">IFERROR(_xlfn.LET(
_xlpm.CSVVal,_xlfn.XLOOKUP($A10,CSV!$A:$A,CSV!B:B,""),
_xlpm.MacVal,_xlfn.XLOOKUP($A10,Output_Mac!$A:$A,Output_Mac!B:B,""),
_xlpm.MyAuditVal,_xlfn.XLOOKUP($A10,My_Audit!$A:$A,My_Audit!B:B,""),
_xlfn.IFS(_xlpm.MyAuditVal&lt;&gt;"",UPPER(_xlpm.MyAuditVal),_xlpm.MacVal&lt;&gt;"",_xlpm.MacVal,_xlpm.CSVVal&lt;&gt;"",_xlpm.CSVVal
)),"")</f>
        <v/>
      </c>
      <c r="D10" s="2" t="str" cm="1">
        <f t="array" ref="D10">IFERROR(_xlfn.LET(
_xlpm.CSVVal,_xlfn.XLOOKUP($A10,CSV!$A:$A,CSV!D:D,""),
_xlpm.MacVal,_xlfn.XLOOKUP($A10,Output_Mac!$A:$A,Output_Mac!C:C,""),
_xlpm.MyAuditVal,_xlfn.XLOOKUP($A10,My_Audit!$A:$A,My_Audit!C:C,""),
_xlfn.IFS(_xlpm.MyAuditVal&lt;&gt;"",_xlpm.MyAuditVal,_xlpm.MacVal&lt;&gt;"",_xlpm.MacVal,_xlpm.CSVVal&lt;&gt;"",_xlpm.CSVVal
)),"")</f>
        <v/>
      </c>
      <c r="E10" s="2">
        <f>_xlfn.XLOOKUP(A10,My_Audit!A:A,My_Audit!D:D,"")</f>
        <v>0</v>
      </c>
      <c r="F10" s="2" t="str" cm="1">
        <f t="array" ref="F10">IFERROR(_xlfn.LET(
_xlpm.CSVVal,_xlfn.XLOOKUP($A10,CSV!$A:$A,CSV!F:F,""),
_xlpm.MacVal,_xlfn.XLOOKUP($A10,Output_Mac!$A:$A,Output_Mac!E:E,""),
_xlpm.MyAuditVal,_xlfn.XLOOKUP($A10,My_Audit!$A:$A,My_Audit!E:E,""),
_xlfn.IFS(_xlpm.MyAuditVal&lt;&gt;"",_xlpm.MyAuditVal,_xlpm.MacVal&lt;&gt;"",_xlpm.MacVal,_xlpm.CSVVal&lt;&gt;"",_xlpm.CSVVal
)),"")</f>
        <v/>
      </c>
      <c r="G10" s="2" t="str" cm="1">
        <f t="array" ref="G10">IFERROR(_xlfn.LET(
_xlpm.CSVVal,_xlfn.XLOOKUP($A10,CSV!$A:$A,CSV!G:G,""),
_xlpm.MacVal,_xlfn.XLOOKUP($A10,Output_Mac!$A:$A,Output_Mac!F:F,""),
_xlpm.MyAuditVal,_xlfn.XLOOKUP($A10,My_Audit!$A:$A,My_Audit!F:F,""),
_xlfn.IFS(_xlpm.MyAuditVal&lt;&gt;"",_xlpm.MyAuditVal,_xlpm.MacVal&lt;&gt;"",_xlpm.MacVal,_xlpm.CSVVal&lt;&gt;"",PROPER(_xlpm.CSVVal)
)),"")</f>
        <v/>
      </c>
      <c r="H10" s="2" t="str" cm="1">
        <f t="array" ref="H10">IFERROR(_xlfn.LET(
_xlpm.CSVVal,_xlfn.XLOOKUP($A10,CSV!$A:$A,CSV!H:H,""),
_xlpm.MacVal,_xlfn.XLOOKUP($A10,Output_Mac!$A:$A,Output_Mac!H:H,""),
_xlpm.MyAuditVal,_xlfn.XLOOKUP($A10,My_Audit!$A:$A,My_Audit!G:G,""),
_xlfn.IFS(_xlpm.MyAuditVal&lt;&gt;"",_xlpm.MyAuditVal,_xlpm.MacVal&lt;&gt;"",_xlpm.MacVal,_xlpm.CSVVal&lt;&gt;"",_xlpm.CSVVal
)),"")</f>
        <v/>
      </c>
      <c r="I10" s="2" t="str">
        <f>_xlfn.XLOOKUP(A10,Output_Mac!A:A,Output_Mac!I:I,"")</f>
        <v/>
      </c>
      <c r="J10" s="2" t="str" cm="1">
        <f t="array" ref="J10">IFERROR(_xlfn.LET(
_xlpm.CSVVal,_xlfn.XLOOKUP($A10,CSV!$A:$A,CSV!I:I,""),
_xlpm.MacVal,_xlfn.XLOOKUP($A10,Output_Mac!$A:$A,Output_Mac!J:J,""),
_xlpm.MyAuditVal,_xlfn.XLOOKUP($A10,My_Audit!$A:$A,My_Audit!I:I,""),
_xlfn.IFS(_xlpm.MyAuditVal&lt;&gt;"",UPPER(_xlpm.MyAuditVal),_xlpm.MacVal&lt;&gt;"",_xlpm.MacVal,_xlpm.CSVVal&lt;&gt;"",_xlpm.CSVVal
)),"")</f>
        <v/>
      </c>
      <c r="K10" s="2" t="str" cm="1">
        <f t="array" ref="K10">IFERROR(_xlfn.LET(
_xlpm.CSVVal,_xlfn.XLOOKUP($A10,CSV!$A:$A,CSV!K:K,""),
_xlpm.MacVal,_xlfn.XLOOKUP($A10,Output_Mac!$A:$A,Output_Mac!K:K,""),
_xlpm.MyAuditVal,_xlfn.XLOOKUP($A10,My_Audit!$A:$A,My_Audit!J:J,""),
_xlfn.IFS(_xlpm.MyAuditVal&lt;&gt;"",UPPER(_xlpm.MyAuditVal),_xlpm.MacVal&lt;&gt;"",_xlpm.MacVal,_xlpm.CSVVal&lt;&gt;"",_xlpm.CSVVal
)),"")</f>
        <v/>
      </c>
      <c r="L10" s="2" t="str" cm="1">
        <f t="array" ref="L10">IFERROR(_xlfn.LET(
_xlpm.CSVVal,_xlfn.XLOOKUP($A10,CSV!$A:$A,CSV!P:P,""),
_xlpm.MacVal,_xlfn.XLOOKUP($A10,Output_Mac!$A:$A,Output_Mac!L:L,""),
_xlpm.MyAuditVal,_xlfn.XLOOKUP($A10,My_Audit!$A:$A,My_Audit!K:K,""),
_xlfn.IFS(_xlpm.MyAuditVal&lt;&gt;"",UPPER(_xlpm.MyAuditVal),_xlpm.MacVal&lt;&gt;"",_xlpm.MacVal,_xlpm.CSVVal&lt;&gt;"",_xlpm.CSVVal
)),"")</f>
        <v/>
      </c>
      <c r="M10" s="2" t="str" cm="1">
        <f t="array" ref="M10">IFERROR(_xlfn.LET(
_xlpm.CSVVal,_xlfn.XLOOKUP($A10,CSV!$A:$A,CSV!Q:Q,""),
_xlpm.MacVal,_xlfn.XLOOKUP($A10,Output_Mac!$A:$A,Output_Mac!M:M,""),
_xlpm.MyAuditVal,_xlfn.XLOOKUP($A10,My_Audit!$A:$A,My_Audit!L:L,""),
_xlfn.IFS(_xlpm.MyAuditVal&lt;&gt;"",UPPER(_xlpm.MyAuditVal),_xlpm.MacVal&lt;&gt;"",_xlpm.MacVal,_xlpm.CSVVal&lt;&gt;"",_xlpm.CSVVal
)),"")</f>
        <v/>
      </c>
      <c r="O10" s="2" t="str">
        <f>_xlfn.LET(
    _xlpm.CSVVal, _xlfn.XLOOKUP($A10, CSV!$A:$A, CSV!AA:AA, ""),
    _xlpm.MacVal, _xlfn.XLOOKUP($A10, Output_Mac!$A:$A, Output_Mac!S:S, ""),
    _xlpm.MyAuditVal, _xlfn.XLOOKUP($A10, My_Audit!$A:$A, My_Audit!P:P, ""),
    _xlfn.TEXTJOIN(", ", TRUE, _xlpm.MyAuditVal, _xlpm.MacVal, _xlpm.CSVVal)
)</f>
        <v/>
      </c>
      <c r="P10" s="2" t="str" cm="1">
        <f t="array" ref="P10">IFERROR(_xlfn.LET(
_xlpm.CSVVal,_xlfn.XLOOKUP($A10,CSV!$A:$A,CSV!AB:AB,""),
_xlpm.MacVal,_xlfn.XLOOKUP($A10,Output_Mac!$A:$A,Output_Mac!T:T,""),
_xlpm.MyAuditVal,_xlfn.XLOOKUP($A10,My_Audit!$A:$A,My_Audit!Q:Q,""),
_xlfn.IFS(_xlpm.MyAuditVal&lt;&gt;"",UPPER(_xlpm.MyAuditVal),_xlpm.MacVal&lt;&gt;"",_xlpm.MacVal,_xlpm.CSVVal&lt;&gt;"",_xlpm.CSVVal
)),"No")</f>
        <v>No</v>
      </c>
      <c r="Q10" s="2" t="str" cm="1">
        <f t="array" ref="Q10">IFERROR(_xlfn.LET(
_xlpm.CSVVal,_xlfn.XLOOKUP($A10,CSV!$A:$A,CSV!AC:AC,""),
_xlpm.MacVal,_xlfn.XLOOKUP($A10,Output_Mac!$A:$A,Output_Mac!U:U,""),
_xlpm.MyAuditVal,_xlfn.XLOOKUP($A10,My_Audit!$A:$A,My_Audit!R:R,""),
_xlfn.IFS(_xlpm.MyAuditVal&lt;&gt;"",UPPER(_xlpm.MyAuditVal),_xlpm.MacVal&lt;&gt;"",_xlpm.MacVal,_xlpm.CSVVal&lt;&gt;"",_xlpm.CSVVal
)),"")</f>
        <v/>
      </c>
      <c r="X10" t="str">
        <f>_xlfn.LET(
    _xlpm.MacVal, _xlfn.XLOOKUP($A10, Output_Mac!$A:$A, Output_Mac!AB:AB, ""),
    _xlpm.MyAuditVal, _xlfn.XLOOKUP($A10, My_Audit!$A:$A, My_Audit!N:N, ""),
    _xlfn.TEXTJOIN(", ", TRUE, _xlpm.MyAuditVal, _xlpm.MacVal)
)</f>
        <v/>
      </c>
    </row>
    <row r="11" spans="1:24">
      <c r="A11" s="2" t="str">
        <f>_xlfn.TEXTJOIN("",TRUE,Input!$B$2,ROW(My_Audit!A10))</f>
        <v>X10</v>
      </c>
      <c r="B11" s="2" t="str">
        <f>_xlfn.TEXTJOIN("-",TRUE,"ITD",Input!$A$2,A11)</f>
        <v>ITD-SHR-X10</v>
      </c>
      <c r="C11" s="2" t="str" cm="1">
        <f t="array" ref="C11">IFERROR(_xlfn.LET(
_xlpm.CSVVal,_xlfn.XLOOKUP($A11,CSV!$A:$A,CSV!B:B,""),
_xlpm.MacVal,_xlfn.XLOOKUP($A11,Output_Mac!$A:$A,Output_Mac!B:B,""),
_xlpm.MyAuditVal,_xlfn.XLOOKUP($A11,My_Audit!$A:$A,My_Audit!B:B,""),
_xlfn.IFS(_xlpm.MyAuditVal&lt;&gt;"",UPPER(_xlpm.MyAuditVal),_xlpm.MacVal&lt;&gt;"",_xlpm.MacVal,_xlpm.CSVVal&lt;&gt;"",_xlpm.CSVVal
)),"")</f>
        <v/>
      </c>
      <c r="D11" s="2" t="str" cm="1">
        <f t="array" ref="D11">IFERROR(_xlfn.LET(
_xlpm.CSVVal,_xlfn.XLOOKUP($A11,CSV!$A:$A,CSV!D:D,""),
_xlpm.MacVal,_xlfn.XLOOKUP($A11,Output_Mac!$A:$A,Output_Mac!C:C,""),
_xlpm.MyAuditVal,_xlfn.XLOOKUP($A11,My_Audit!$A:$A,My_Audit!C:C,""),
_xlfn.IFS(_xlpm.MyAuditVal&lt;&gt;"",_xlpm.MyAuditVal,_xlpm.MacVal&lt;&gt;"",_xlpm.MacVal,_xlpm.CSVVal&lt;&gt;"",_xlpm.CSVVal
)),"")</f>
        <v/>
      </c>
      <c r="E11" s="2">
        <f>_xlfn.XLOOKUP(A11,My_Audit!A:A,My_Audit!D:D,"")</f>
        <v>0</v>
      </c>
      <c r="F11" s="2" t="str" cm="1">
        <f t="array" ref="F11">IFERROR(_xlfn.LET(
_xlpm.CSVVal,_xlfn.XLOOKUP($A11,CSV!$A:$A,CSV!F:F,""),
_xlpm.MacVal,_xlfn.XLOOKUP($A11,Output_Mac!$A:$A,Output_Mac!E:E,""),
_xlpm.MyAuditVal,_xlfn.XLOOKUP($A11,My_Audit!$A:$A,My_Audit!E:E,""),
_xlfn.IFS(_xlpm.MyAuditVal&lt;&gt;"",_xlpm.MyAuditVal,_xlpm.MacVal&lt;&gt;"",_xlpm.MacVal,_xlpm.CSVVal&lt;&gt;"",_xlpm.CSVVal
)),"")</f>
        <v/>
      </c>
      <c r="G11" s="2" t="str" cm="1">
        <f t="array" ref="G11">IFERROR(_xlfn.LET(
_xlpm.CSVVal,_xlfn.XLOOKUP($A11,CSV!$A:$A,CSV!G:G,""),
_xlpm.MacVal,_xlfn.XLOOKUP($A11,Output_Mac!$A:$A,Output_Mac!F:F,""),
_xlpm.MyAuditVal,_xlfn.XLOOKUP($A11,My_Audit!$A:$A,My_Audit!F:F,""),
_xlfn.IFS(_xlpm.MyAuditVal&lt;&gt;"",_xlpm.MyAuditVal,_xlpm.MacVal&lt;&gt;"",_xlpm.MacVal,_xlpm.CSVVal&lt;&gt;"",PROPER(_xlpm.CSVVal)
)),"")</f>
        <v/>
      </c>
      <c r="H11" s="2" t="str" cm="1">
        <f t="array" ref="H11">IFERROR(_xlfn.LET(
_xlpm.CSVVal,_xlfn.XLOOKUP($A11,CSV!$A:$A,CSV!H:H,""),
_xlpm.MacVal,_xlfn.XLOOKUP($A11,Output_Mac!$A:$A,Output_Mac!H:H,""),
_xlpm.MyAuditVal,_xlfn.XLOOKUP($A11,My_Audit!$A:$A,My_Audit!G:G,""),
_xlfn.IFS(_xlpm.MyAuditVal&lt;&gt;"",_xlpm.MyAuditVal,_xlpm.MacVal&lt;&gt;"",_xlpm.MacVal,_xlpm.CSVVal&lt;&gt;"",_xlpm.CSVVal
)),"")</f>
        <v/>
      </c>
      <c r="I11" s="2" t="str">
        <f>_xlfn.XLOOKUP(A11,Output_Mac!A:A,Output_Mac!I:I,"")</f>
        <v/>
      </c>
      <c r="J11" s="2" t="str" cm="1">
        <f t="array" ref="J11">IFERROR(_xlfn.LET(
_xlpm.CSVVal,_xlfn.XLOOKUP($A11,CSV!$A:$A,CSV!I:I,""),
_xlpm.MacVal,_xlfn.XLOOKUP($A11,Output_Mac!$A:$A,Output_Mac!J:J,""),
_xlpm.MyAuditVal,_xlfn.XLOOKUP($A11,My_Audit!$A:$A,My_Audit!I:I,""),
_xlfn.IFS(_xlpm.MyAuditVal&lt;&gt;"",UPPER(_xlpm.MyAuditVal),_xlpm.MacVal&lt;&gt;"",_xlpm.MacVal,_xlpm.CSVVal&lt;&gt;"",_xlpm.CSVVal
)),"")</f>
        <v/>
      </c>
      <c r="K11" s="2" t="str" cm="1">
        <f t="array" ref="K11">IFERROR(_xlfn.LET(
_xlpm.CSVVal,_xlfn.XLOOKUP($A11,CSV!$A:$A,CSV!K:K,""),
_xlpm.MacVal,_xlfn.XLOOKUP($A11,Output_Mac!$A:$A,Output_Mac!K:K,""),
_xlpm.MyAuditVal,_xlfn.XLOOKUP($A11,My_Audit!$A:$A,My_Audit!J:J,""),
_xlfn.IFS(_xlpm.MyAuditVal&lt;&gt;"",UPPER(_xlpm.MyAuditVal),_xlpm.MacVal&lt;&gt;"",_xlpm.MacVal,_xlpm.CSVVal&lt;&gt;"",_xlpm.CSVVal
)),"")</f>
        <v/>
      </c>
      <c r="L11" s="2" t="str" cm="1">
        <f t="array" ref="L11">IFERROR(_xlfn.LET(
_xlpm.CSVVal,_xlfn.XLOOKUP($A11,CSV!$A:$A,CSV!P:P,""),
_xlpm.MacVal,_xlfn.XLOOKUP($A11,Output_Mac!$A:$A,Output_Mac!L:L,""),
_xlpm.MyAuditVal,_xlfn.XLOOKUP($A11,My_Audit!$A:$A,My_Audit!K:K,""),
_xlfn.IFS(_xlpm.MyAuditVal&lt;&gt;"",UPPER(_xlpm.MyAuditVal),_xlpm.MacVal&lt;&gt;"",_xlpm.MacVal,_xlpm.CSVVal&lt;&gt;"",_xlpm.CSVVal
)),"")</f>
        <v/>
      </c>
      <c r="M11" s="2" t="str" cm="1">
        <f t="array" ref="M11">IFERROR(_xlfn.LET(
_xlpm.CSVVal,_xlfn.XLOOKUP($A11,CSV!$A:$A,CSV!Q:Q,""),
_xlpm.MacVal,_xlfn.XLOOKUP($A11,Output_Mac!$A:$A,Output_Mac!M:M,""),
_xlpm.MyAuditVal,_xlfn.XLOOKUP($A11,My_Audit!$A:$A,My_Audit!L:L,""),
_xlfn.IFS(_xlpm.MyAuditVal&lt;&gt;"",UPPER(_xlpm.MyAuditVal),_xlpm.MacVal&lt;&gt;"",_xlpm.MacVal,_xlpm.CSVVal&lt;&gt;"",_xlpm.CSVVal
)),"")</f>
        <v/>
      </c>
      <c r="O11" s="2" t="str">
        <f>_xlfn.LET(
    _xlpm.CSVVal, _xlfn.XLOOKUP($A11, CSV!$A:$A, CSV!AA:AA, ""),
    _xlpm.MacVal, _xlfn.XLOOKUP($A11, Output_Mac!$A:$A, Output_Mac!S:S, ""),
    _xlpm.MyAuditVal, _xlfn.XLOOKUP($A11, My_Audit!$A:$A, My_Audit!P:P, ""),
    _xlfn.TEXTJOIN(", ", TRUE, _xlpm.MyAuditVal, _xlpm.MacVal, _xlpm.CSVVal)
)</f>
        <v/>
      </c>
      <c r="P11" s="2" t="str" cm="1">
        <f t="array" ref="P11">IFERROR(_xlfn.LET(
_xlpm.CSVVal,_xlfn.XLOOKUP($A11,CSV!$A:$A,CSV!AB:AB,""),
_xlpm.MacVal,_xlfn.XLOOKUP($A11,Output_Mac!$A:$A,Output_Mac!T:T,""),
_xlpm.MyAuditVal,_xlfn.XLOOKUP($A11,My_Audit!$A:$A,My_Audit!Q:Q,""),
_xlfn.IFS(_xlpm.MyAuditVal&lt;&gt;"",UPPER(_xlpm.MyAuditVal),_xlpm.MacVal&lt;&gt;"",_xlpm.MacVal,_xlpm.CSVVal&lt;&gt;"",_xlpm.CSVVal
)),"No")</f>
        <v>No</v>
      </c>
      <c r="Q11" s="2" t="str" cm="1">
        <f t="array" ref="Q11">IFERROR(_xlfn.LET(
_xlpm.CSVVal,_xlfn.XLOOKUP($A11,CSV!$A:$A,CSV!AC:AC,""),
_xlpm.MacVal,_xlfn.XLOOKUP($A11,Output_Mac!$A:$A,Output_Mac!U:U,""),
_xlpm.MyAuditVal,_xlfn.XLOOKUP($A11,My_Audit!$A:$A,My_Audit!R:R,""),
_xlfn.IFS(_xlpm.MyAuditVal&lt;&gt;"",UPPER(_xlpm.MyAuditVal),_xlpm.MacVal&lt;&gt;"",_xlpm.MacVal,_xlpm.CSVVal&lt;&gt;"",_xlpm.CSVVal
)),"")</f>
        <v/>
      </c>
      <c r="X11" t="str">
        <f>_xlfn.LET(
    _xlpm.MacVal, _xlfn.XLOOKUP($A11, Output_Mac!$A:$A, Output_Mac!AB:AB, ""),
    _xlpm.MyAuditVal, _xlfn.XLOOKUP($A11, My_Audit!$A:$A, My_Audit!N:N, ""),
    _xlfn.TEXTJOIN(", ", TRUE, _xlpm.MyAuditVal, _xlpm.MacVal)
)</f>
        <v/>
      </c>
    </row>
    <row r="12" spans="1:24">
      <c r="A12" s="2" t="str">
        <f>_xlfn.TEXTJOIN("",TRUE,Input!$B$2,ROW(My_Audit!A11))</f>
        <v>X11</v>
      </c>
      <c r="B12" s="2" t="str">
        <f>_xlfn.TEXTJOIN("-",TRUE,"ITD",Input!$A$2,A12)</f>
        <v>ITD-SHR-X11</v>
      </c>
      <c r="C12" s="2" t="str" cm="1">
        <f t="array" ref="C12">IFERROR(_xlfn.LET(
_xlpm.CSVVal,_xlfn.XLOOKUP($A12,CSV!$A:$A,CSV!B:B,""),
_xlpm.MacVal,_xlfn.XLOOKUP($A12,Output_Mac!$A:$A,Output_Mac!B:B,""),
_xlpm.MyAuditVal,_xlfn.XLOOKUP($A12,My_Audit!$A:$A,My_Audit!B:B,""),
_xlfn.IFS(_xlpm.MyAuditVal&lt;&gt;"",UPPER(_xlpm.MyAuditVal),_xlpm.MacVal&lt;&gt;"",_xlpm.MacVal,_xlpm.CSVVal&lt;&gt;"",_xlpm.CSVVal
)),"")</f>
        <v/>
      </c>
      <c r="D12" s="2" t="str" cm="1">
        <f t="array" ref="D12">IFERROR(_xlfn.LET(
_xlpm.CSVVal,_xlfn.XLOOKUP($A12,CSV!$A:$A,CSV!D:D,""),
_xlpm.MacVal,_xlfn.XLOOKUP($A12,Output_Mac!$A:$A,Output_Mac!C:C,""),
_xlpm.MyAuditVal,_xlfn.XLOOKUP($A12,My_Audit!$A:$A,My_Audit!C:C,""),
_xlfn.IFS(_xlpm.MyAuditVal&lt;&gt;"",_xlpm.MyAuditVal,_xlpm.MacVal&lt;&gt;"",_xlpm.MacVal,_xlpm.CSVVal&lt;&gt;"",_xlpm.CSVVal
)),"")</f>
        <v/>
      </c>
      <c r="E12" s="2">
        <f>_xlfn.XLOOKUP(A12,My_Audit!A:A,My_Audit!D:D,"")</f>
        <v>0</v>
      </c>
      <c r="F12" s="2" t="str" cm="1">
        <f t="array" ref="F12">IFERROR(_xlfn.LET(
_xlpm.CSVVal,_xlfn.XLOOKUP($A12,CSV!$A:$A,CSV!F:F,""),
_xlpm.MacVal,_xlfn.XLOOKUP($A12,Output_Mac!$A:$A,Output_Mac!E:E,""),
_xlpm.MyAuditVal,_xlfn.XLOOKUP($A12,My_Audit!$A:$A,My_Audit!E:E,""),
_xlfn.IFS(_xlpm.MyAuditVal&lt;&gt;"",_xlpm.MyAuditVal,_xlpm.MacVal&lt;&gt;"",_xlpm.MacVal,_xlpm.CSVVal&lt;&gt;"",_xlpm.CSVVal
)),"")</f>
        <v/>
      </c>
      <c r="G12" s="2" t="str" cm="1">
        <f t="array" ref="G12">IFERROR(_xlfn.LET(
_xlpm.CSVVal,_xlfn.XLOOKUP($A12,CSV!$A:$A,CSV!G:G,""),
_xlpm.MacVal,_xlfn.XLOOKUP($A12,Output_Mac!$A:$A,Output_Mac!F:F,""),
_xlpm.MyAuditVal,_xlfn.XLOOKUP($A12,My_Audit!$A:$A,My_Audit!F:F,""),
_xlfn.IFS(_xlpm.MyAuditVal&lt;&gt;"",_xlpm.MyAuditVal,_xlpm.MacVal&lt;&gt;"",_xlpm.MacVal,_xlpm.CSVVal&lt;&gt;"",PROPER(_xlpm.CSVVal)
)),"")</f>
        <v/>
      </c>
      <c r="H12" s="2" t="str" cm="1">
        <f t="array" ref="H12">IFERROR(_xlfn.LET(
_xlpm.CSVVal,_xlfn.XLOOKUP($A12,CSV!$A:$A,CSV!H:H,""),
_xlpm.MacVal,_xlfn.XLOOKUP($A12,Output_Mac!$A:$A,Output_Mac!H:H,""),
_xlpm.MyAuditVal,_xlfn.XLOOKUP($A12,My_Audit!$A:$A,My_Audit!G:G,""),
_xlfn.IFS(_xlpm.MyAuditVal&lt;&gt;"",_xlpm.MyAuditVal,_xlpm.MacVal&lt;&gt;"",_xlpm.MacVal,_xlpm.CSVVal&lt;&gt;"",_xlpm.CSVVal
)),"")</f>
        <v/>
      </c>
      <c r="I12" s="2" t="str">
        <f>_xlfn.XLOOKUP(A12,Output_Mac!A:A,Output_Mac!I:I,"")</f>
        <v/>
      </c>
      <c r="J12" s="2" t="str" cm="1">
        <f t="array" ref="J12">IFERROR(_xlfn.LET(
_xlpm.CSVVal,_xlfn.XLOOKUP($A12,CSV!$A:$A,CSV!I:I,""),
_xlpm.MacVal,_xlfn.XLOOKUP($A12,Output_Mac!$A:$A,Output_Mac!J:J,""),
_xlpm.MyAuditVal,_xlfn.XLOOKUP($A12,My_Audit!$A:$A,My_Audit!I:I,""),
_xlfn.IFS(_xlpm.MyAuditVal&lt;&gt;"",UPPER(_xlpm.MyAuditVal),_xlpm.MacVal&lt;&gt;"",_xlpm.MacVal,_xlpm.CSVVal&lt;&gt;"",_xlpm.CSVVal
)),"")</f>
        <v/>
      </c>
      <c r="K12" s="2" t="str" cm="1">
        <f t="array" ref="K12">IFERROR(_xlfn.LET(
_xlpm.CSVVal,_xlfn.XLOOKUP($A12,CSV!$A:$A,CSV!K:K,""),
_xlpm.MacVal,_xlfn.XLOOKUP($A12,Output_Mac!$A:$A,Output_Mac!K:K,""),
_xlpm.MyAuditVal,_xlfn.XLOOKUP($A12,My_Audit!$A:$A,My_Audit!J:J,""),
_xlfn.IFS(_xlpm.MyAuditVal&lt;&gt;"",UPPER(_xlpm.MyAuditVal),_xlpm.MacVal&lt;&gt;"",_xlpm.MacVal,_xlpm.CSVVal&lt;&gt;"",_xlpm.CSVVal
)),"")</f>
        <v/>
      </c>
      <c r="L12" s="2" t="str" cm="1">
        <f t="array" ref="L12">IFERROR(_xlfn.LET(
_xlpm.CSVVal,_xlfn.XLOOKUP($A12,CSV!$A:$A,CSV!P:P,""),
_xlpm.MacVal,_xlfn.XLOOKUP($A12,Output_Mac!$A:$A,Output_Mac!L:L,""),
_xlpm.MyAuditVal,_xlfn.XLOOKUP($A12,My_Audit!$A:$A,My_Audit!K:K,""),
_xlfn.IFS(_xlpm.MyAuditVal&lt;&gt;"",UPPER(_xlpm.MyAuditVal),_xlpm.MacVal&lt;&gt;"",_xlpm.MacVal,_xlpm.CSVVal&lt;&gt;"",_xlpm.CSVVal
)),"")</f>
        <v/>
      </c>
      <c r="M12" s="2" t="str" cm="1">
        <f t="array" ref="M12">IFERROR(_xlfn.LET(
_xlpm.CSVVal,_xlfn.XLOOKUP($A12,CSV!$A:$A,CSV!Q:Q,""),
_xlpm.MacVal,_xlfn.XLOOKUP($A12,Output_Mac!$A:$A,Output_Mac!M:M,""),
_xlpm.MyAuditVal,_xlfn.XLOOKUP($A12,My_Audit!$A:$A,My_Audit!L:L,""),
_xlfn.IFS(_xlpm.MyAuditVal&lt;&gt;"",UPPER(_xlpm.MyAuditVal),_xlpm.MacVal&lt;&gt;"",_xlpm.MacVal,_xlpm.CSVVal&lt;&gt;"",_xlpm.CSVVal
)),"")</f>
        <v/>
      </c>
      <c r="O12" s="2" t="str">
        <f>_xlfn.LET(
    _xlpm.CSVVal, _xlfn.XLOOKUP($A12, CSV!$A:$A, CSV!AA:AA, ""),
    _xlpm.MacVal, _xlfn.XLOOKUP($A12, Output_Mac!$A:$A, Output_Mac!S:S, ""),
    _xlpm.MyAuditVal, _xlfn.XLOOKUP($A12, My_Audit!$A:$A, My_Audit!P:P, ""),
    _xlfn.TEXTJOIN(", ", TRUE, _xlpm.MyAuditVal, _xlpm.MacVal, _xlpm.CSVVal)
)</f>
        <v/>
      </c>
      <c r="P12" s="2" t="str" cm="1">
        <f t="array" ref="P12">IFERROR(_xlfn.LET(
_xlpm.CSVVal,_xlfn.XLOOKUP($A12,CSV!$A:$A,CSV!AB:AB,""),
_xlpm.MacVal,_xlfn.XLOOKUP($A12,Output_Mac!$A:$A,Output_Mac!T:T,""),
_xlpm.MyAuditVal,_xlfn.XLOOKUP($A12,My_Audit!$A:$A,My_Audit!Q:Q,""),
_xlfn.IFS(_xlpm.MyAuditVal&lt;&gt;"",UPPER(_xlpm.MyAuditVal),_xlpm.MacVal&lt;&gt;"",_xlpm.MacVal,_xlpm.CSVVal&lt;&gt;"",_xlpm.CSVVal
)),"No")</f>
        <v>No</v>
      </c>
      <c r="Q12" s="2" t="str" cm="1">
        <f t="array" ref="Q12">IFERROR(_xlfn.LET(
_xlpm.CSVVal,_xlfn.XLOOKUP($A12,CSV!$A:$A,CSV!AC:AC,""),
_xlpm.MacVal,_xlfn.XLOOKUP($A12,Output_Mac!$A:$A,Output_Mac!U:U,""),
_xlpm.MyAuditVal,_xlfn.XLOOKUP($A12,My_Audit!$A:$A,My_Audit!R:R,""),
_xlfn.IFS(_xlpm.MyAuditVal&lt;&gt;"",UPPER(_xlpm.MyAuditVal),_xlpm.MacVal&lt;&gt;"",_xlpm.MacVal,_xlpm.CSVVal&lt;&gt;"",_xlpm.CSVVal
)),"")</f>
        <v/>
      </c>
      <c r="X12" t="str">
        <f>_xlfn.LET(
    _xlpm.MacVal, _xlfn.XLOOKUP($A12, Output_Mac!$A:$A, Output_Mac!AB:AB, ""),
    _xlpm.MyAuditVal, _xlfn.XLOOKUP($A12, My_Audit!$A:$A, My_Audit!N:N, ""),
    _xlfn.TEXTJOIN(", ", TRUE, _xlpm.MyAuditVal, _xlpm.MacVal)
)</f>
        <v/>
      </c>
    </row>
    <row r="13" spans="1:24">
      <c r="A13" s="2" t="str">
        <f>_xlfn.TEXTJOIN("",TRUE,Input!$B$2,ROW(My_Audit!A12))</f>
        <v>X12</v>
      </c>
      <c r="B13" s="2" t="str">
        <f>_xlfn.TEXTJOIN("-",TRUE,"ITD",Input!$A$2,A13)</f>
        <v>ITD-SHR-X12</v>
      </c>
      <c r="C13" s="2" t="str" cm="1">
        <f t="array" ref="C13">IFERROR(_xlfn.LET(
_xlpm.CSVVal,_xlfn.XLOOKUP($A13,CSV!$A:$A,CSV!B:B,""),
_xlpm.MacVal,_xlfn.XLOOKUP($A13,Output_Mac!$A:$A,Output_Mac!B:B,""),
_xlpm.MyAuditVal,_xlfn.XLOOKUP($A13,My_Audit!$A:$A,My_Audit!B:B,""),
_xlfn.IFS(_xlpm.MyAuditVal&lt;&gt;"",UPPER(_xlpm.MyAuditVal),_xlpm.MacVal&lt;&gt;"",_xlpm.MacVal,_xlpm.CSVVal&lt;&gt;"",_xlpm.CSVVal
)),"")</f>
        <v/>
      </c>
      <c r="D13" s="2" t="str" cm="1">
        <f t="array" ref="D13">IFERROR(_xlfn.LET(
_xlpm.CSVVal,_xlfn.XLOOKUP($A13,CSV!$A:$A,CSV!D:D,""),
_xlpm.MacVal,_xlfn.XLOOKUP($A13,Output_Mac!$A:$A,Output_Mac!C:C,""),
_xlpm.MyAuditVal,_xlfn.XLOOKUP($A13,My_Audit!$A:$A,My_Audit!C:C,""),
_xlfn.IFS(_xlpm.MyAuditVal&lt;&gt;"",_xlpm.MyAuditVal,_xlpm.MacVal&lt;&gt;"",_xlpm.MacVal,_xlpm.CSVVal&lt;&gt;"",_xlpm.CSVVal
)),"")</f>
        <v/>
      </c>
      <c r="E13" s="2">
        <f>_xlfn.XLOOKUP(A13,My_Audit!A:A,My_Audit!D:D,"")</f>
        <v>0</v>
      </c>
      <c r="F13" s="2" t="str" cm="1">
        <f t="array" ref="F13">IFERROR(_xlfn.LET(
_xlpm.CSVVal,_xlfn.XLOOKUP($A13,CSV!$A:$A,CSV!F:F,""),
_xlpm.MacVal,_xlfn.XLOOKUP($A13,Output_Mac!$A:$A,Output_Mac!E:E,""),
_xlpm.MyAuditVal,_xlfn.XLOOKUP($A13,My_Audit!$A:$A,My_Audit!E:E,""),
_xlfn.IFS(_xlpm.MyAuditVal&lt;&gt;"",_xlpm.MyAuditVal,_xlpm.MacVal&lt;&gt;"",_xlpm.MacVal,_xlpm.CSVVal&lt;&gt;"",_xlpm.CSVVal
)),"")</f>
        <v/>
      </c>
      <c r="G13" s="2" t="str" cm="1">
        <f t="array" ref="G13">IFERROR(_xlfn.LET(
_xlpm.CSVVal,_xlfn.XLOOKUP($A13,CSV!$A:$A,CSV!G:G,""),
_xlpm.MacVal,_xlfn.XLOOKUP($A13,Output_Mac!$A:$A,Output_Mac!F:F,""),
_xlpm.MyAuditVal,_xlfn.XLOOKUP($A13,My_Audit!$A:$A,My_Audit!F:F,""),
_xlfn.IFS(_xlpm.MyAuditVal&lt;&gt;"",_xlpm.MyAuditVal,_xlpm.MacVal&lt;&gt;"",_xlpm.MacVal,_xlpm.CSVVal&lt;&gt;"",PROPER(_xlpm.CSVVal)
)),"")</f>
        <v/>
      </c>
      <c r="H13" s="2" t="str" cm="1">
        <f t="array" ref="H13">IFERROR(_xlfn.LET(
_xlpm.CSVVal,_xlfn.XLOOKUP($A13,CSV!$A:$A,CSV!H:H,""),
_xlpm.MacVal,_xlfn.XLOOKUP($A13,Output_Mac!$A:$A,Output_Mac!H:H,""),
_xlpm.MyAuditVal,_xlfn.XLOOKUP($A13,My_Audit!$A:$A,My_Audit!G:G,""),
_xlfn.IFS(_xlpm.MyAuditVal&lt;&gt;"",_xlpm.MyAuditVal,_xlpm.MacVal&lt;&gt;"",_xlpm.MacVal,_xlpm.CSVVal&lt;&gt;"",_xlpm.CSVVal
)),"")</f>
        <v/>
      </c>
      <c r="I13" s="2" t="str">
        <f>_xlfn.XLOOKUP(A13,Output_Mac!A:A,Output_Mac!I:I,"")</f>
        <v/>
      </c>
      <c r="J13" s="2" t="str" cm="1">
        <f t="array" ref="J13">IFERROR(_xlfn.LET(
_xlpm.CSVVal,_xlfn.XLOOKUP($A13,CSV!$A:$A,CSV!I:I,""),
_xlpm.MacVal,_xlfn.XLOOKUP($A13,Output_Mac!$A:$A,Output_Mac!J:J,""),
_xlpm.MyAuditVal,_xlfn.XLOOKUP($A13,My_Audit!$A:$A,My_Audit!I:I,""),
_xlfn.IFS(_xlpm.MyAuditVal&lt;&gt;"",UPPER(_xlpm.MyAuditVal),_xlpm.MacVal&lt;&gt;"",_xlpm.MacVal,_xlpm.CSVVal&lt;&gt;"",_xlpm.CSVVal
)),"")</f>
        <v/>
      </c>
      <c r="K13" s="2" t="str" cm="1">
        <f t="array" ref="K13">IFERROR(_xlfn.LET(
_xlpm.CSVVal,_xlfn.XLOOKUP($A13,CSV!$A:$A,CSV!K:K,""),
_xlpm.MacVal,_xlfn.XLOOKUP($A13,Output_Mac!$A:$A,Output_Mac!K:K,""),
_xlpm.MyAuditVal,_xlfn.XLOOKUP($A13,My_Audit!$A:$A,My_Audit!J:J,""),
_xlfn.IFS(_xlpm.MyAuditVal&lt;&gt;"",UPPER(_xlpm.MyAuditVal),_xlpm.MacVal&lt;&gt;"",_xlpm.MacVal,_xlpm.CSVVal&lt;&gt;"",_xlpm.CSVVal
)),"")</f>
        <v/>
      </c>
      <c r="L13" s="2" t="str" cm="1">
        <f t="array" ref="L13">IFERROR(_xlfn.LET(
_xlpm.CSVVal,_xlfn.XLOOKUP($A13,CSV!$A:$A,CSV!P:P,""),
_xlpm.MacVal,_xlfn.XLOOKUP($A13,Output_Mac!$A:$A,Output_Mac!L:L,""),
_xlpm.MyAuditVal,_xlfn.XLOOKUP($A13,My_Audit!$A:$A,My_Audit!K:K,""),
_xlfn.IFS(_xlpm.MyAuditVal&lt;&gt;"",UPPER(_xlpm.MyAuditVal),_xlpm.MacVal&lt;&gt;"",_xlpm.MacVal,_xlpm.CSVVal&lt;&gt;"",_xlpm.CSVVal
)),"")</f>
        <v/>
      </c>
      <c r="M13" s="2" t="str" cm="1">
        <f t="array" ref="M13">IFERROR(_xlfn.LET(
_xlpm.CSVVal,_xlfn.XLOOKUP($A13,CSV!$A:$A,CSV!Q:Q,""),
_xlpm.MacVal,_xlfn.XLOOKUP($A13,Output_Mac!$A:$A,Output_Mac!M:M,""),
_xlpm.MyAuditVal,_xlfn.XLOOKUP($A13,My_Audit!$A:$A,My_Audit!L:L,""),
_xlfn.IFS(_xlpm.MyAuditVal&lt;&gt;"",UPPER(_xlpm.MyAuditVal),_xlpm.MacVal&lt;&gt;"",_xlpm.MacVal,_xlpm.CSVVal&lt;&gt;"",_xlpm.CSVVal
)),"")</f>
        <v/>
      </c>
      <c r="O13" s="2" t="str">
        <f>_xlfn.LET(
    _xlpm.CSVVal, _xlfn.XLOOKUP($A13, CSV!$A:$A, CSV!AA:AA, ""),
    _xlpm.MacVal, _xlfn.XLOOKUP($A13, Output_Mac!$A:$A, Output_Mac!S:S, ""),
    _xlpm.MyAuditVal, _xlfn.XLOOKUP($A13, My_Audit!$A:$A, My_Audit!P:P, ""),
    _xlfn.TEXTJOIN(", ", TRUE, _xlpm.MyAuditVal, _xlpm.MacVal, _xlpm.CSVVal)
)</f>
        <v/>
      </c>
      <c r="P13" s="2" t="str" cm="1">
        <f t="array" ref="P13">IFERROR(_xlfn.LET(
_xlpm.CSVVal,_xlfn.XLOOKUP($A13,CSV!$A:$A,CSV!AB:AB,""),
_xlpm.MacVal,_xlfn.XLOOKUP($A13,Output_Mac!$A:$A,Output_Mac!T:T,""),
_xlpm.MyAuditVal,_xlfn.XLOOKUP($A13,My_Audit!$A:$A,My_Audit!Q:Q,""),
_xlfn.IFS(_xlpm.MyAuditVal&lt;&gt;"",UPPER(_xlpm.MyAuditVal),_xlpm.MacVal&lt;&gt;"",_xlpm.MacVal,_xlpm.CSVVal&lt;&gt;"",_xlpm.CSVVal
)),"No")</f>
        <v>No</v>
      </c>
      <c r="Q13" s="2" t="str" cm="1">
        <f t="array" ref="Q13">IFERROR(_xlfn.LET(
_xlpm.CSVVal,_xlfn.XLOOKUP($A13,CSV!$A:$A,CSV!AC:AC,""),
_xlpm.MacVal,_xlfn.XLOOKUP($A13,Output_Mac!$A:$A,Output_Mac!U:U,""),
_xlpm.MyAuditVal,_xlfn.XLOOKUP($A13,My_Audit!$A:$A,My_Audit!R:R,""),
_xlfn.IFS(_xlpm.MyAuditVal&lt;&gt;"",UPPER(_xlpm.MyAuditVal),_xlpm.MacVal&lt;&gt;"",_xlpm.MacVal,_xlpm.CSVVal&lt;&gt;"",_xlpm.CSVVal
)),"")</f>
        <v/>
      </c>
      <c r="X13" t="str">
        <f>_xlfn.LET(
    _xlpm.MacVal, _xlfn.XLOOKUP($A13, Output_Mac!$A:$A, Output_Mac!AB:AB, ""),
    _xlpm.MyAuditVal, _xlfn.XLOOKUP($A13, My_Audit!$A:$A, My_Audit!N:N, ""),
    _xlfn.TEXTJOIN(", ", TRUE, _xlpm.MyAuditVal, _xlpm.MacVal)
)</f>
        <v/>
      </c>
    </row>
    <row r="14" spans="1:24">
      <c r="A14" s="2" t="str">
        <f>_xlfn.TEXTJOIN("",TRUE,Input!$B$2,ROW(My_Audit!A13))</f>
        <v>X13</v>
      </c>
      <c r="B14" s="2" t="str">
        <f>_xlfn.TEXTJOIN("-",TRUE,"ITD",Input!$A$2,A14)</f>
        <v>ITD-SHR-X13</v>
      </c>
      <c r="C14" s="2" t="str" cm="1">
        <f t="array" ref="C14">IFERROR(_xlfn.LET(
_xlpm.CSVVal,_xlfn.XLOOKUP($A14,CSV!$A:$A,CSV!B:B,""),
_xlpm.MacVal,_xlfn.XLOOKUP($A14,Output_Mac!$A:$A,Output_Mac!B:B,""),
_xlpm.MyAuditVal,_xlfn.XLOOKUP($A14,My_Audit!$A:$A,My_Audit!B:B,""),
_xlfn.IFS(_xlpm.MyAuditVal&lt;&gt;"",UPPER(_xlpm.MyAuditVal),_xlpm.MacVal&lt;&gt;"",_xlpm.MacVal,_xlpm.CSVVal&lt;&gt;"",_xlpm.CSVVal
)),"")</f>
        <v/>
      </c>
      <c r="D14" s="2" t="str" cm="1">
        <f t="array" ref="D14">IFERROR(_xlfn.LET(
_xlpm.CSVVal,_xlfn.XLOOKUP($A14,CSV!$A:$A,CSV!D:D,""),
_xlpm.MacVal,_xlfn.XLOOKUP($A14,Output_Mac!$A:$A,Output_Mac!C:C,""),
_xlpm.MyAuditVal,_xlfn.XLOOKUP($A14,My_Audit!$A:$A,My_Audit!C:C,""),
_xlfn.IFS(_xlpm.MyAuditVal&lt;&gt;"",_xlpm.MyAuditVal,_xlpm.MacVal&lt;&gt;"",_xlpm.MacVal,_xlpm.CSVVal&lt;&gt;"",_xlpm.CSVVal
)),"")</f>
        <v/>
      </c>
      <c r="E14" s="2">
        <f>_xlfn.XLOOKUP(A14,My_Audit!A:A,My_Audit!D:D,"")</f>
        <v>0</v>
      </c>
      <c r="F14" s="2" t="str" cm="1">
        <f t="array" ref="F14">IFERROR(_xlfn.LET(
_xlpm.CSVVal,_xlfn.XLOOKUP($A14,CSV!$A:$A,CSV!F:F,""),
_xlpm.MacVal,_xlfn.XLOOKUP($A14,Output_Mac!$A:$A,Output_Mac!E:E,""),
_xlpm.MyAuditVal,_xlfn.XLOOKUP($A14,My_Audit!$A:$A,My_Audit!E:E,""),
_xlfn.IFS(_xlpm.MyAuditVal&lt;&gt;"",_xlpm.MyAuditVal,_xlpm.MacVal&lt;&gt;"",_xlpm.MacVal,_xlpm.CSVVal&lt;&gt;"",_xlpm.CSVVal
)),"")</f>
        <v/>
      </c>
      <c r="G14" s="2" t="str" cm="1">
        <f t="array" ref="G14">IFERROR(_xlfn.LET(
_xlpm.CSVVal,_xlfn.XLOOKUP($A14,CSV!$A:$A,CSV!G:G,""),
_xlpm.MacVal,_xlfn.XLOOKUP($A14,Output_Mac!$A:$A,Output_Mac!F:F,""),
_xlpm.MyAuditVal,_xlfn.XLOOKUP($A14,My_Audit!$A:$A,My_Audit!F:F,""),
_xlfn.IFS(_xlpm.MyAuditVal&lt;&gt;"",_xlpm.MyAuditVal,_xlpm.MacVal&lt;&gt;"",_xlpm.MacVal,_xlpm.CSVVal&lt;&gt;"",PROPER(_xlpm.CSVVal)
)),"")</f>
        <v/>
      </c>
      <c r="H14" s="2" t="str" cm="1">
        <f t="array" ref="H14">IFERROR(_xlfn.LET(
_xlpm.CSVVal,_xlfn.XLOOKUP($A14,CSV!$A:$A,CSV!H:H,""),
_xlpm.MacVal,_xlfn.XLOOKUP($A14,Output_Mac!$A:$A,Output_Mac!H:H,""),
_xlpm.MyAuditVal,_xlfn.XLOOKUP($A14,My_Audit!$A:$A,My_Audit!G:G,""),
_xlfn.IFS(_xlpm.MyAuditVal&lt;&gt;"",_xlpm.MyAuditVal,_xlpm.MacVal&lt;&gt;"",_xlpm.MacVal,_xlpm.CSVVal&lt;&gt;"",_xlpm.CSVVal
)),"")</f>
        <v/>
      </c>
      <c r="I14" s="2" t="str">
        <f>_xlfn.XLOOKUP(A14,Output_Mac!A:A,Output_Mac!I:I,"")</f>
        <v/>
      </c>
      <c r="J14" s="2" t="str" cm="1">
        <f t="array" ref="J14">IFERROR(_xlfn.LET(
_xlpm.CSVVal,_xlfn.XLOOKUP($A14,CSV!$A:$A,CSV!I:I,""),
_xlpm.MacVal,_xlfn.XLOOKUP($A14,Output_Mac!$A:$A,Output_Mac!J:J,""),
_xlpm.MyAuditVal,_xlfn.XLOOKUP($A14,My_Audit!$A:$A,My_Audit!I:I,""),
_xlfn.IFS(_xlpm.MyAuditVal&lt;&gt;"",UPPER(_xlpm.MyAuditVal),_xlpm.MacVal&lt;&gt;"",_xlpm.MacVal,_xlpm.CSVVal&lt;&gt;"",_xlpm.CSVVal
)),"")</f>
        <v/>
      </c>
      <c r="K14" s="2" t="str" cm="1">
        <f t="array" ref="K14">IFERROR(_xlfn.LET(
_xlpm.CSVVal,_xlfn.XLOOKUP($A14,CSV!$A:$A,CSV!K:K,""),
_xlpm.MacVal,_xlfn.XLOOKUP($A14,Output_Mac!$A:$A,Output_Mac!K:K,""),
_xlpm.MyAuditVal,_xlfn.XLOOKUP($A14,My_Audit!$A:$A,My_Audit!J:J,""),
_xlfn.IFS(_xlpm.MyAuditVal&lt;&gt;"",UPPER(_xlpm.MyAuditVal),_xlpm.MacVal&lt;&gt;"",_xlpm.MacVal,_xlpm.CSVVal&lt;&gt;"",_xlpm.CSVVal
)),"")</f>
        <v/>
      </c>
      <c r="L14" s="2" t="str" cm="1">
        <f t="array" ref="L14">IFERROR(_xlfn.LET(
_xlpm.CSVVal,_xlfn.XLOOKUP($A14,CSV!$A:$A,CSV!P:P,""),
_xlpm.MacVal,_xlfn.XLOOKUP($A14,Output_Mac!$A:$A,Output_Mac!L:L,""),
_xlpm.MyAuditVal,_xlfn.XLOOKUP($A14,My_Audit!$A:$A,My_Audit!K:K,""),
_xlfn.IFS(_xlpm.MyAuditVal&lt;&gt;"",UPPER(_xlpm.MyAuditVal),_xlpm.MacVal&lt;&gt;"",_xlpm.MacVal,_xlpm.CSVVal&lt;&gt;"",_xlpm.CSVVal
)),"")</f>
        <v/>
      </c>
      <c r="M14" s="2" t="str" cm="1">
        <f t="array" ref="M14">IFERROR(_xlfn.LET(
_xlpm.CSVVal,_xlfn.XLOOKUP($A14,CSV!$A:$A,CSV!Q:Q,""),
_xlpm.MacVal,_xlfn.XLOOKUP($A14,Output_Mac!$A:$A,Output_Mac!M:M,""),
_xlpm.MyAuditVal,_xlfn.XLOOKUP($A14,My_Audit!$A:$A,My_Audit!L:L,""),
_xlfn.IFS(_xlpm.MyAuditVal&lt;&gt;"",UPPER(_xlpm.MyAuditVal),_xlpm.MacVal&lt;&gt;"",_xlpm.MacVal,_xlpm.CSVVal&lt;&gt;"",_xlpm.CSVVal
)),"")</f>
        <v/>
      </c>
      <c r="O14" s="2" t="str">
        <f>_xlfn.LET(
    _xlpm.CSVVal, _xlfn.XLOOKUP($A14, CSV!$A:$A, CSV!AA:AA, ""),
    _xlpm.MacVal, _xlfn.XLOOKUP($A14, Output_Mac!$A:$A, Output_Mac!S:S, ""),
    _xlpm.MyAuditVal, _xlfn.XLOOKUP($A14, My_Audit!$A:$A, My_Audit!P:P, ""),
    _xlfn.TEXTJOIN(", ", TRUE, _xlpm.MyAuditVal, _xlpm.MacVal, _xlpm.CSVVal)
)</f>
        <v/>
      </c>
      <c r="P14" s="2" t="str" cm="1">
        <f t="array" ref="P14">IFERROR(_xlfn.LET(
_xlpm.CSVVal,_xlfn.XLOOKUP($A14,CSV!$A:$A,CSV!AB:AB,""),
_xlpm.MacVal,_xlfn.XLOOKUP($A14,Output_Mac!$A:$A,Output_Mac!T:T,""),
_xlpm.MyAuditVal,_xlfn.XLOOKUP($A14,My_Audit!$A:$A,My_Audit!Q:Q,""),
_xlfn.IFS(_xlpm.MyAuditVal&lt;&gt;"",UPPER(_xlpm.MyAuditVal),_xlpm.MacVal&lt;&gt;"",_xlpm.MacVal,_xlpm.CSVVal&lt;&gt;"",_xlpm.CSVVal
)),"No")</f>
        <v>No</v>
      </c>
      <c r="Q14" s="2" t="str" cm="1">
        <f t="array" ref="Q14">IFERROR(_xlfn.LET(
_xlpm.CSVVal,_xlfn.XLOOKUP($A14,CSV!$A:$A,CSV!AC:AC,""),
_xlpm.MacVal,_xlfn.XLOOKUP($A14,Output_Mac!$A:$A,Output_Mac!U:U,""),
_xlpm.MyAuditVal,_xlfn.XLOOKUP($A14,My_Audit!$A:$A,My_Audit!R:R,""),
_xlfn.IFS(_xlpm.MyAuditVal&lt;&gt;"",UPPER(_xlpm.MyAuditVal),_xlpm.MacVal&lt;&gt;"",_xlpm.MacVal,_xlpm.CSVVal&lt;&gt;"",_xlpm.CSVVal
)),"")</f>
        <v/>
      </c>
      <c r="X14" t="str">
        <f>_xlfn.LET(
    _xlpm.MacVal, _xlfn.XLOOKUP($A14, Output_Mac!$A:$A, Output_Mac!AB:AB, ""),
    _xlpm.MyAuditVal, _xlfn.XLOOKUP($A14, My_Audit!$A:$A, My_Audit!N:N, ""),
    _xlfn.TEXTJOIN(", ", TRUE, _xlpm.MyAuditVal, _xlpm.MacVal)
)</f>
        <v/>
      </c>
    </row>
    <row r="15" spans="1:24">
      <c r="A15" s="2" t="str">
        <f>_xlfn.TEXTJOIN("",TRUE,Input!$B$2,ROW(My_Audit!A14))</f>
        <v>X14</v>
      </c>
      <c r="B15" s="2" t="str">
        <f>_xlfn.TEXTJOIN("-",TRUE,"ITD",Input!$A$2,A15)</f>
        <v>ITD-SHR-X14</v>
      </c>
      <c r="C15" s="2" t="str" cm="1">
        <f t="array" ref="C15">IFERROR(_xlfn.LET(
_xlpm.CSVVal,_xlfn.XLOOKUP($A15,CSV!$A:$A,CSV!B:B,""),
_xlpm.MacVal,_xlfn.XLOOKUP($A15,Output_Mac!$A:$A,Output_Mac!B:B,""),
_xlpm.MyAuditVal,_xlfn.XLOOKUP($A15,My_Audit!$A:$A,My_Audit!B:B,""),
_xlfn.IFS(_xlpm.MyAuditVal&lt;&gt;"",UPPER(_xlpm.MyAuditVal),_xlpm.MacVal&lt;&gt;"",_xlpm.MacVal,_xlpm.CSVVal&lt;&gt;"",_xlpm.CSVVal
)),"")</f>
        <v/>
      </c>
      <c r="D15" s="2" t="str" cm="1">
        <f t="array" ref="D15">IFERROR(_xlfn.LET(
_xlpm.CSVVal,_xlfn.XLOOKUP($A15,CSV!$A:$A,CSV!D:D,""),
_xlpm.MacVal,_xlfn.XLOOKUP($A15,Output_Mac!$A:$A,Output_Mac!C:C,""),
_xlpm.MyAuditVal,_xlfn.XLOOKUP($A15,My_Audit!$A:$A,My_Audit!C:C,""),
_xlfn.IFS(_xlpm.MyAuditVal&lt;&gt;"",_xlpm.MyAuditVal,_xlpm.MacVal&lt;&gt;"",_xlpm.MacVal,_xlpm.CSVVal&lt;&gt;"",_xlpm.CSVVal
)),"")</f>
        <v/>
      </c>
      <c r="E15" s="2">
        <f>_xlfn.XLOOKUP(A15,My_Audit!A:A,My_Audit!D:D,"")</f>
        <v>0</v>
      </c>
      <c r="F15" s="2" t="str" cm="1">
        <f t="array" ref="F15">IFERROR(_xlfn.LET(
_xlpm.CSVVal,_xlfn.XLOOKUP($A15,CSV!$A:$A,CSV!F:F,""),
_xlpm.MacVal,_xlfn.XLOOKUP($A15,Output_Mac!$A:$A,Output_Mac!E:E,""),
_xlpm.MyAuditVal,_xlfn.XLOOKUP($A15,My_Audit!$A:$A,My_Audit!E:E,""),
_xlfn.IFS(_xlpm.MyAuditVal&lt;&gt;"",_xlpm.MyAuditVal,_xlpm.MacVal&lt;&gt;"",_xlpm.MacVal,_xlpm.CSVVal&lt;&gt;"",_xlpm.CSVVal
)),"")</f>
        <v/>
      </c>
      <c r="G15" s="2" t="str" cm="1">
        <f t="array" ref="G15">IFERROR(_xlfn.LET(
_xlpm.CSVVal,_xlfn.XLOOKUP($A15,CSV!$A:$A,CSV!G:G,""),
_xlpm.MacVal,_xlfn.XLOOKUP($A15,Output_Mac!$A:$A,Output_Mac!F:F,""),
_xlpm.MyAuditVal,_xlfn.XLOOKUP($A15,My_Audit!$A:$A,My_Audit!F:F,""),
_xlfn.IFS(_xlpm.MyAuditVal&lt;&gt;"",_xlpm.MyAuditVal,_xlpm.MacVal&lt;&gt;"",_xlpm.MacVal,_xlpm.CSVVal&lt;&gt;"",PROPER(_xlpm.CSVVal)
)),"")</f>
        <v/>
      </c>
      <c r="H15" s="2" t="str" cm="1">
        <f t="array" ref="H15">IFERROR(_xlfn.LET(
_xlpm.CSVVal,_xlfn.XLOOKUP($A15,CSV!$A:$A,CSV!H:H,""),
_xlpm.MacVal,_xlfn.XLOOKUP($A15,Output_Mac!$A:$A,Output_Mac!H:H,""),
_xlpm.MyAuditVal,_xlfn.XLOOKUP($A15,My_Audit!$A:$A,My_Audit!G:G,""),
_xlfn.IFS(_xlpm.MyAuditVal&lt;&gt;"",_xlpm.MyAuditVal,_xlpm.MacVal&lt;&gt;"",_xlpm.MacVal,_xlpm.CSVVal&lt;&gt;"",_xlpm.CSVVal
)),"")</f>
        <v/>
      </c>
      <c r="I15" s="2" t="str">
        <f>_xlfn.XLOOKUP(A15,Output_Mac!A:A,Output_Mac!I:I,"")</f>
        <v/>
      </c>
      <c r="J15" s="2" t="str" cm="1">
        <f t="array" ref="J15">IFERROR(_xlfn.LET(
_xlpm.CSVVal,_xlfn.XLOOKUP($A15,CSV!$A:$A,CSV!I:I,""),
_xlpm.MacVal,_xlfn.XLOOKUP($A15,Output_Mac!$A:$A,Output_Mac!J:J,""),
_xlpm.MyAuditVal,_xlfn.XLOOKUP($A15,My_Audit!$A:$A,My_Audit!I:I,""),
_xlfn.IFS(_xlpm.MyAuditVal&lt;&gt;"",UPPER(_xlpm.MyAuditVal),_xlpm.MacVal&lt;&gt;"",_xlpm.MacVal,_xlpm.CSVVal&lt;&gt;"",_xlpm.CSVVal
)),"")</f>
        <v/>
      </c>
      <c r="K15" s="2" t="str" cm="1">
        <f t="array" ref="K15">IFERROR(_xlfn.LET(
_xlpm.CSVVal,_xlfn.XLOOKUP($A15,CSV!$A:$A,CSV!K:K,""),
_xlpm.MacVal,_xlfn.XLOOKUP($A15,Output_Mac!$A:$A,Output_Mac!K:K,""),
_xlpm.MyAuditVal,_xlfn.XLOOKUP($A15,My_Audit!$A:$A,My_Audit!J:J,""),
_xlfn.IFS(_xlpm.MyAuditVal&lt;&gt;"",UPPER(_xlpm.MyAuditVal),_xlpm.MacVal&lt;&gt;"",_xlpm.MacVal,_xlpm.CSVVal&lt;&gt;"",_xlpm.CSVVal
)),"")</f>
        <v/>
      </c>
      <c r="L15" s="2" t="str" cm="1">
        <f t="array" ref="L15">IFERROR(_xlfn.LET(
_xlpm.CSVVal,_xlfn.XLOOKUP($A15,CSV!$A:$A,CSV!P:P,""),
_xlpm.MacVal,_xlfn.XLOOKUP($A15,Output_Mac!$A:$A,Output_Mac!L:L,""),
_xlpm.MyAuditVal,_xlfn.XLOOKUP($A15,My_Audit!$A:$A,My_Audit!K:K,""),
_xlfn.IFS(_xlpm.MyAuditVal&lt;&gt;"",UPPER(_xlpm.MyAuditVal),_xlpm.MacVal&lt;&gt;"",_xlpm.MacVal,_xlpm.CSVVal&lt;&gt;"",_xlpm.CSVVal
)),"")</f>
        <v/>
      </c>
      <c r="M15" s="2" t="str" cm="1">
        <f t="array" ref="M15">IFERROR(_xlfn.LET(
_xlpm.CSVVal,_xlfn.XLOOKUP($A15,CSV!$A:$A,CSV!Q:Q,""),
_xlpm.MacVal,_xlfn.XLOOKUP($A15,Output_Mac!$A:$A,Output_Mac!M:M,""),
_xlpm.MyAuditVal,_xlfn.XLOOKUP($A15,My_Audit!$A:$A,My_Audit!L:L,""),
_xlfn.IFS(_xlpm.MyAuditVal&lt;&gt;"",UPPER(_xlpm.MyAuditVal),_xlpm.MacVal&lt;&gt;"",_xlpm.MacVal,_xlpm.CSVVal&lt;&gt;"",_xlpm.CSVVal
)),"")</f>
        <v/>
      </c>
      <c r="O15" s="2" t="str">
        <f>_xlfn.LET(
    _xlpm.CSVVal, _xlfn.XLOOKUP($A15, CSV!$A:$A, CSV!AA:AA, ""),
    _xlpm.MacVal, _xlfn.XLOOKUP($A15, Output_Mac!$A:$A, Output_Mac!S:S, ""),
    _xlpm.MyAuditVal, _xlfn.XLOOKUP($A15, My_Audit!$A:$A, My_Audit!P:P, ""),
    _xlfn.TEXTJOIN(", ", TRUE, _xlpm.MyAuditVal, _xlpm.MacVal, _xlpm.CSVVal)
)</f>
        <v/>
      </c>
      <c r="P15" s="2" t="str" cm="1">
        <f t="array" ref="P15">IFERROR(_xlfn.LET(
_xlpm.CSVVal,_xlfn.XLOOKUP($A15,CSV!$A:$A,CSV!AB:AB,""),
_xlpm.MacVal,_xlfn.XLOOKUP($A15,Output_Mac!$A:$A,Output_Mac!T:T,""),
_xlpm.MyAuditVal,_xlfn.XLOOKUP($A15,My_Audit!$A:$A,My_Audit!Q:Q,""),
_xlfn.IFS(_xlpm.MyAuditVal&lt;&gt;"",UPPER(_xlpm.MyAuditVal),_xlpm.MacVal&lt;&gt;"",_xlpm.MacVal,_xlpm.CSVVal&lt;&gt;"",_xlpm.CSVVal
)),"No")</f>
        <v>No</v>
      </c>
      <c r="Q15" s="2" t="str" cm="1">
        <f t="array" ref="Q15">IFERROR(_xlfn.LET(
_xlpm.CSVVal,_xlfn.XLOOKUP($A15,CSV!$A:$A,CSV!AC:AC,""),
_xlpm.MacVal,_xlfn.XLOOKUP($A15,Output_Mac!$A:$A,Output_Mac!U:U,""),
_xlpm.MyAuditVal,_xlfn.XLOOKUP($A15,My_Audit!$A:$A,My_Audit!R:R,""),
_xlfn.IFS(_xlpm.MyAuditVal&lt;&gt;"",UPPER(_xlpm.MyAuditVal),_xlpm.MacVal&lt;&gt;"",_xlpm.MacVal,_xlpm.CSVVal&lt;&gt;"",_xlpm.CSVVal
)),"")</f>
        <v/>
      </c>
      <c r="X15" t="str">
        <f>_xlfn.LET(
    _xlpm.MacVal, _xlfn.XLOOKUP($A15, Output_Mac!$A:$A, Output_Mac!AB:AB, ""),
    _xlpm.MyAuditVal, _xlfn.XLOOKUP($A15, My_Audit!$A:$A, My_Audit!N:N, ""),
    _xlfn.TEXTJOIN(", ", TRUE, _xlpm.MyAuditVal, _xlpm.MacVal)
)</f>
        <v/>
      </c>
    </row>
    <row r="16" spans="1:24">
      <c r="A16" s="2" t="str">
        <f>_xlfn.TEXTJOIN("",TRUE,Input!$B$2,ROW(My_Audit!A15))</f>
        <v>X15</v>
      </c>
      <c r="B16" s="2" t="str">
        <f>_xlfn.TEXTJOIN("-",TRUE,"ITD",Input!$A$2,A16)</f>
        <v>ITD-SHR-X15</v>
      </c>
      <c r="C16" s="2" t="str" cm="1">
        <f t="array" ref="C16">IFERROR(_xlfn.LET(
_xlpm.CSVVal,_xlfn.XLOOKUP($A16,CSV!$A:$A,CSV!B:B,""),
_xlpm.MacVal,_xlfn.XLOOKUP($A16,Output_Mac!$A:$A,Output_Mac!B:B,""),
_xlpm.MyAuditVal,_xlfn.XLOOKUP($A16,My_Audit!$A:$A,My_Audit!B:B,""),
_xlfn.IFS(_xlpm.MyAuditVal&lt;&gt;"",UPPER(_xlpm.MyAuditVal),_xlpm.MacVal&lt;&gt;"",_xlpm.MacVal,_xlpm.CSVVal&lt;&gt;"",_xlpm.CSVVal
)),"")</f>
        <v/>
      </c>
      <c r="D16" s="2" t="str" cm="1">
        <f t="array" ref="D16">IFERROR(_xlfn.LET(
_xlpm.CSVVal,_xlfn.XLOOKUP($A16,CSV!$A:$A,CSV!D:D,""),
_xlpm.MacVal,_xlfn.XLOOKUP($A16,Output_Mac!$A:$A,Output_Mac!C:C,""),
_xlpm.MyAuditVal,_xlfn.XLOOKUP($A16,My_Audit!$A:$A,My_Audit!C:C,""),
_xlfn.IFS(_xlpm.MyAuditVal&lt;&gt;"",_xlpm.MyAuditVal,_xlpm.MacVal&lt;&gt;"",_xlpm.MacVal,_xlpm.CSVVal&lt;&gt;"",_xlpm.CSVVal
)),"")</f>
        <v/>
      </c>
      <c r="E16" s="2">
        <f>_xlfn.XLOOKUP(A16,My_Audit!A:A,My_Audit!D:D,"")</f>
        <v>0</v>
      </c>
      <c r="F16" s="2" t="str" cm="1">
        <f t="array" ref="F16">IFERROR(_xlfn.LET(
_xlpm.CSVVal,_xlfn.XLOOKUP($A16,CSV!$A:$A,CSV!F:F,""),
_xlpm.MacVal,_xlfn.XLOOKUP($A16,Output_Mac!$A:$A,Output_Mac!E:E,""),
_xlpm.MyAuditVal,_xlfn.XLOOKUP($A16,My_Audit!$A:$A,My_Audit!E:E,""),
_xlfn.IFS(_xlpm.MyAuditVal&lt;&gt;"",_xlpm.MyAuditVal,_xlpm.MacVal&lt;&gt;"",_xlpm.MacVal,_xlpm.CSVVal&lt;&gt;"",_xlpm.CSVVal
)),"")</f>
        <v/>
      </c>
      <c r="G16" s="2" t="str" cm="1">
        <f t="array" ref="G16">IFERROR(_xlfn.LET(
_xlpm.CSVVal,_xlfn.XLOOKUP($A16,CSV!$A:$A,CSV!G:G,""),
_xlpm.MacVal,_xlfn.XLOOKUP($A16,Output_Mac!$A:$A,Output_Mac!F:F,""),
_xlpm.MyAuditVal,_xlfn.XLOOKUP($A16,My_Audit!$A:$A,My_Audit!F:F,""),
_xlfn.IFS(_xlpm.MyAuditVal&lt;&gt;"",_xlpm.MyAuditVal,_xlpm.MacVal&lt;&gt;"",_xlpm.MacVal,_xlpm.CSVVal&lt;&gt;"",PROPER(_xlpm.CSVVal)
)),"")</f>
        <v/>
      </c>
      <c r="H16" s="2" t="str" cm="1">
        <f t="array" ref="H16">IFERROR(_xlfn.LET(
_xlpm.CSVVal,_xlfn.XLOOKUP($A16,CSV!$A:$A,CSV!H:H,""),
_xlpm.MacVal,_xlfn.XLOOKUP($A16,Output_Mac!$A:$A,Output_Mac!H:H,""),
_xlpm.MyAuditVal,_xlfn.XLOOKUP($A16,My_Audit!$A:$A,My_Audit!G:G,""),
_xlfn.IFS(_xlpm.MyAuditVal&lt;&gt;"",_xlpm.MyAuditVal,_xlpm.MacVal&lt;&gt;"",_xlpm.MacVal,_xlpm.CSVVal&lt;&gt;"",_xlpm.CSVVal
)),"")</f>
        <v/>
      </c>
      <c r="I16" s="2" t="str">
        <f>_xlfn.XLOOKUP(A16,Output_Mac!A:A,Output_Mac!I:I,"")</f>
        <v/>
      </c>
      <c r="J16" s="2" t="str" cm="1">
        <f t="array" ref="J16">IFERROR(_xlfn.LET(
_xlpm.CSVVal,_xlfn.XLOOKUP($A16,CSV!$A:$A,CSV!I:I,""),
_xlpm.MacVal,_xlfn.XLOOKUP($A16,Output_Mac!$A:$A,Output_Mac!J:J,""),
_xlpm.MyAuditVal,_xlfn.XLOOKUP($A16,My_Audit!$A:$A,My_Audit!I:I,""),
_xlfn.IFS(_xlpm.MyAuditVal&lt;&gt;"",UPPER(_xlpm.MyAuditVal),_xlpm.MacVal&lt;&gt;"",_xlpm.MacVal,_xlpm.CSVVal&lt;&gt;"",_xlpm.CSVVal
)),"")</f>
        <v/>
      </c>
      <c r="K16" s="2" t="str" cm="1">
        <f t="array" ref="K16">IFERROR(_xlfn.LET(
_xlpm.CSVVal,_xlfn.XLOOKUP($A16,CSV!$A:$A,CSV!K:K,""),
_xlpm.MacVal,_xlfn.XLOOKUP($A16,Output_Mac!$A:$A,Output_Mac!K:K,""),
_xlpm.MyAuditVal,_xlfn.XLOOKUP($A16,My_Audit!$A:$A,My_Audit!J:J,""),
_xlfn.IFS(_xlpm.MyAuditVal&lt;&gt;"",UPPER(_xlpm.MyAuditVal),_xlpm.MacVal&lt;&gt;"",_xlpm.MacVal,_xlpm.CSVVal&lt;&gt;"",_xlpm.CSVVal
)),"")</f>
        <v/>
      </c>
      <c r="L16" s="2" t="str" cm="1">
        <f t="array" ref="L16">IFERROR(_xlfn.LET(
_xlpm.CSVVal,_xlfn.XLOOKUP($A16,CSV!$A:$A,CSV!P:P,""),
_xlpm.MacVal,_xlfn.XLOOKUP($A16,Output_Mac!$A:$A,Output_Mac!L:L,""),
_xlpm.MyAuditVal,_xlfn.XLOOKUP($A16,My_Audit!$A:$A,My_Audit!K:K,""),
_xlfn.IFS(_xlpm.MyAuditVal&lt;&gt;"",UPPER(_xlpm.MyAuditVal),_xlpm.MacVal&lt;&gt;"",_xlpm.MacVal,_xlpm.CSVVal&lt;&gt;"",_xlpm.CSVVal
)),"")</f>
        <v/>
      </c>
      <c r="M16" s="2" t="str" cm="1">
        <f t="array" ref="M16">IFERROR(_xlfn.LET(
_xlpm.CSVVal,_xlfn.XLOOKUP($A16,CSV!$A:$A,CSV!Q:Q,""),
_xlpm.MacVal,_xlfn.XLOOKUP($A16,Output_Mac!$A:$A,Output_Mac!M:M,""),
_xlpm.MyAuditVal,_xlfn.XLOOKUP($A16,My_Audit!$A:$A,My_Audit!L:L,""),
_xlfn.IFS(_xlpm.MyAuditVal&lt;&gt;"",UPPER(_xlpm.MyAuditVal),_xlpm.MacVal&lt;&gt;"",_xlpm.MacVal,_xlpm.CSVVal&lt;&gt;"",_xlpm.CSVVal
)),"")</f>
        <v/>
      </c>
      <c r="O16" s="2" t="str">
        <f>_xlfn.LET(
    _xlpm.CSVVal, _xlfn.XLOOKUP($A16, CSV!$A:$A, CSV!AA:AA, ""),
    _xlpm.MacVal, _xlfn.XLOOKUP($A16, Output_Mac!$A:$A, Output_Mac!S:S, ""),
    _xlpm.MyAuditVal, _xlfn.XLOOKUP($A16, My_Audit!$A:$A, My_Audit!P:P, ""),
    _xlfn.TEXTJOIN(", ", TRUE, _xlpm.MyAuditVal, _xlpm.MacVal, _xlpm.CSVVal)
)</f>
        <v/>
      </c>
      <c r="P16" s="2" t="str" cm="1">
        <f t="array" ref="P16">IFERROR(_xlfn.LET(
_xlpm.CSVVal,_xlfn.XLOOKUP($A16,CSV!$A:$A,CSV!AB:AB,""),
_xlpm.MacVal,_xlfn.XLOOKUP($A16,Output_Mac!$A:$A,Output_Mac!T:T,""),
_xlpm.MyAuditVal,_xlfn.XLOOKUP($A16,My_Audit!$A:$A,My_Audit!Q:Q,""),
_xlfn.IFS(_xlpm.MyAuditVal&lt;&gt;"",UPPER(_xlpm.MyAuditVal),_xlpm.MacVal&lt;&gt;"",_xlpm.MacVal,_xlpm.CSVVal&lt;&gt;"",_xlpm.CSVVal
)),"No")</f>
        <v>No</v>
      </c>
      <c r="Q16" s="2" t="str" cm="1">
        <f t="array" ref="Q16">IFERROR(_xlfn.LET(
_xlpm.CSVVal,_xlfn.XLOOKUP($A16,CSV!$A:$A,CSV!AC:AC,""),
_xlpm.MacVal,_xlfn.XLOOKUP($A16,Output_Mac!$A:$A,Output_Mac!U:U,""),
_xlpm.MyAuditVal,_xlfn.XLOOKUP($A16,My_Audit!$A:$A,My_Audit!R:R,""),
_xlfn.IFS(_xlpm.MyAuditVal&lt;&gt;"",UPPER(_xlpm.MyAuditVal),_xlpm.MacVal&lt;&gt;"",_xlpm.MacVal,_xlpm.CSVVal&lt;&gt;"",_xlpm.CSVVal
)),"")</f>
        <v/>
      </c>
      <c r="X16" t="str">
        <f>_xlfn.LET(
    _xlpm.MacVal, _xlfn.XLOOKUP($A16, Output_Mac!$A:$A, Output_Mac!AB:AB, ""),
    _xlpm.MyAuditVal, _xlfn.XLOOKUP($A16, My_Audit!$A:$A, My_Audit!N:N, ""),
    _xlfn.TEXTJOIN(", ", TRUE, _xlpm.MyAuditVal, _xlpm.MacVal)
)</f>
        <v/>
      </c>
    </row>
    <row r="17" spans="1:24">
      <c r="A17" s="2" t="str">
        <f>_xlfn.TEXTJOIN("",TRUE,Input!$B$2,ROW(My_Audit!A16))</f>
        <v>X16</v>
      </c>
      <c r="B17" s="2" t="str">
        <f>_xlfn.TEXTJOIN("-",TRUE,"ITD",Input!$A$2,A17)</f>
        <v>ITD-SHR-X16</v>
      </c>
      <c r="C17" s="2" t="str" cm="1">
        <f t="array" ref="C17">IFERROR(_xlfn.LET(
_xlpm.CSVVal,_xlfn.XLOOKUP($A17,CSV!$A:$A,CSV!B:B,""),
_xlpm.MacVal,_xlfn.XLOOKUP($A17,Output_Mac!$A:$A,Output_Mac!B:B,""),
_xlpm.MyAuditVal,_xlfn.XLOOKUP($A17,My_Audit!$A:$A,My_Audit!B:B,""),
_xlfn.IFS(_xlpm.MyAuditVal&lt;&gt;"",UPPER(_xlpm.MyAuditVal),_xlpm.MacVal&lt;&gt;"",_xlpm.MacVal,_xlpm.CSVVal&lt;&gt;"",_xlpm.CSVVal
)),"")</f>
        <v/>
      </c>
      <c r="D17" s="2" t="str" cm="1">
        <f t="array" ref="D17">IFERROR(_xlfn.LET(
_xlpm.CSVVal,_xlfn.XLOOKUP($A17,CSV!$A:$A,CSV!D:D,""),
_xlpm.MacVal,_xlfn.XLOOKUP($A17,Output_Mac!$A:$A,Output_Mac!C:C,""),
_xlpm.MyAuditVal,_xlfn.XLOOKUP($A17,My_Audit!$A:$A,My_Audit!C:C,""),
_xlfn.IFS(_xlpm.MyAuditVal&lt;&gt;"",_xlpm.MyAuditVal,_xlpm.MacVal&lt;&gt;"",_xlpm.MacVal,_xlpm.CSVVal&lt;&gt;"",_xlpm.CSVVal
)),"")</f>
        <v/>
      </c>
      <c r="E17" s="2">
        <f>_xlfn.XLOOKUP(A17,My_Audit!A:A,My_Audit!D:D,"")</f>
        <v>0</v>
      </c>
      <c r="F17" s="2" t="str" cm="1">
        <f t="array" ref="F17">IFERROR(_xlfn.LET(
_xlpm.CSVVal,_xlfn.XLOOKUP($A17,CSV!$A:$A,CSV!F:F,""),
_xlpm.MacVal,_xlfn.XLOOKUP($A17,Output_Mac!$A:$A,Output_Mac!E:E,""),
_xlpm.MyAuditVal,_xlfn.XLOOKUP($A17,My_Audit!$A:$A,My_Audit!E:E,""),
_xlfn.IFS(_xlpm.MyAuditVal&lt;&gt;"",_xlpm.MyAuditVal,_xlpm.MacVal&lt;&gt;"",_xlpm.MacVal,_xlpm.CSVVal&lt;&gt;"",_xlpm.CSVVal
)),"")</f>
        <v/>
      </c>
      <c r="G17" s="2" t="str" cm="1">
        <f t="array" ref="G17">IFERROR(_xlfn.LET(
_xlpm.CSVVal,_xlfn.XLOOKUP($A17,CSV!$A:$A,CSV!G:G,""),
_xlpm.MacVal,_xlfn.XLOOKUP($A17,Output_Mac!$A:$A,Output_Mac!F:F,""),
_xlpm.MyAuditVal,_xlfn.XLOOKUP($A17,My_Audit!$A:$A,My_Audit!F:F,""),
_xlfn.IFS(_xlpm.MyAuditVal&lt;&gt;"",_xlpm.MyAuditVal,_xlpm.MacVal&lt;&gt;"",_xlpm.MacVal,_xlpm.CSVVal&lt;&gt;"",PROPER(_xlpm.CSVVal)
)),"")</f>
        <v/>
      </c>
      <c r="H17" s="2" t="str" cm="1">
        <f t="array" ref="H17">IFERROR(_xlfn.LET(
_xlpm.CSVVal,_xlfn.XLOOKUP($A17,CSV!$A:$A,CSV!H:H,""),
_xlpm.MacVal,_xlfn.XLOOKUP($A17,Output_Mac!$A:$A,Output_Mac!H:H,""),
_xlpm.MyAuditVal,_xlfn.XLOOKUP($A17,My_Audit!$A:$A,My_Audit!G:G,""),
_xlfn.IFS(_xlpm.MyAuditVal&lt;&gt;"",_xlpm.MyAuditVal,_xlpm.MacVal&lt;&gt;"",_xlpm.MacVal,_xlpm.CSVVal&lt;&gt;"",_xlpm.CSVVal
)),"")</f>
        <v/>
      </c>
      <c r="I17" s="2" t="str">
        <f>_xlfn.XLOOKUP(A17,Output_Mac!A:A,Output_Mac!I:I,"")</f>
        <v/>
      </c>
      <c r="J17" s="2" t="str" cm="1">
        <f t="array" ref="J17">IFERROR(_xlfn.LET(
_xlpm.CSVVal,_xlfn.XLOOKUP($A17,CSV!$A:$A,CSV!I:I,""),
_xlpm.MacVal,_xlfn.XLOOKUP($A17,Output_Mac!$A:$A,Output_Mac!J:J,""),
_xlpm.MyAuditVal,_xlfn.XLOOKUP($A17,My_Audit!$A:$A,My_Audit!I:I,""),
_xlfn.IFS(_xlpm.MyAuditVal&lt;&gt;"",UPPER(_xlpm.MyAuditVal),_xlpm.MacVal&lt;&gt;"",_xlpm.MacVal,_xlpm.CSVVal&lt;&gt;"",_xlpm.CSVVal
)),"")</f>
        <v/>
      </c>
      <c r="K17" s="2" t="str" cm="1">
        <f t="array" ref="K17">IFERROR(_xlfn.LET(
_xlpm.CSVVal,_xlfn.XLOOKUP($A17,CSV!$A:$A,CSV!K:K,""),
_xlpm.MacVal,_xlfn.XLOOKUP($A17,Output_Mac!$A:$A,Output_Mac!K:K,""),
_xlpm.MyAuditVal,_xlfn.XLOOKUP($A17,My_Audit!$A:$A,My_Audit!J:J,""),
_xlfn.IFS(_xlpm.MyAuditVal&lt;&gt;"",UPPER(_xlpm.MyAuditVal),_xlpm.MacVal&lt;&gt;"",_xlpm.MacVal,_xlpm.CSVVal&lt;&gt;"",_xlpm.CSVVal
)),"")</f>
        <v/>
      </c>
      <c r="L17" s="2" t="str" cm="1">
        <f t="array" ref="L17">IFERROR(_xlfn.LET(
_xlpm.CSVVal,_xlfn.XLOOKUP($A17,CSV!$A:$A,CSV!P:P,""),
_xlpm.MacVal,_xlfn.XLOOKUP($A17,Output_Mac!$A:$A,Output_Mac!L:L,""),
_xlpm.MyAuditVal,_xlfn.XLOOKUP($A17,My_Audit!$A:$A,My_Audit!K:K,""),
_xlfn.IFS(_xlpm.MyAuditVal&lt;&gt;"",UPPER(_xlpm.MyAuditVal),_xlpm.MacVal&lt;&gt;"",_xlpm.MacVal,_xlpm.CSVVal&lt;&gt;"",_xlpm.CSVVal
)),"")</f>
        <v/>
      </c>
      <c r="M17" s="2" t="str" cm="1">
        <f t="array" ref="M17">IFERROR(_xlfn.LET(
_xlpm.CSVVal,_xlfn.XLOOKUP($A17,CSV!$A:$A,CSV!Q:Q,""),
_xlpm.MacVal,_xlfn.XLOOKUP($A17,Output_Mac!$A:$A,Output_Mac!M:M,""),
_xlpm.MyAuditVal,_xlfn.XLOOKUP($A17,My_Audit!$A:$A,My_Audit!L:L,""),
_xlfn.IFS(_xlpm.MyAuditVal&lt;&gt;"",UPPER(_xlpm.MyAuditVal),_xlpm.MacVal&lt;&gt;"",_xlpm.MacVal,_xlpm.CSVVal&lt;&gt;"",_xlpm.CSVVal
)),"")</f>
        <v/>
      </c>
      <c r="O17" s="2" t="str">
        <f>_xlfn.LET(
    _xlpm.CSVVal, _xlfn.XLOOKUP($A17, CSV!$A:$A, CSV!AA:AA, ""),
    _xlpm.MacVal, _xlfn.XLOOKUP($A17, Output_Mac!$A:$A, Output_Mac!S:S, ""),
    _xlpm.MyAuditVal, _xlfn.XLOOKUP($A17, My_Audit!$A:$A, My_Audit!P:P, ""),
    _xlfn.TEXTJOIN(", ", TRUE, _xlpm.MyAuditVal, _xlpm.MacVal, _xlpm.CSVVal)
)</f>
        <v/>
      </c>
      <c r="P17" s="2" t="str" cm="1">
        <f t="array" ref="P17">IFERROR(_xlfn.LET(
_xlpm.CSVVal,_xlfn.XLOOKUP($A17,CSV!$A:$A,CSV!AB:AB,""),
_xlpm.MacVal,_xlfn.XLOOKUP($A17,Output_Mac!$A:$A,Output_Mac!T:T,""),
_xlpm.MyAuditVal,_xlfn.XLOOKUP($A17,My_Audit!$A:$A,My_Audit!Q:Q,""),
_xlfn.IFS(_xlpm.MyAuditVal&lt;&gt;"",UPPER(_xlpm.MyAuditVal),_xlpm.MacVal&lt;&gt;"",_xlpm.MacVal,_xlpm.CSVVal&lt;&gt;"",_xlpm.CSVVal
)),"No")</f>
        <v>No</v>
      </c>
      <c r="Q17" s="2" t="str" cm="1">
        <f t="array" ref="Q17">IFERROR(_xlfn.LET(
_xlpm.CSVVal,_xlfn.XLOOKUP($A17,CSV!$A:$A,CSV!AC:AC,""),
_xlpm.MacVal,_xlfn.XLOOKUP($A17,Output_Mac!$A:$A,Output_Mac!U:U,""),
_xlpm.MyAuditVal,_xlfn.XLOOKUP($A17,My_Audit!$A:$A,My_Audit!R:R,""),
_xlfn.IFS(_xlpm.MyAuditVal&lt;&gt;"",UPPER(_xlpm.MyAuditVal),_xlpm.MacVal&lt;&gt;"",_xlpm.MacVal,_xlpm.CSVVal&lt;&gt;"",_xlpm.CSVVal
)),"")</f>
        <v/>
      </c>
      <c r="X17" t="str">
        <f>_xlfn.LET(
    _xlpm.MacVal, _xlfn.XLOOKUP($A17, Output_Mac!$A:$A, Output_Mac!AB:AB, ""),
    _xlpm.MyAuditVal, _xlfn.XLOOKUP($A17, My_Audit!$A:$A, My_Audit!N:N, ""),
    _xlfn.TEXTJOIN(", ", TRUE, _xlpm.MyAuditVal, _xlpm.MacVal)
)</f>
        <v/>
      </c>
    </row>
    <row r="18" spans="1:24">
      <c r="A18" s="2" t="str">
        <f>_xlfn.TEXTJOIN("",TRUE,Input!$B$2,ROW(My_Audit!A17))</f>
        <v>X17</v>
      </c>
      <c r="B18" s="2" t="str">
        <f>_xlfn.TEXTJOIN("-",TRUE,"ITD",Input!$A$2,A18)</f>
        <v>ITD-SHR-X17</v>
      </c>
      <c r="C18" s="2" t="str" cm="1">
        <f t="array" ref="C18">IFERROR(_xlfn.LET(
_xlpm.CSVVal,_xlfn.XLOOKUP($A18,CSV!$A:$A,CSV!B:B,""),
_xlpm.MacVal,_xlfn.XLOOKUP($A18,Output_Mac!$A:$A,Output_Mac!B:B,""),
_xlpm.MyAuditVal,_xlfn.XLOOKUP($A18,My_Audit!$A:$A,My_Audit!B:B,""),
_xlfn.IFS(_xlpm.MyAuditVal&lt;&gt;"",UPPER(_xlpm.MyAuditVal),_xlpm.MacVal&lt;&gt;"",_xlpm.MacVal,_xlpm.CSVVal&lt;&gt;"",_xlpm.CSVVal
)),"")</f>
        <v/>
      </c>
      <c r="D18" s="2" t="str" cm="1">
        <f t="array" ref="D18">IFERROR(_xlfn.LET(
_xlpm.CSVVal,_xlfn.XLOOKUP($A18,CSV!$A:$A,CSV!D:D,""),
_xlpm.MacVal,_xlfn.XLOOKUP($A18,Output_Mac!$A:$A,Output_Mac!C:C,""),
_xlpm.MyAuditVal,_xlfn.XLOOKUP($A18,My_Audit!$A:$A,My_Audit!C:C,""),
_xlfn.IFS(_xlpm.MyAuditVal&lt;&gt;"",_xlpm.MyAuditVal,_xlpm.MacVal&lt;&gt;"",_xlpm.MacVal,_xlpm.CSVVal&lt;&gt;"",_xlpm.CSVVal
)),"")</f>
        <v/>
      </c>
      <c r="E18" s="2">
        <f>_xlfn.XLOOKUP(A18,My_Audit!A:A,My_Audit!D:D,"")</f>
        <v>0</v>
      </c>
      <c r="F18" s="2" t="str" cm="1">
        <f t="array" ref="F18">IFERROR(_xlfn.LET(
_xlpm.CSVVal,_xlfn.XLOOKUP($A18,CSV!$A:$A,CSV!F:F,""),
_xlpm.MacVal,_xlfn.XLOOKUP($A18,Output_Mac!$A:$A,Output_Mac!E:E,""),
_xlpm.MyAuditVal,_xlfn.XLOOKUP($A18,My_Audit!$A:$A,My_Audit!E:E,""),
_xlfn.IFS(_xlpm.MyAuditVal&lt;&gt;"",_xlpm.MyAuditVal,_xlpm.MacVal&lt;&gt;"",_xlpm.MacVal,_xlpm.CSVVal&lt;&gt;"",_xlpm.CSVVal
)),"")</f>
        <v/>
      </c>
      <c r="G18" s="2" t="str" cm="1">
        <f t="array" ref="G18">IFERROR(_xlfn.LET(
_xlpm.CSVVal,_xlfn.XLOOKUP($A18,CSV!$A:$A,CSV!G:G,""),
_xlpm.MacVal,_xlfn.XLOOKUP($A18,Output_Mac!$A:$A,Output_Mac!F:F,""),
_xlpm.MyAuditVal,_xlfn.XLOOKUP($A18,My_Audit!$A:$A,My_Audit!F:F,""),
_xlfn.IFS(_xlpm.MyAuditVal&lt;&gt;"",_xlpm.MyAuditVal,_xlpm.MacVal&lt;&gt;"",_xlpm.MacVal,_xlpm.CSVVal&lt;&gt;"",PROPER(_xlpm.CSVVal)
)),"")</f>
        <v/>
      </c>
      <c r="H18" s="2" t="str" cm="1">
        <f t="array" ref="H18">IFERROR(_xlfn.LET(
_xlpm.CSVVal,_xlfn.XLOOKUP($A18,CSV!$A:$A,CSV!H:H,""),
_xlpm.MacVal,_xlfn.XLOOKUP($A18,Output_Mac!$A:$A,Output_Mac!H:H,""),
_xlpm.MyAuditVal,_xlfn.XLOOKUP($A18,My_Audit!$A:$A,My_Audit!G:G,""),
_xlfn.IFS(_xlpm.MyAuditVal&lt;&gt;"",_xlpm.MyAuditVal,_xlpm.MacVal&lt;&gt;"",_xlpm.MacVal,_xlpm.CSVVal&lt;&gt;"",_xlpm.CSVVal
)),"")</f>
        <v/>
      </c>
      <c r="I18" s="2" t="str">
        <f>_xlfn.XLOOKUP(A18,Output_Mac!A:A,Output_Mac!I:I,"")</f>
        <v/>
      </c>
      <c r="J18" s="2" t="str" cm="1">
        <f t="array" ref="J18">IFERROR(_xlfn.LET(
_xlpm.CSVVal,_xlfn.XLOOKUP($A18,CSV!$A:$A,CSV!I:I,""),
_xlpm.MacVal,_xlfn.XLOOKUP($A18,Output_Mac!$A:$A,Output_Mac!J:J,""),
_xlpm.MyAuditVal,_xlfn.XLOOKUP($A18,My_Audit!$A:$A,My_Audit!I:I,""),
_xlfn.IFS(_xlpm.MyAuditVal&lt;&gt;"",UPPER(_xlpm.MyAuditVal),_xlpm.MacVal&lt;&gt;"",_xlpm.MacVal,_xlpm.CSVVal&lt;&gt;"",_xlpm.CSVVal
)),"")</f>
        <v/>
      </c>
      <c r="K18" s="2" t="str" cm="1">
        <f t="array" ref="K18">IFERROR(_xlfn.LET(
_xlpm.CSVVal,_xlfn.XLOOKUP($A18,CSV!$A:$A,CSV!K:K,""),
_xlpm.MacVal,_xlfn.XLOOKUP($A18,Output_Mac!$A:$A,Output_Mac!K:K,""),
_xlpm.MyAuditVal,_xlfn.XLOOKUP($A18,My_Audit!$A:$A,My_Audit!J:J,""),
_xlfn.IFS(_xlpm.MyAuditVal&lt;&gt;"",UPPER(_xlpm.MyAuditVal),_xlpm.MacVal&lt;&gt;"",_xlpm.MacVal,_xlpm.CSVVal&lt;&gt;"",_xlpm.CSVVal
)),"")</f>
        <v/>
      </c>
      <c r="L18" s="2" t="str" cm="1">
        <f t="array" ref="L18">IFERROR(_xlfn.LET(
_xlpm.CSVVal,_xlfn.XLOOKUP($A18,CSV!$A:$A,CSV!P:P,""),
_xlpm.MacVal,_xlfn.XLOOKUP($A18,Output_Mac!$A:$A,Output_Mac!L:L,""),
_xlpm.MyAuditVal,_xlfn.XLOOKUP($A18,My_Audit!$A:$A,My_Audit!K:K,""),
_xlfn.IFS(_xlpm.MyAuditVal&lt;&gt;"",UPPER(_xlpm.MyAuditVal),_xlpm.MacVal&lt;&gt;"",_xlpm.MacVal,_xlpm.CSVVal&lt;&gt;"",_xlpm.CSVVal
)),"")</f>
        <v/>
      </c>
      <c r="M18" s="2" t="str" cm="1">
        <f t="array" ref="M18">IFERROR(_xlfn.LET(
_xlpm.CSVVal,_xlfn.XLOOKUP($A18,CSV!$A:$A,CSV!Q:Q,""),
_xlpm.MacVal,_xlfn.XLOOKUP($A18,Output_Mac!$A:$A,Output_Mac!M:M,""),
_xlpm.MyAuditVal,_xlfn.XLOOKUP($A18,My_Audit!$A:$A,My_Audit!L:L,""),
_xlfn.IFS(_xlpm.MyAuditVal&lt;&gt;"",UPPER(_xlpm.MyAuditVal),_xlpm.MacVal&lt;&gt;"",_xlpm.MacVal,_xlpm.CSVVal&lt;&gt;"",_xlpm.CSVVal
)),"")</f>
        <v/>
      </c>
      <c r="O18" s="2" t="str">
        <f>_xlfn.LET(
    _xlpm.CSVVal, _xlfn.XLOOKUP($A18, CSV!$A:$A, CSV!AA:AA, ""),
    _xlpm.MacVal, _xlfn.XLOOKUP($A18, Output_Mac!$A:$A, Output_Mac!S:S, ""),
    _xlpm.MyAuditVal, _xlfn.XLOOKUP($A18, My_Audit!$A:$A, My_Audit!P:P, ""),
    _xlfn.TEXTJOIN(", ", TRUE, _xlpm.MyAuditVal, _xlpm.MacVal, _xlpm.CSVVal)
)</f>
        <v/>
      </c>
      <c r="P18" s="2" t="str" cm="1">
        <f t="array" ref="P18">IFERROR(_xlfn.LET(
_xlpm.CSVVal,_xlfn.XLOOKUP($A18,CSV!$A:$A,CSV!AB:AB,""),
_xlpm.MacVal,_xlfn.XLOOKUP($A18,Output_Mac!$A:$A,Output_Mac!T:T,""),
_xlpm.MyAuditVal,_xlfn.XLOOKUP($A18,My_Audit!$A:$A,My_Audit!Q:Q,""),
_xlfn.IFS(_xlpm.MyAuditVal&lt;&gt;"",UPPER(_xlpm.MyAuditVal),_xlpm.MacVal&lt;&gt;"",_xlpm.MacVal,_xlpm.CSVVal&lt;&gt;"",_xlpm.CSVVal
)),"No")</f>
        <v>No</v>
      </c>
      <c r="Q18" s="2" t="str" cm="1">
        <f t="array" ref="Q18">IFERROR(_xlfn.LET(
_xlpm.CSVVal,_xlfn.XLOOKUP($A18,CSV!$A:$A,CSV!AC:AC,""),
_xlpm.MacVal,_xlfn.XLOOKUP($A18,Output_Mac!$A:$A,Output_Mac!U:U,""),
_xlpm.MyAuditVal,_xlfn.XLOOKUP($A18,My_Audit!$A:$A,My_Audit!R:R,""),
_xlfn.IFS(_xlpm.MyAuditVal&lt;&gt;"",UPPER(_xlpm.MyAuditVal),_xlpm.MacVal&lt;&gt;"",_xlpm.MacVal,_xlpm.CSVVal&lt;&gt;"",_xlpm.CSVVal
)),"")</f>
        <v/>
      </c>
      <c r="X18" t="str">
        <f>_xlfn.LET(
    _xlpm.MacVal, _xlfn.XLOOKUP($A18, Output_Mac!$A:$A, Output_Mac!AB:AB, ""),
    _xlpm.MyAuditVal, _xlfn.XLOOKUP($A18, My_Audit!$A:$A, My_Audit!N:N, ""),
    _xlfn.TEXTJOIN(", ", TRUE, _xlpm.MyAuditVal, _xlpm.MacVal)
)</f>
        <v/>
      </c>
    </row>
    <row r="19" spans="1:24">
      <c r="A19" s="2" t="str">
        <f>_xlfn.TEXTJOIN("",TRUE,Input!$B$2,ROW(My_Audit!A18))</f>
        <v>X18</v>
      </c>
      <c r="B19" s="2" t="str">
        <f>_xlfn.TEXTJOIN("-",TRUE,"ITD",Input!$A$2,A19)</f>
        <v>ITD-SHR-X18</v>
      </c>
      <c r="C19" s="2" t="str" cm="1">
        <f t="array" ref="C19">IFERROR(_xlfn.LET(
_xlpm.CSVVal,_xlfn.XLOOKUP($A19,CSV!$A:$A,CSV!B:B,""),
_xlpm.MacVal,_xlfn.XLOOKUP($A19,Output_Mac!$A:$A,Output_Mac!B:B,""),
_xlpm.MyAuditVal,_xlfn.XLOOKUP($A19,My_Audit!$A:$A,My_Audit!B:B,""),
_xlfn.IFS(_xlpm.MyAuditVal&lt;&gt;"",UPPER(_xlpm.MyAuditVal),_xlpm.MacVal&lt;&gt;"",_xlpm.MacVal,_xlpm.CSVVal&lt;&gt;"",_xlpm.CSVVal
)),"")</f>
        <v/>
      </c>
      <c r="D19" s="2" t="str" cm="1">
        <f t="array" ref="D19">IFERROR(_xlfn.LET(
_xlpm.CSVVal,_xlfn.XLOOKUP($A19,CSV!$A:$A,CSV!D:D,""),
_xlpm.MacVal,_xlfn.XLOOKUP($A19,Output_Mac!$A:$A,Output_Mac!C:C,""),
_xlpm.MyAuditVal,_xlfn.XLOOKUP($A19,My_Audit!$A:$A,My_Audit!C:C,""),
_xlfn.IFS(_xlpm.MyAuditVal&lt;&gt;"",_xlpm.MyAuditVal,_xlpm.MacVal&lt;&gt;"",_xlpm.MacVal,_xlpm.CSVVal&lt;&gt;"",_xlpm.CSVVal
)),"")</f>
        <v/>
      </c>
      <c r="E19" s="2">
        <f>_xlfn.XLOOKUP(A19,My_Audit!A:A,My_Audit!D:D,"")</f>
        <v>0</v>
      </c>
      <c r="F19" s="2" t="str" cm="1">
        <f t="array" ref="F19">IFERROR(_xlfn.LET(
_xlpm.CSVVal,_xlfn.XLOOKUP($A19,CSV!$A:$A,CSV!F:F,""),
_xlpm.MacVal,_xlfn.XLOOKUP($A19,Output_Mac!$A:$A,Output_Mac!E:E,""),
_xlpm.MyAuditVal,_xlfn.XLOOKUP($A19,My_Audit!$A:$A,My_Audit!E:E,""),
_xlfn.IFS(_xlpm.MyAuditVal&lt;&gt;"",_xlpm.MyAuditVal,_xlpm.MacVal&lt;&gt;"",_xlpm.MacVal,_xlpm.CSVVal&lt;&gt;"",_xlpm.CSVVal
)),"")</f>
        <v/>
      </c>
      <c r="G19" s="2" t="str" cm="1">
        <f t="array" ref="G19">IFERROR(_xlfn.LET(
_xlpm.CSVVal,_xlfn.XLOOKUP($A19,CSV!$A:$A,CSV!G:G,""),
_xlpm.MacVal,_xlfn.XLOOKUP($A19,Output_Mac!$A:$A,Output_Mac!F:F,""),
_xlpm.MyAuditVal,_xlfn.XLOOKUP($A19,My_Audit!$A:$A,My_Audit!F:F,""),
_xlfn.IFS(_xlpm.MyAuditVal&lt;&gt;"",_xlpm.MyAuditVal,_xlpm.MacVal&lt;&gt;"",_xlpm.MacVal,_xlpm.CSVVal&lt;&gt;"",PROPER(_xlpm.CSVVal)
)),"")</f>
        <v/>
      </c>
      <c r="H19" s="2" t="str" cm="1">
        <f t="array" ref="H19">IFERROR(_xlfn.LET(
_xlpm.CSVVal,_xlfn.XLOOKUP($A19,CSV!$A:$A,CSV!H:H,""),
_xlpm.MacVal,_xlfn.XLOOKUP($A19,Output_Mac!$A:$A,Output_Mac!H:H,""),
_xlpm.MyAuditVal,_xlfn.XLOOKUP($A19,My_Audit!$A:$A,My_Audit!G:G,""),
_xlfn.IFS(_xlpm.MyAuditVal&lt;&gt;"",_xlpm.MyAuditVal,_xlpm.MacVal&lt;&gt;"",_xlpm.MacVal,_xlpm.CSVVal&lt;&gt;"",_xlpm.CSVVal
)),"")</f>
        <v/>
      </c>
      <c r="I19" s="2" t="str">
        <f>_xlfn.XLOOKUP(A19,Output_Mac!A:A,Output_Mac!I:I,"")</f>
        <v/>
      </c>
      <c r="J19" s="2" t="str" cm="1">
        <f t="array" ref="J19">IFERROR(_xlfn.LET(
_xlpm.CSVVal,_xlfn.XLOOKUP($A19,CSV!$A:$A,CSV!I:I,""),
_xlpm.MacVal,_xlfn.XLOOKUP($A19,Output_Mac!$A:$A,Output_Mac!J:J,""),
_xlpm.MyAuditVal,_xlfn.XLOOKUP($A19,My_Audit!$A:$A,My_Audit!I:I,""),
_xlfn.IFS(_xlpm.MyAuditVal&lt;&gt;"",UPPER(_xlpm.MyAuditVal),_xlpm.MacVal&lt;&gt;"",_xlpm.MacVal,_xlpm.CSVVal&lt;&gt;"",_xlpm.CSVVal
)),"")</f>
        <v/>
      </c>
      <c r="K19" s="2" t="str" cm="1">
        <f t="array" ref="K19">IFERROR(_xlfn.LET(
_xlpm.CSVVal,_xlfn.XLOOKUP($A19,CSV!$A:$A,CSV!K:K,""),
_xlpm.MacVal,_xlfn.XLOOKUP($A19,Output_Mac!$A:$A,Output_Mac!K:K,""),
_xlpm.MyAuditVal,_xlfn.XLOOKUP($A19,My_Audit!$A:$A,My_Audit!J:J,""),
_xlfn.IFS(_xlpm.MyAuditVal&lt;&gt;"",UPPER(_xlpm.MyAuditVal),_xlpm.MacVal&lt;&gt;"",_xlpm.MacVal,_xlpm.CSVVal&lt;&gt;"",_xlpm.CSVVal
)),"")</f>
        <v/>
      </c>
      <c r="L19" s="2" t="str" cm="1">
        <f t="array" ref="L19">IFERROR(_xlfn.LET(
_xlpm.CSVVal,_xlfn.XLOOKUP($A19,CSV!$A:$A,CSV!P:P,""),
_xlpm.MacVal,_xlfn.XLOOKUP($A19,Output_Mac!$A:$A,Output_Mac!L:L,""),
_xlpm.MyAuditVal,_xlfn.XLOOKUP($A19,My_Audit!$A:$A,My_Audit!K:K,""),
_xlfn.IFS(_xlpm.MyAuditVal&lt;&gt;"",UPPER(_xlpm.MyAuditVal),_xlpm.MacVal&lt;&gt;"",_xlpm.MacVal,_xlpm.CSVVal&lt;&gt;"",_xlpm.CSVVal
)),"")</f>
        <v/>
      </c>
      <c r="M19" s="2" t="str" cm="1">
        <f t="array" ref="M19">IFERROR(_xlfn.LET(
_xlpm.CSVVal,_xlfn.XLOOKUP($A19,CSV!$A:$A,CSV!Q:Q,""),
_xlpm.MacVal,_xlfn.XLOOKUP($A19,Output_Mac!$A:$A,Output_Mac!M:M,""),
_xlpm.MyAuditVal,_xlfn.XLOOKUP($A19,My_Audit!$A:$A,My_Audit!L:L,""),
_xlfn.IFS(_xlpm.MyAuditVal&lt;&gt;"",UPPER(_xlpm.MyAuditVal),_xlpm.MacVal&lt;&gt;"",_xlpm.MacVal,_xlpm.CSVVal&lt;&gt;"",_xlpm.CSVVal
)),"")</f>
        <v/>
      </c>
      <c r="O19" s="2" t="str">
        <f>_xlfn.LET(
    _xlpm.CSVVal, _xlfn.XLOOKUP($A19, CSV!$A:$A, CSV!AA:AA, ""),
    _xlpm.MacVal, _xlfn.XLOOKUP($A19, Output_Mac!$A:$A, Output_Mac!S:S, ""),
    _xlpm.MyAuditVal, _xlfn.XLOOKUP($A19, My_Audit!$A:$A, My_Audit!P:P, ""),
    _xlfn.TEXTJOIN(", ", TRUE, _xlpm.MyAuditVal, _xlpm.MacVal, _xlpm.CSVVal)
)</f>
        <v/>
      </c>
      <c r="P19" s="2" t="str" cm="1">
        <f t="array" ref="P19">IFERROR(_xlfn.LET(
_xlpm.CSVVal,_xlfn.XLOOKUP($A19,CSV!$A:$A,CSV!AB:AB,""),
_xlpm.MacVal,_xlfn.XLOOKUP($A19,Output_Mac!$A:$A,Output_Mac!T:T,""),
_xlpm.MyAuditVal,_xlfn.XLOOKUP($A19,My_Audit!$A:$A,My_Audit!Q:Q,""),
_xlfn.IFS(_xlpm.MyAuditVal&lt;&gt;"",UPPER(_xlpm.MyAuditVal),_xlpm.MacVal&lt;&gt;"",_xlpm.MacVal,_xlpm.CSVVal&lt;&gt;"",_xlpm.CSVVal
)),"No")</f>
        <v>No</v>
      </c>
      <c r="Q19" s="2" t="str" cm="1">
        <f t="array" ref="Q19">IFERROR(_xlfn.LET(
_xlpm.CSVVal,_xlfn.XLOOKUP($A19,CSV!$A:$A,CSV!AC:AC,""),
_xlpm.MacVal,_xlfn.XLOOKUP($A19,Output_Mac!$A:$A,Output_Mac!U:U,""),
_xlpm.MyAuditVal,_xlfn.XLOOKUP($A19,My_Audit!$A:$A,My_Audit!R:R,""),
_xlfn.IFS(_xlpm.MyAuditVal&lt;&gt;"",UPPER(_xlpm.MyAuditVal),_xlpm.MacVal&lt;&gt;"",_xlpm.MacVal,_xlpm.CSVVal&lt;&gt;"",_xlpm.CSVVal
)),"")</f>
        <v/>
      </c>
      <c r="X19" t="str">
        <f>_xlfn.LET(
    _xlpm.MacVal, _xlfn.XLOOKUP($A19, Output_Mac!$A:$A, Output_Mac!AB:AB, ""),
    _xlpm.MyAuditVal, _xlfn.XLOOKUP($A19, My_Audit!$A:$A, My_Audit!N:N, ""),
    _xlfn.TEXTJOIN(", ", TRUE, _xlpm.MyAuditVal, _xlpm.MacVal)
)</f>
        <v/>
      </c>
    </row>
    <row r="20" spans="1:24">
      <c r="A20" s="2" t="str">
        <f>_xlfn.TEXTJOIN("",TRUE,Input!$B$2,ROW(My_Audit!A19))</f>
        <v>X19</v>
      </c>
      <c r="B20" s="2" t="str">
        <f>_xlfn.TEXTJOIN("-",TRUE,"ITD",Input!$A$2,A20)</f>
        <v>ITD-SHR-X19</v>
      </c>
      <c r="C20" s="2" t="str" cm="1">
        <f t="array" ref="C20">IFERROR(_xlfn.LET(
_xlpm.CSVVal,_xlfn.XLOOKUP($A20,CSV!$A:$A,CSV!B:B,""),
_xlpm.MacVal,_xlfn.XLOOKUP($A20,Output_Mac!$A:$A,Output_Mac!B:B,""),
_xlpm.MyAuditVal,_xlfn.XLOOKUP($A20,My_Audit!$A:$A,My_Audit!B:B,""),
_xlfn.IFS(_xlpm.MyAuditVal&lt;&gt;"",UPPER(_xlpm.MyAuditVal),_xlpm.MacVal&lt;&gt;"",_xlpm.MacVal,_xlpm.CSVVal&lt;&gt;"",_xlpm.CSVVal
)),"")</f>
        <v/>
      </c>
      <c r="D20" s="2" t="str" cm="1">
        <f t="array" ref="D20">IFERROR(_xlfn.LET(
_xlpm.CSVVal,_xlfn.XLOOKUP($A20,CSV!$A:$A,CSV!D:D,""),
_xlpm.MacVal,_xlfn.XLOOKUP($A20,Output_Mac!$A:$A,Output_Mac!C:C,""),
_xlpm.MyAuditVal,_xlfn.XLOOKUP($A20,My_Audit!$A:$A,My_Audit!C:C,""),
_xlfn.IFS(_xlpm.MyAuditVal&lt;&gt;"",_xlpm.MyAuditVal,_xlpm.MacVal&lt;&gt;"",_xlpm.MacVal,_xlpm.CSVVal&lt;&gt;"",_xlpm.CSVVal
)),"")</f>
        <v/>
      </c>
      <c r="E20" s="2">
        <f>_xlfn.XLOOKUP(A20,My_Audit!A:A,My_Audit!D:D,"")</f>
        <v>0</v>
      </c>
      <c r="F20" s="2" t="str" cm="1">
        <f t="array" ref="F20">IFERROR(_xlfn.LET(
_xlpm.CSVVal,_xlfn.XLOOKUP($A20,CSV!$A:$A,CSV!F:F,""),
_xlpm.MacVal,_xlfn.XLOOKUP($A20,Output_Mac!$A:$A,Output_Mac!E:E,""),
_xlpm.MyAuditVal,_xlfn.XLOOKUP($A20,My_Audit!$A:$A,My_Audit!E:E,""),
_xlfn.IFS(_xlpm.MyAuditVal&lt;&gt;"",_xlpm.MyAuditVal,_xlpm.MacVal&lt;&gt;"",_xlpm.MacVal,_xlpm.CSVVal&lt;&gt;"",_xlpm.CSVVal
)),"")</f>
        <v/>
      </c>
      <c r="G20" s="2" t="str" cm="1">
        <f t="array" ref="G20">IFERROR(_xlfn.LET(
_xlpm.CSVVal,_xlfn.XLOOKUP($A20,CSV!$A:$A,CSV!G:G,""),
_xlpm.MacVal,_xlfn.XLOOKUP($A20,Output_Mac!$A:$A,Output_Mac!F:F,""),
_xlpm.MyAuditVal,_xlfn.XLOOKUP($A20,My_Audit!$A:$A,My_Audit!F:F,""),
_xlfn.IFS(_xlpm.MyAuditVal&lt;&gt;"",_xlpm.MyAuditVal,_xlpm.MacVal&lt;&gt;"",_xlpm.MacVal,_xlpm.CSVVal&lt;&gt;"",PROPER(_xlpm.CSVVal)
)),"")</f>
        <v/>
      </c>
      <c r="H20" s="2" t="str" cm="1">
        <f t="array" ref="H20">IFERROR(_xlfn.LET(
_xlpm.CSVVal,_xlfn.XLOOKUP($A20,CSV!$A:$A,CSV!H:H,""),
_xlpm.MacVal,_xlfn.XLOOKUP($A20,Output_Mac!$A:$A,Output_Mac!H:H,""),
_xlpm.MyAuditVal,_xlfn.XLOOKUP($A20,My_Audit!$A:$A,My_Audit!G:G,""),
_xlfn.IFS(_xlpm.MyAuditVal&lt;&gt;"",_xlpm.MyAuditVal,_xlpm.MacVal&lt;&gt;"",_xlpm.MacVal,_xlpm.CSVVal&lt;&gt;"",_xlpm.CSVVal
)),"")</f>
        <v/>
      </c>
      <c r="I20" s="2" t="str">
        <f>_xlfn.XLOOKUP(A20,Output_Mac!A:A,Output_Mac!I:I,"")</f>
        <v/>
      </c>
      <c r="J20" s="2" t="str" cm="1">
        <f t="array" ref="J20">IFERROR(_xlfn.LET(
_xlpm.CSVVal,_xlfn.XLOOKUP($A20,CSV!$A:$A,CSV!I:I,""),
_xlpm.MacVal,_xlfn.XLOOKUP($A20,Output_Mac!$A:$A,Output_Mac!J:J,""),
_xlpm.MyAuditVal,_xlfn.XLOOKUP($A20,My_Audit!$A:$A,My_Audit!I:I,""),
_xlfn.IFS(_xlpm.MyAuditVal&lt;&gt;"",UPPER(_xlpm.MyAuditVal),_xlpm.MacVal&lt;&gt;"",_xlpm.MacVal,_xlpm.CSVVal&lt;&gt;"",_xlpm.CSVVal
)),"")</f>
        <v/>
      </c>
      <c r="K20" s="2" t="str" cm="1">
        <f t="array" ref="K20">IFERROR(_xlfn.LET(
_xlpm.CSVVal,_xlfn.XLOOKUP($A20,CSV!$A:$A,CSV!K:K,""),
_xlpm.MacVal,_xlfn.XLOOKUP($A20,Output_Mac!$A:$A,Output_Mac!K:K,""),
_xlpm.MyAuditVal,_xlfn.XLOOKUP($A20,My_Audit!$A:$A,My_Audit!J:J,""),
_xlfn.IFS(_xlpm.MyAuditVal&lt;&gt;"",UPPER(_xlpm.MyAuditVal),_xlpm.MacVal&lt;&gt;"",_xlpm.MacVal,_xlpm.CSVVal&lt;&gt;"",_xlpm.CSVVal
)),"")</f>
        <v/>
      </c>
      <c r="L20" s="2" t="str" cm="1">
        <f t="array" ref="L20">IFERROR(_xlfn.LET(
_xlpm.CSVVal,_xlfn.XLOOKUP($A20,CSV!$A:$A,CSV!P:P,""),
_xlpm.MacVal,_xlfn.XLOOKUP($A20,Output_Mac!$A:$A,Output_Mac!L:L,""),
_xlpm.MyAuditVal,_xlfn.XLOOKUP($A20,My_Audit!$A:$A,My_Audit!K:K,""),
_xlfn.IFS(_xlpm.MyAuditVal&lt;&gt;"",UPPER(_xlpm.MyAuditVal),_xlpm.MacVal&lt;&gt;"",_xlpm.MacVal,_xlpm.CSVVal&lt;&gt;"",_xlpm.CSVVal
)),"")</f>
        <v/>
      </c>
      <c r="M20" s="2" t="str" cm="1">
        <f t="array" ref="M20">IFERROR(_xlfn.LET(
_xlpm.CSVVal,_xlfn.XLOOKUP($A20,CSV!$A:$A,CSV!Q:Q,""),
_xlpm.MacVal,_xlfn.XLOOKUP($A20,Output_Mac!$A:$A,Output_Mac!M:M,""),
_xlpm.MyAuditVal,_xlfn.XLOOKUP($A20,My_Audit!$A:$A,My_Audit!L:L,""),
_xlfn.IFS(_xlpm.MyAuditVal&lt;&gt;"",UPPER(_xlpm.MyAuditVal),_xlpm.MacVal&lt;&gt;"",_xlpm.MacVal,_xlpm.CSVVal&lt;&gt;"",_xlpm.CSVVal
)),"")</f>
        <v/>
      </c>
      <c r="O20" s="2" t="str">
        <f>_xlfn.LET(
    _xlpm.CSVVal, _xlfn.XLOOKUP($A20, CSV!$A:$A, CSV!AA:AA, ""),
    _xlpm.MacVal, _xlfn.XLOOKUP($A20, Output_Mac!$A:$A, Output_Mac!S:S, ""),
    _xlpm.MyAuditVal, _xlfn.XLOOKUP($A20, My_Audit!$A:$A, My_Audit!P:P, ""),
    _xlfn.TEXTJOIN(", ", TRUE, _xlpm.MyAuditVal, _xlpm.MacVal, _xlpm.CSVVal)
)</f>
        <v/>
      </c>
      <c r="P20" s="2" t="str" cm="1">
        <f t="array" ref="P20">IFERROR(_xlfn.LET(
_xlpm.CSVVal,_xlfn.XLOOKUP($A20,CSV!$A:$A,CSV!AB:AB,""),
_xlpm.MacVal,_xlfn.XLOOKUP($A20,Output_Mac!$A:$A,Output_Mac!T:T,""),
_xlpm.MyAuditVal,_xlfn.XLOOKUP($A20,My_Audit!$A:$A,My_Audit!Q:Q,""),
_xlfn.IFS(_xlpm.MyAuditVal&lt;&gt;"",UPPER(_xlpm.MyAuditVal),_xlpm.MacVal&lt;&gt;"",_xlpm.MacVal,_xlpm.CSVVal&lt;&gt;"",_xlpm.CSVVal
)),"No")</f>
        <v>No</v>
      </c>
      <c r="Q20" s="2" t="str" cm="1">
        <f t="array" ref="Q20">IFERROR(_xlfn.LET(
_xlpm.CSVVal,_xlfn.XLOOKUP($A20,CSV!$A:$A,CSV!AC:AC,""),
_xlpm.MacVal,_xlfn.XLOOKUP($A20,Output_Mac!$A:$A,Output_Mac!U:U,""),
_xlpm.MyAuditVal,_xlfn.XLOOKUP($A20,My_Audit!$A:$A,My_Audit!R:R,""),
_xlfn.IFS(_xlpm.MyAuditVal&lt;&gt;"",UPPER(_xlpm.MyAuditVal),_xlpm.MacVal&lt;&gt;"",_xlpm.MacVal,_xlpm.CSVVal&lt;&gt;"",_xlpm.CSVVal
)),"")</f>
        <v/>
      </c>
      <c r="X20" t="str">
        <f>_xlfn.LET(
    _xlpm.MacVal, _xlfn.XLOOKUP($A20, Output_Mac!$A:$A, Output_Mac!AB:AB, ""),
    _xlpm.MyAuditVal, _xlfn.XLOOKUP($A20, My_Audit!$A:$A, My_Audit!N:N, ""),
    _xlfn.TEXTJOIN(", ", TRUE, _xlpm.MyAuditVal, _xlpm.MacVal)
)</f>
        <v/>
      </c>
    </row>
    <row r="21" spans="1:24">
      <c r="A21" s="2" t="str">
        <f>_xlfn.TEXTJOIN("",TRUE,Input!$B$2,ROW(My_Audit!A20))</f>
        <v>X20</v>
      </c>
      <c r="B21" s="2" t="str">
        <f>_xlfn.TEXTJOIN("-",TRUE,"ITD",Input!$A$2,A21)</f>
        <v>ITD-SHR-X20</v>
      </c>
      <c r="C21" s="2" t="str" cm="1">
        <f t="array" ref="C21">IFERROR(_xlfn.LET(
_xlpm.CSVVal,_xlfn.XLOOKUP($A21,CSV!$A:$A,CSV!B:B,""),
_xlpm.MacVal,_xlfn.XLOOKUP($A21,Output_Mac!$A:$A,Output_Mac!B:B,""),
_xlpm.MyAuditVal,_xlfn.XLOOKUP($A21,My_Audit!$A:$A,My_Audit!B:B,""),
_xlfn.IFS(_xlpm.MyAuditVal&lt;&gt;"",UPPER(_xlpm.MyAuditVal),_xlpm.MacVal&lt;&gt;"",_xlpm.MacVal,_xlpm.CSVVal&lt;&gt;"",_xlpm.CSVVal
)),"")</f>
        <v/>
      </c>
      <c r="D21" s="2" t="str" cm="1">
        <f t="array" ref="D21">IFERROR(_xlfn.LET(
_xlpm.CSVVal,_xlfn.XLOOKUP($A21,CSV!$A:$A,CSV!D:D,""),
_xlpm.MacVal,_xlfn.XLOOKUP($A21,Output_Mac!$A:$A,Output_Mac!C:C,""),
_xlpm.MyAuditVal,_xlfn.XLOOKUP($A21,My_Audit!$A:$A,My_Audit!C:C,""),
_xlfn.IFS(_xlpm.MyAuditVal&lt;&gt;"",_xlpm.MyAuditVal,_xlpm.MacVal&lt;&gt;"",_xlpm.MacVal,_xlpm.CSVVal&lt;&gt;"",_xlpm.CSVVal
)),"")</f>
        <v/>
      </c>
      <c r="E21" s="2">
        <f>_xlfn.XLOOKUP(A21,My_Audit!A:A,My_Audit!D:D,"")</f>
        <v>0</v>
      </c>
      <c r="F21" s="2" t="str" cm="1">
        <f t="array" ref="F21">IFERROR(_xlfn.LET(
_xlpm.CSVVal,_xlfn.XLOOKUP($A21,CSV!$A:$A,CSV!F:F,""),
_xlpm.MacVal,_xlfn.XLOOKUP($A21,Output_Mac!$A:$A,Output_Mac!E:E,""),
_xlpm.MyAuditVal,_xlfn.XLOOKUP($A21,My_Audit!$A:$A,My_Audit!E:E,""),
_xlfn.IFS(_xlpm.MyAuditVal&lt;&gt;"",_xlpm.MyAuditVal,_xlpm.MacVal&lt;&gt;"",_xlpm.MacVal,_xlpm.CSVVal&lt;&gt;"",_xlpm.CSVVal
)),"")</f>
        <v/>
      </c>
      <c r="G21" s="2" t="str" cm="1">
        <f t="array" ref="G21">IFERROR(_xlfn.LET(
_xlpm.CSVVal,_xlfn.XLOOKUP($A21,CSV!$A:$A,CSV!G:G,""),
_xlpm.MacVal,_xlfn.XLOOKUP($A21,Output_Mac!$A:$A,Output_Mac!F:F,""),
_xlpm.MyAuditVal,_xlfn.XLOOKUP($A21,My_Audit!$A:$A,My_Audit!F:F,""),
_xlfn.IFS(_xlpm.MyAuditVal&lt;&gt;"",_xlpm.MyAuditVal,_xlpm.MacVal&lt;&gt;"",_xlpm.MacVal,_xlpm.CSVVal&lt;&gt;"",PROPER(_xlpm.CSVVal)
)),"")</f>
        <v/>
      </c>
      <c r="H21" s="2" t="str" cm="1">
        <f t="array" ref="H21">IFERROR(_xlfn.LET(
_xlpm.CSVVal,_xlfn.XLOOKUP($A21,CSV!$A:$A,CSV!H:H,""),
_xlpm.MacVal,_xlfn.XLOOKUP($A21,Output_Mac!$A:$A,Output_Mac!H:H,""),
_xlpm.MyAuditVal,_xlfn.XLOOKUP($A21,My_Audit!$A:$A,My_Audit!G:G,""),
_xlfn.IFS(_xlpm.MyAuditVal&lt;&gt;"",_xlpm.MyAuditVal,_xlpm.MacVal&lt;&gt;"",_xlpm.MacVal,_xlpm.CSVVal&lt;&gt;"",_xlpm.CSVVal
)),"")</f>
        <v/>
      </c>
      <c r="I21" s="2" t="str">
        <f>_xlfn.XLOOKUP(A21,Output_Mac!A:A,Output_Mac!I:I,"")</f>
        <v/>
      </c>
      <c r="J21" s="2" t="str" cm="1">
        <f t="array" ref="J21">IFERROR(_xlfn.LET(
_xlpm.CSVVal,_xlfn.XLOOKUP($A21,CSV!$A:$A,CSV!I:I,""),
_xlpm.MacVal,_xlfn.XLOOKUP($A21,Output_Mac!$A:$A,Output_Mac!J:J,""),
_xlpm.MyAuditVal,_xlfn.XLOOKUP($A21,My_Audit!$A:$A,My_Audit!I:I,""),
_xlfn.IFS(_xlpm.MyAuditVal&lt;&gt;"",UPPER(_xlpm.MyAuditVal),_xlpm.MacVal&lt;&gt;"",_xlpm.MacVal,_xlpm.CSVVal&lt;&gt;"",_xlpm.CSVVal
)),"")</f>
        <v/>
      </c>
      <c r="K21" s="2" t="str" cm="1">
        <f t="array" ref="K21">IFERROR(_xlfn.LET(
_xlpm.CSVVal,_xlfn.XLOOKUP($A21,CSV!$A:$A,CSV!K:K,""),
_xlpm.MacVal,_xlfn.XLOOKUP($A21,Output_Mac!$A:$A,Output_Mac!K:K,""),
_xlpm.MyAuditVal,_xlfn.XLOOKUP($A21,My_Audit!$A:$A,My_Audit!J:J,""),
_xlfn.IFS(_xlpm.MyAuditVal&lt;&gt;"",UPPER(_xlpm.MyAuditVal),_xlpm.MacVal&lt;&gt;"",_xlpm.MacVal,_xlpm.CSVVal&lt;&gt;"",_xlpm.CSVVal
)),"")</f>
        <v/>
      </c>
      <c r="L21" s="2" t="str" cm="1">
        <f t="array" ref="L21">IFERROR(_xlfn.LET(
_xlpm.CSVVal,_xlfn.XLOOKUP($A21,CSV!$A:$A,CSV!P:P,""),
_xlpm.MacVal,_xlfn.XLOOKUP($A21,Output_Mac!$A:$A,Output_Mac!L:L,""),
_xlpm.MyAuditVal,_xlfn.XLOOKUP($A21,My_Audit!$A:$A,My_Audit!K:K,""),
_xlfn.IFS(_xlpm.MyAuditVal&lt;&gt;"",UPPER(_xlpm.MyAuditVal),_xlpm.MacVal&lt;&gt;"",_xlpm.MacVal,_xlpm.CSVVal&lt;&gt;"",_xlpm.CSVVal
)),"")</f>
        <v/>
      </c>
      <c r="M21" s="2" t="str" cm="1">
        <f t="array" ref="M21">IFERROR(_xlfn.LET(
_xlpm.CSVVal,_xlfn.XLOOKUP($A21,CSV!$A:$A,CSV!Q:Q,""),
_xlpm.MacVal,_xlfn.XLOOKUP($A21,Output_Mac!$A:$A,Output_Mac!M:M,""),
_xlpm.MyAuditVal,_xlfn.XLOOKUP($A21,My_Audit!$A:$A,My_Audit!L:L,""),
_xlfn.IFS(_xlpm.MyAuditVal&lt;&gt;"",UPPER(_xlpm.MyAuditVal),_xlpm.MacVal&lt;&gt;"",_xlpm.MacVal,_xlpm.CSVVal&lt;&gt;"",_xlpm.CSVVal
)),"")</f>
        <v/>
      </c>
      <c r="O21" s="2" t="str">
        <f>_xlfn.LET(
    _xlpm.CSVVal, _xlfn.XLOOKUP($A21, CSV!$A:$A, CSV!AA:AA, ""),
    _xlpm.MacVal, _xlfn.XLOOKUP($A21, Output_Mac!$A:$A, Output_Mac!S:S, ""),
    _xlpm.MyAuditVal, _xlfn.XLOOKUP($A21, My_Audit!$A:$A, My_Audit!P:P, ""),
    _xlfn.TEXTJOIN(", ", TRUE, _xlpm.MyAuditVal, _xlpm.MacVal, _xlpm.CSVVal)
)</f>
        <v/>
      </c>
      <c r="P21" s="2" t="str" cm="1">
        <f t="array" ref="P21">IFERROR(_xlfn.LET(
_xlpm.CSVVal,_xlfn.XLOOKUP($A21,CSV!$A:$A,CSV!AB:AB,""),
_xlpm.MacVal,_xlfn.XLOOKUP($A21,Output_Mac!$A:$A,Output_Mac!T:T,""),
_xlpm.MyAuditVal,_xlfn.XLOOKUP($A21,My_Audit!$A:$A,My_Audit!Q:Q,""),
_xlfn.IFS(_xlpm.MyAuditVal&lt;&gt;"",UPPER(_xlpm.MyAuditVal),_xlpm.MacVal&lt;&gt;"",_xlpm.MacVal,_xlpm.CSVVal&lt;&gt;"",_xlpm.CSVVal
)),"No")</f>
        <v>No</v>
      </c>
      <c r="Q21" s="2" t="str" cm="1">
        <f t="array" ref="Q21">IFERROR(_xlfn.LET(
_xlpm.CSVVal,_xlfn.XLOOKUP($A21,CSV!$A:$A,CSV!AC:AC,""),
_xlpm.MacVal,_xlfn.XLOOKUP($A21,Output_Mac!$A:$A,Output_Mac!U:U,""),
_xlpm.MyAuditVal,_xlfn.XLOOKUP($A21,My_Audit!$A:$A,My_Audit!R:R,""),
_xlfn.IFS(_xlpm.MyAuditVal&lt;&gt;"",UPPER(_xlpm.MyAuditVal),_xlpm.MacVal&lt;&gt;"",_xlpm.MacVal,_xlpm.CSVVal&lt;&gt;"",_xlpm.CSVVal
)),"")</f>
        <v/>
      </c>
      <c r="X21" t="str">
        <f>_xlfn.LET(
    _xlpm.MacVal, _xlfn.XLOOKUP($A21, Output_Mac!$A:$A, Output_Mac!AB:AB, ""),
    _xlpm.MyAuditVal, _xlfn.XLOOKUP($A21, My_Audit!$A:$A, My_Audit!N:N, ""),
    _xlfn.TEXTJOIN(", ", TRUE, _xlpm.MyAuditVal, _xlpm.MacVal)
)</f>
        <v/>
      </c>
    </row>
    <row r="22" spans="1:24">
      <c r="A22" s="2" t="str">
        <f>_xlfn.TEXTJOIN("",TRUE,Input!$B$2,ROW(My_Audit!A21))</f>
        <v>X21</v>
      </c>
      <c r="B22" s="2" t="str">
        <f>_xlfn.TEXTJOIN("-",TRUE,"ITD",Input!$A$2,A22)</f>
        <v>ITD-SHR-X21</v>
      </c>
      <c r="C22" s="2" t="str" cm="1">
        <f t="array" ref="C22">IFERROR(_xlfn.LET(
_xlpm.CSVVal,_xlfn.XLOOKUP($A22,CSV!$A:$A,CSV!B:B,""),
_xlpm.MacVal,_xlfn.XLOOKUP($A22,Output_Mac!$A:$A,Output_Mac!B:B,""),
_xlpm.MyAuditVal,_xlfn.XLOOKUP($A22,My_Audit!$A:$A,My_Audit!B:B,""),
_xlfn.IFS(_xlpm.MyAuditVal&lt;&gt;"",UPPER(_xlpm.MyAuditVal),_xlpm.MacVal&lt;&gt;"",_xlpm.MacVal,_xlpm.CSVVal&lt;&gt;"",_xlpm.CSVVal
)),"")</f>
        <v/>
      </c>
      <c r="D22" s="2" t="str" cm="1">
        <f t="array" ref="D22">IFERROR(_xlfn.LET(
_xlpm.CSVVal,_xlfn.XLOOKUP($A22,CSV!$A:$A,CSV!D:D,""),
_xlpm.MacVal,_xlfn.XLOOKUP($A22,Output_Mac!$A:$A,Output_Mac!C:C,""),
_xlpm.MyAuditVal,_xlfn.XLOOKUP($A22,My_Audit!$A:$A,My_Audit!C:C,""),
_xlfn.IFS(_xlpm.MyAuditVal&lt;&gt;"",_xlpm.MyAuditVal,_xlpm.MacVal&lt;&gt;"",_xlpm.MacVal,_xlpm.CSVVal&lt;&gt;"",_xlpm.CSVVal
)),"")</f>
        <v/>
      </c>
      <c r="E22" s="2">
        <f>_xlfn.XLOOKUP(A22,My_Audit!A:A,My_Audit!D:D,"")</f>
        <v>0</v>
      </c>
      <c r="F22" s="2" t="str" cm="1">
        <f t="array" ref="F22">IFERROR(_xlfn.LET(
_xlpm.CSVVal,_xlfn.XLOOKUP($A22,CSV!$A:$A,CSV!F:F,""),
_xlpm.MacVal,_xlfn.XLOOKUP($A22,Output_Mac!$A:$A,Output_Mac!E:E,""),
_xlpm.MyAuditVal,_xlfn.XLOOKUP($A22,My_Audit!$A:$A,My_Audit!E:E,""),
_xlfn.IFS(_xlpm.MyAuditVal&lt;&gt;"",_xlpm.MyAuditVal,_xlpm.MacVal&lt;&gt;"",_xlpm.MacVal,_xlpm.CSVVal&lt;&gt;"",_xlpm.CSVVal
)),"")</f>
        <v/>
      </c>
      <c r="G22" s="2" t="str" cm="1">
        <f t="array" ref="G22">IFERROR(_xlfn.LET(
_xlpm.CSVVal,_xlfn.XLOOKUP($A22,CSV!$A:$A,CSV!G:G,""),
_xlpm.MacVal,_xlfn.XLOOKUP($A22,Output_Mac!$A:$A,Output_Mac!F:F,""),
_xlpm.MyAuditVal,_xlfn.XLOOKUP($A22,My_Audit!$A:$A,My_Audit!F:F,""),
_xlfn.IFS(_xlpm.MyAuditVal&lt;&gt;"",_xlpm.MyAuditVal,_xlpm.MacVal&lt;&gt;"",_xlpm.MacVal,_xlpm.CSVVal&lt;&gt;"",PROPER(_xlpm.CSVVal)
)),"")</f>
        <v/>
      </c>
      <c r="H22" s="2" t="str" cm="1">
        <f t="array" ref="H22">IFERROR(_xlfn.LET(
_xlpm.CSVVal,_xlfn.XLOOKUP($A22,CSV!$A:$A,CSV!H:H,""),
_xlpm.MacVal,_xlfn.XLOOKUP($A22,Output_Mac!$A:$A,Output_Mac!H:H,""),
_xlpm.MyAuditVal,_xlfn.XLOOKUP($A22,My_Audit!$A:$A,My_Audit!G:G,""),
_xlfn.IFS(_xlpm.MyAuditVal&lt;&gt;"",_xlpm.MyAuditVal,_xlpm.MacVal&lt;&gt;"",_xlpm.MacVal,_xlpm.CSVVal&lt;&gt;"",_xlpm.CSVVal
)),"")</f>
        <v/>
      </c>
      <c r="I22" s="2" t="str">
        <f>_xlfn.XLOOKUP(A22,Output_Mac!A:A,Output_Mac!I:I,"")</f>
        <v/>
      </c>
      <c r="J22" s="2" t="str" cm="1">
        <f t="array" ref="J22">IFERROR(_xlfn.LET(
_xlpm.CSVVal,_xlfn.XLOOKUP($A22,CSV!$A:$A,CSV!I:I,""),
_xlpm.MacVal,_xlfn.XLOOKUP($A22,Output_Mac!$A:$A,Output_Mac!J:J,""),
_xlpm.MyAuditVal,_xlfn.XLOOKUP($A22,My_Audit!$A:$A,My_Audit!I:I,""),
_xlfn.IFS(_xlpm.MyAuditVal&lt;&gt;"",UPPER(_xlpm.MyAuditVal),_xlpm.MacVal&lt;&gt;"",_xlpm.MacVal,_xlpm.CSVVal&lt;&gt;"",_xlpm.CSVVal
)),"")</f>
        <v/>
      </c>
      <c r="K22" s="2" t="str" cm="1">
        <f t="array" ref="K22">IFERROR(_xlfn.LET(
_xlpm.CSVVal,_xlfn.XLOOKUP($A22,CSV!$A:$A,CSV!K:K,""),
_xlpm.MacVal,_xlfn.XLOOKUP($A22,Output_Mac!$A:$A,Output_Mac!K:K,""),
_xlpm.MyAuditVal,_xlfn.XLOOKUP($A22,My_Audit!$A:$A,My_Audit!J:J,""),
_xlfn.IFS(_xlpm.MyAuditVal&lt;&gt;"",UPPER(_xlpm.MyAuditVal),_xlpm.MacVal&lt;&gt;"",_xlpm.MacVal,_xlpm.CSVVal&lt;&gt;"",_xlpm.CSVVal
)),"")</f>
        <v/>
      </c>
      <c r="L22" s="2" t="str" cm="1">
        <f t="array" ref="L22">IFERROR(_xlfn.LET(
_xlpm.CSVVal,_xlfn.XLOOKUP($A22,CSV!$A:$A,CSV!P:P,""),
_xlpm.MacVal,_xlfn.XLOOKUP($A22,Output_Mac!$A:$A,Output_Mac!L:L,""),
_xlpm.MyAuditVal,_xlfn.XLOOKUP($A22,My_Audit!$A:$A,My_Audit!K:K,""),
_xlfn.IFS(_xlpm.MyAuditVal&lt;&gt;"",UPPER(_xlpm.MyAuditVal),_xlpm.MacVal&lt;&gt;"",_xlpm.MacVal,_xlpm.CSVVal&lt;&gt;"",_xlpm.CSVVal
)),"")</f>
        <v/>
      </c>
      <c r="M22" s="2" t="str" cm="1">
        <f t="array" ref="M22">IFERROR(_xlfn.LET(
_xlpm.CSVVal,_xlfn.XLOOKUP($A22,CSV!$A:$A,CSV!Q:Q,""),
_xlpm.MacVal,_xlfn.XLOOKUP($A22,Output_Mac!$A:$A,Output_Mac!M:M,""),
_xlpm.MyAuditVal,_xlfn.XLOOKUP($A22,My_Audit!$A:$A,My_Audit!L:L,""),
_xlfn.IFS(_xlpm.MyAuditVal&lt;&gt;"",UPPER(_xlpm.MyAuditVal),_xlpm.MacVal&lt;&gt;"",_xlpm.MacVal,_xlpm.CSVVal&lt;&gt;"",_xlpm.CSVVal
)),"")</f>
        <v/>
      </c>
      <c r="O22" s="2" t="str">
        <f>_xlfn.LET(
    _xlpm.CSVVal, _xlfn.XLOOKUP($A22, CSV!$A:$A, CSV!AA:AA, ""),
    _xlpm.MacVal, _xlfn.XLOOKUP($A22, Output_Mac!$A:$A, Output_Mac!S:S, ""),
    _xlpm.MyAuditVal, _xlfn.XLOOKUP($A22, My_Audit!$A:$A, My_Audit!P:P, ""),
    _xlfn.TEXTJOIN(", ", TRUE, _xlpm.MyAuditVal, _xlpm.MacVal, _xlpm.CSVVal)
)</f>
        <v/>
      </c>
      <c r="P22" s="2" t="str" cm="1">
        <f t="array" ref="P22">IFERROR(_xlfn.LET(
_xlpm.CSVVal,_xlfn.XLOOKUP($A22,CSV!$A:$A,CSV!AB:AB,""),
_xlpm.MacVal,_xlfn.XLOOKUP($A22,Output_Mac!$A:$A,Output_Mac!T:T,""),
_xlpm.MyAuditVal,_xlfn.XLOOKUP($A22,My_Audit!$A:$A,My_Audit!Q:Q,""),
_xlfn.IFS(_xlpm.MyAuditVal&lt;&gt;"",UPPER(_xlpm.MyAuditVal),_xlpm.MacVal&lt;&gt;"",_xlpm.MacVal,_xlpm.CSVVal&lt;&gt;"",_xlpm.CSVVal
)),"No")</f>
        <v>No</v>
      </c>
      <c r="Q22" s="2" t="str" cm="1">
        <f t="array" ref="Q22">IFERROR(_xlfn.LET(
_xlpm.CSVVal,_xlfn.XLOOKUP($A22,CSV!$A:$A,CSV!AC:AC,""),
_xlpm.MacVal,_xlfn.XLOOKUP($A22,Output_Mac!$A:$A,Output_Mac!U:U,""),
_xlpm.MyAuditVal,_xlfn.XLOOKUP($A22,My_Audit!$A:$A,My_Audit!R:R,""),
_xlfn.IFS(_xlpm.MyAuditVal&lt;&gt;"",UPPER(_xlpm.MyAuditVal),_xlpm.MacVal&lt;&gt;"",_xlpm.MacVal,_xlpm.CSVVal&lt;&gt;"",_xlpm.CSVVal
)),"")</f>
        <v/>
      </c>
      <c r="X22" t="str">
        <f>_xlfn.LET(
    _xlpm.MacVal, _xlfn.XLOOKUP($A22, Output_Mac!$A:$A, Output_Mac!AB:AB, ""),
    _xlpm.MyAuditVal, _xlfn.XLOOKUP($A22, My_Audit!$A:$A, My_Audit!N:N, ""),
    _xlfn.TEXTJOIN(", ", TRUE, _xlpm.MyAuditVal, _xlpm.MacVal)
)</f>
        <v/>
      </c>
    </row>
    <row r="23" spans="1:24">
      <c r="A23" s="2" t="str">
        <f>_xlfn.TEXTJOIN("",TRUE,Input!$B$2,ROW(My_Audit!A22))</f>
        <v>X22</v>
      </c>
      <c r="B23" s="2" t="str">
        <f>_xlfn.TEXTJOIN("-",TRUE,"ITD",Input!$A$2,A23)</f>
        <v>ITD-SHR-X22</v>
      </c>
      <c r="C23" s="2" t="str" cm="1">
        <f t="array" ref="C23">IFERROR(_xlfn.LET(
_xlpm.CSVVal,_xlfn.XLOOKUP($A23,CSV!$A:$A,CSV!B:B,""),
_xlpm.MacVal,_xlfn.XLOOKUP($A23,Output_Mac!$A:$A,Output_Mac!B:B,""),
_xlpm.MyAuditVal,_xlfn.XLOOKUP($A23,My_Audit!$A:$A,My_Audit!B:B,""),
_xlfn.IFS(_xlpm.MyAuditVal&lt;&gt;"",UPPER(_xlpm.MyAuditVal),_xlpm.MacVal&lt;&gt;"",_xlpm.MacVal,_xlpm.CSVVal&lt;&gt;"",_xlpm.CSVVal
)),"")</f>
        <v/>
      </c>
      <c r="D23" s="2" t="str" cm="1">
        <f t="array" ref="D23">IFERROR(_xlfn.LET(
_xlpm.CSVVal,_xlfn.XLOOKUP($A23,CSV!$A:$A,CSV!D:D,""),
_xlpm.MacVal,_xlfn.XLOOKUP($A23,Output_Mac!$A:$A,Output_Mac!C:C,""),
_xlpm.MyAuditVal,_xlfn.XLOOKUP($A23,My_Audit!$A:$A,My_Audit!C:C,""),
_xlfn.IFS(_xlpm.MyAuditVal&lt;&gt;"",_xlpm.MyAuditVal,_xlpm.MacVal&lt;&gt;"",_xlpm.MacVal,_xlpm.CSVVal&lt;&gt;"",_xlpm.CSVVal
)),"")</f>
        <v/>
      </c>
      <c r="E23" s="2">
        <f>_xlfn.XLOOKUP(A23,My_Audit!A:A,My_Audit!D:D,"")</f>
        <v>0</v>
      </c>
      <c r="F23" s="2" t="str" cm="1">
        <f t="array" ref="F23">IFERROR(_xlfn.LET(
_xlpm.CSVVal,_xlfn.XLOOKUP($A23,CSV!$A:$A,CSV!F:F,""),
_xlpm.MacVal,_xlfn.XLOOKUP($A23,Output_Mac!$A:$A,Output_Mac!E:E,""),
_xlpm.MyAuditVal,_xlfn.XLOOKUP($A23,My_Audit!$A:$A,My_Audit!E:E,""),
_xlfn.IFS(_xlpm.MyAuditVal&lt;&gt;"",_xlpm.MyAuditVal,_xlpm.MacVal&lt;&gt;"",_xlpm.MacVal,_xlpm.CSVVal&lt;&gt;"",_xlpm.CSVVal
)),"")</f>
        <v/>
      </c>
      <c r="G23" s="2" t="str" cm="1">
        <f t="array" ref="G23">IFERROR(_xlfn.LET(
_xlpm.CSVVal,_xlfn.XLOOKUP($A23,CSV!$A:$A,CSV!G:G,""),
_xlpm.MacVal,_xlfn.XLOOKUP($A23,Output_Mac!$A:$A,Output_Mac!F:F,""),
_xlpm.MyAuditVal,_xlfn.XLOOKUP($A23,My_Audit!$A:$A,My_Audit!F:F,""),
_xlfn.IFS(_xlpm.MyAuditVal&lt;&gt;"",_xlpm.MyAuditVal,_xlpm.MacVal&lt;&gt;"",_xlpm.MacVal,_xlpm.CSVVal&lt;&gt;"",PROPER(_xlpm.CSVVal)
)),"")</f>
        <v/>
      </c>
      <c r="H23" s="2" t="str" cm="1">
        <f t="array" ref="H23">IFERROR(_xlfn.LET(
_xlpm.CSVVal,_xlfn.XLOOKUP($A23,CSV!$A:$A,CSV!H:H,""),
_xlpm.MacVal,_xlfn.XLOOKUP($A23,Output_Mac!$A:$A,Output_Mac!H:H,""),
_xlpm.MyAuditVal,_xlfn.XLOOKUP($A23,My_Audit!$A:$A,My_Audit!G:G,""),
_xlfn.IFS(_xlpm.MyAuditVal&lt;&gt;"",_xlpm.MyAuditVal,_xlpm.MacVal&lt;&gt;"",_xlpm.MacVal,_xlpm.CSVVal&lt;&gt;"",_xlpm.CSVVal
)),"")</f>
        <v/>
      </c>
      <c r="I23" s="2" t="str">
        <f>_xlfn.XLOOKUP(A23,Output_Mac!A:A,Output_Mac!I:I,"")</f>
        <v/>
      </c>
      <c r="J23" s="2" t="str" cm="1">
        <f t="array" ref="J23">IFERROR(_xlfn.LET(
_xlpm.CSVVal,_xlfn.XLOOKUP($A23,CSV!$A:$A,CSV!I:I,""),
_xlpm.MacVal,_xlfn.XLOOKUP($A23,Output_Mac!$A:$A,Output_Mac!J:J,""),
_xlpm.MyAuditVal,_xlfn.XLOOKUP($A23,My_Audit!$A:$A,My_Audit!I:I,""),
_xlfn.IFS(_xlpm.MyAuditVal&lt;&gt;"",UPPER(_xlpm.MyAuditVal),_xlpm.MacVal&lt;&gt;"",_xlpm.MacVal,_xlpm.CSVVal&lt;&gt;"",_xlpm.CSVVal
)),"")</f>
        <v/>
      </c>
      <c r="K23" s="2" t="str" cm="1">
        <f t="array" ref="K23">IFERROR(_xlfn.LET(
_xlpm.CSVVal,_xlfn.XLOOKUP($A23,CSV!$A:$A,CSV!K:K,""),
_xlpm.MacVal,_xlfn.XLOOKUP($A23,Output_Mac!$A:$A,Output_Mac!K:K,""),
_xlpm.MyAuditVal,_xlfn.XLOOKUP($A23,My_Audit!$A:$A,My_Audit!J:J,""),
_xlfn.IFS(_xlpm.MyAuditVal&lt;&gt;"",UPPER(_xlpm.MyAuditVal),_xlpm.MacVal&lt;&gt;"",_xlpm.MacVal,_xlpm.CSVVal&lt;&gt;"",_xlpm.CSVVal
)),"")</f>
        <v/>
      </c>
      <c r="L23" s="2" t="str" cm="1">
        <f t="array" ref="L23">IFERROR(_xlfn.LET(
_xlpm.CSVVal,_xlfn.XLOOKUP($A23,CSV!$A:$A,CSV!P:P,""),
_xlpm.MacVal,_xlfn.XLOOKUP($A23,Output_Mac!$A:$A,Output_Mac!L:L,""),
_xlpm.MyAuditVal,_xlfn.XLOOKUP($A23,My_Audit!$A:$A,My_Audit!K:K,""),
_xlfn.IFS(_xlpm.MyAuditVal&lt;&gt;"",UPPER(_xlpm.MyAuditVal),_xlpm.MacVal&lt;&gt;"",_xlpm.MacVal,_xlpm.CSVVal&lt;&gt;"",_xlpm.CSVVal
)),"")</f>
        <v/>
      </c>
      <c r="M23" s="2" t="str" cm="1">
        <f t="array" ref="M23">IFERROR(_xlfn.LET(
_xlpm.CSVVal,_xlfn.XLOOKUP($A23,CSV!$A:$A,CSV!Q:Q,""),
_xlpm.MacVal,_xlfn.XLOOKUP($A23,Output_Mac!$A:$A,Output_Mac!M:M,""),
_xlpm.MyAuditVal,_xlfn.XLOOKUP($A23,My_Audit!$A:$A,My_Audit!L:L,""),
_xlfn.IFS(_xlpm.MyAuditVal&lt;&gt;"",UPPER(_xlpm.MyAuditVal),_xlpm.MacVal&lt;&gt;"",_xlpm.MacVal,_xlpm.CSVVal&lt;&gt;"",_xlpm.CSVVal
)),"")</f>
        <v/>
      </c>
      <c r="O23" s="2" t="str">
        <f>_xlfn.LET(
    _xlpm.CSVVal, _xlfn.XLOOKUP($A23, CSV!$A:$A, CSV!AA:AA, ""),
    _xlpm.MacVal, _xlfn.XLOOKUP($A23, Output_Mac!$A:$A, Output_Mac!S:S, ""),
    _xlpm.MyAuditVal, _xlfn.XLOOKUP($A23, My_Audit!$A:$A, My_Audit!P:P, ""),
    _xlfn.TEXTJOIN(", ", TRUE, _xlpm.MyAuditVal, _xlpm.MacVal, _xlpm.CSVVal)
)</f>
        <v/>
      </c>
      <c r="P23" s="2" t="str" cm="1">
        <f t="array" ref="P23">IFERROR(_xlfn.LET(
_xlpm.CSVVal,_xlfn.XLOOKUP($A23,CSV!$A:$A,CSV!AB:AB,""),
_xlpm.MacVal,_xlfn.XLOOKUP($A23,Output_Mac!$A:$A,Output_Mac!T:T,""),
_xlpm.MyAuditVal,_xlfn.XLOOKUP($A23,My_Audit!$A:$A,My_Audit!Q:Q,""),
_xlfn.IFS(_xlpm.MyAuditVal&lt;&gt;"",UPPER(_xlpm.MyAuditVal),_xlpm.MacVal&lt;&gt;"",_xlpm.MacVal,_xlpm.CSVVal&lt;&gt;"",_xlpm.CSVVal
)),"No")</f>
        <v>No</v>
      </c>
      <c r="Q23" s="2" t="str" cm="1">
        <f t="array" ref="Q23">IFERROR(_xlfn.LET(
_xlpm.CSVVal,_xlfn.XLOOKUP($A23,CSV!$A:$A,CSV!AC:AC,""),
_xlpm.MacVal,_xlfn.XLOOKUP($A23,Output_Mac!$A:$A,Output_Mac!U:U,""),
_xlpm.MyAuditVal,_xlfn.XLOOKUP($A23,My_Audit!$A:$A,My_Audit!R:R,""),
_xlfn.IFS(_xlpm.MyAuditVal&lt;&gt;"",UPPER(_xlpm.MyAuditVal),_xlpm.MacVal&lt;&gt;"",_xlpm.MacVal,_xlpm.CSVVal&lt;&gt;"",_xlpm.CSVVal
)),"")</f>
        <v/>
      </c>
      <c r="X23" t="str">
        <f>_xlfn.LET(
    _xlpm.MacVal, _xlfn.XLOOKUP($A23, Output_Mac!$A:$A, Output_Mac!AB:AB, ""),
    _xlpm.MyAuditVal, _xlfn.XLOOKUP($A23, My_Audit!$A:$A, My_Audit!N:N, ""),
    _xlfn.TEXTJOIN(", ", TRUE, _xlpm.MyAuditVal, _xlpm.MacVal)
)</f>
        <v/>
      </c>
    </row>
    <row r="24" spans="1:24">
      <c r="A24" s="2" t="str">
        <f>_xlfn.TEXTJOIN("",TRUE,Input!$B$2,ROW(My_Audit!A23))</f>
        <v>X23</v>
      </c>
      <c r="B24" s="2" t="str">
        <f>_xlfn.TEXTJOIN("-",TRUE,"ITD",Input!$A$2,A24)</f>
        <v>ITD-SHR-X23</v>
      </c>
      <c r="C24" s="2" t="str" cm="1">
        <f t="array" ref="C24">IFERROR(_xlfn.LET(
_xlpm.CSVVal,_xlfn.XLOOKUP($A24,CSV!$A:$A,CSV!B:B,""),
_xlpm.MacVal,_xlfn.XLOOKUP($A24,Output_Mac!$A:$A,Output_Mac!B:B,""),
_xlpm.MyAuditVal,_xlfn.XLOOKUP($A24,My_Audit!$A:$A,My_Audit!B:B,""),
_xlfn.IFS(_xlpm.MyAuditVal&lt;&gt;"",UPPER(_xlpm.MyAuditVal),_xlpm.MacVal&lt;&gt;"",_xlpm.MacVal,_xlpm.CSVVal&lt;&gt;"",_xlpm.CSVVal
)),"")</f>
        <v/>
      </c>
      <c r="D24" s="2" t="str" cm="1">
        <f t="array" ref="D24">IFERROR(_xlfn.LET(
_xlpm.CSVVal,_xlfn.XLOOKUP($A24,CSV!$A:$A,CSV!D:D,""),
_xlpm.MacVal,_xlfn.XLOOKUP($A24,Output_Mac!$A:$A,Output_Mac!C:C,""),
_xlpm.MyAuditVal,_xlfn.XLOOKUP($A24,My_Audit!$A:$A,My_Audit!C:C,""),
_xlfn.IFS(_xlpm.MyAuditVal&lt;&gt;"",_xlpm.MyAuditVal,_xlpm.MacVal&lt;&gt;"",_xlpm.MacVal,_xlpm.CSVVal&lt;&gt;"",_xlpm.CSVVal
)),"")</f>
        <v/>
      </c>
      <c r="E24" s="2">
        <f>_xlfn.XLOOKUP(A24,My_Audit!A:A,My_Audit!D:D,"")</f>
        <v>0</v>
      </c>
      <c r="F24" s="2" t="str" cm="1">
        <f t="array" ref="F24">IFERROR(_xlfn.LET(
_xlpm.CSVVal,_xlfn.XLOOKUP($A24,CSV!$A:$A,CSV!F:F,""),
_xlpm.MacVal,_xlfn.XLOOKUP($A24,Output_Mac!$A:$A,Output_Mac!E:E,""),
_xlpm.MyAuditVal,_xlfn.XLOOKUP($A24,My_Audit!$A:$A,My_Audit!E:E,""),
_xlfn.IFS(_xlpm.MyAuditVal&lt;&gt;"",_xlpm.MyAuditVal,_xlpm.MacVal&lt;&gt;"",_xlpm.MacVal,_xlpm.CSVVal&lt;&gt;"",_xlpm.CSVVal
)),"")</f>
        <v/>
      </c>
      <c r="G24" s="2" t="str" cm="1">
        <f t="array" ref="G24">IFERROR(_xlfn.LET(
_xlpm.CSVVal,_xlfn.XLOOKUP($A24,CSV!$A:$A,CSV!G:G,""),
_xlpm.MacVal,_xlfn.XLOOKUP($A24,Output_Mac!$A:$A,Output_Mac!F:F,""),
_xlpm.MyAuditVal,_xlfn.XLOOKUP($A24,My_Audit!$A:$A,My_Audit!F:F,""),
_xlfn.IFS(_xlpm.MyAuditVal&lt;&gt;"",_xlpm.MyAuditVal,_xlpm.MacVal&lt;&gt;"",_xlpm.MacVal,_xlpm.CSVVal&lt;&gt;"",PROPER(_xlpm.CSVVal)
)),"")</f>
        <v/>
      </c>
      <c r="H24" s="2" t="str" cm="1">
        <f t="array" ref="H24">IFERROR(_xlfn.LET(
_xlpm.CSVVal,_xlfn.XLOOKUP($A24,CSV!$A:$A,CSV!H:H,""),
_xlpm.MacVal,_xlfn.XLOOKUP($A24,Output_Mac!$A:$A,Output_Mac!H:H,""),
_xlpm.MyAuditVal,_xlfn.XLOOKUP($A24,My_Audit!$A:$A,My_Audit!G:G,""),
_xlfn.IFS(_xlpm.MyAuditVal&lt;&gt;"",_xlpm.MyAuditVal,_xlpm.MacVal&lt;&gt;"",_xlpm.MacVal,_xlpm.CSVVal&lt;&gt;"",_xlpm.CSVVal
)),"")</f>
        <v/>
      </c>
      <c r="I24" s="2" t="str">
        <f>_xlfn.XLOOKUP(A24,Output_Mac!A:A,Output_Mac!I:I,"")</f>
        <v/>
      </c>
      <c r="J24" s="2" t="str" cm="1">
        <f t="array" ref="J24">IFERROR(_xlfn.LET(
_xlpm.CSVVal,_xlfn.XLOOKUP($A24,CSV!$A:$A,CSV!I:I,""),
_xlpm.MacVal,_xlfn.XLOOKUP($A24,Output_Mac!$A:$A,Output_Mac!J:J,""),
_xlpm.MyAuditVal,_xlfn.XLOOKUP($A24,My_Audit!$A:$A,My_Audit!I:I,""),
_xlfn.IFS(_xlpm.MyAuditVal&lt;&gt;"",UPPER(_xlpm.MyAuditVal),_xlpm.MacVal&lt;&gt;"",_xlpm.MacVal,_xlpm.CSVVal&lt;&gt;"",_xlpm.CSVVal
)),"")</f>
        <v/>
      </c>
      <c r="K24" s="2" t="str" cm="1">
        <f t="array" ref="K24">IFERROR(_xlfn.LET(
_xlpm.CSVVal,_xlfn.XLOOKUP($A24,CSV!$A:$A,CSV!K:K,""),
_xlpm.MacVal,_xlfn.XLOOKUP($A24,Output_Mac!$A:$A,Output_Mac!K:K,""),
_xlpm.MyAuditVal,_xlfn.XLOOKUP($A24,My_Audit!$A:$A,My_Audit!J:J,""),
_xlfn.IFS(_xlpm.MyAuditVal&lt;&gt;"",UPPER(_xlpm.MyAuditVal),_xlpm.MacVal&lt;&gt;"",_xlpm.MacVal,_xlpm.CSVVal&lt;&gt;"",_xlpm.CSVVal
)),"")</f>
        <v/>
      </c>
      <c r="L24" s="2" t="str" cm="1">
        <f t="array" ref="L24">IFERROR(_xlfn.LET(
_xlpm.CSVVal,_xlfn.XLOOKUP($A24,CSV!$A:$A,CSV!P:P,""),
_xlpm.MacVal,_xlfn.XLOOKUP($A24,Output_Mac!$A:$A,Output_Mac!L:L,""),
_xlpm.MyAuditVal,_xlfn.XLOOKUP($A24,My_Audit!$A:$A,My_Audit!K:K,""),
_xlfn.IFS(_xlpm.MyAuditVal&lt;&gt;"",UPPER(_xlpm.MyAuditVal),_xlpm.MacVal&lt;&gt;"",_xlpm.MacVal,_xlpm.CSVVal&lt;&gt;"",_xlpm.CSVVal
)),"")</f>
        <v/>
      </c>
      <c r="M24" s="2" t="str" cm="1">
        <f t="array" ref="M24">IFERROR(_xlfn.LET(
_xlpm.CSVVal,_xlfn.XLOOKUP($A24,CSV!$A:$A,CSV!Q:Q,""),
_xlpm.MacVal,_xlfn.XLOOKUP($A24,Output_Mac!$A:$A,Output_Mac!M:M,""),
_xlpm.MyAuditVal,_xlfn.XLOOKUP($A24,My_Audit!$A:$A,My_Audit!L:L,""),
_xlfn.IFS(_xlpm.MyAuditVal&lt;&gt;"",UPPER(_xlpm.MyAuditVal),_xlpm.MacVal&lt;&gt;"",_xlpm.MacVal,_xlpm.CSVVal&lt;&gt;"",_xlpm.CSVVal
)),"")</f>
        <v/>
      </c>
      <c r="O24" s="2" t="str">
        <f>_xlfn.LET(
    _xlpm.CSVVal, _xlfn.XLOOKUP($A24, CSV!$A:$A, CSV!AA:AA, ""),
    _xlpm.MacVal, _xlfn.XLOOKUP($A24, Output_Mac!$A:$A, Output_Mac!S:S, ""),
    _xlpm.MyAuditVal, _xlfn.XLOOKUP($A24, My_Audit!$A:$A, My_Audit!P:P, ""),
    _xlfn.TEXTJOIN(", ", TRUE, _xlpm.MyAuditVal, _xlpm.MacVal, _xlpm.CSVVal)
)</f>
        <v/>
      </c>
      <c r="P24" s="2" t="str" cm="1">
        <f t="array" ref="P24">IFERROR(_xlfn.LET(
_xlpm.CSVVal,_xlfn.XLOOKUP($A24,CSV!$A:$A,CSV!AB:AB,""),
_xlpm.MacVal,_xlfn.XLOOKUP($A24,Output_Mac!$A:$A,Output_Mac!T:T,""),
_xlpm.MyAuditVal,_xlfn.XLOOKUP($A24,My_Audit!$A:$A,My_Audit!Q:Q,""),
_xlfn.IFS(_xlpm.MyAuditVal&lt;&gt;"",UPPER(_xlpm.MyAuditVal),_xlpm.MacVal&lt;&gt;"",_xlpm.MacVal,_xlpm.CSVVal&lt;&gt;"",_xlpm.CSVVal
)),"No")</f>
        <v>No</v>
      </c>
      <c r="Q24" s="2" t="str" cm="1">
        <f t="array" ref="Q24">IFERROR(_xlfn.LET(
_xlpm.CSVVal,_xlfn.XLOOKUP($A24,CSV!$A:$A,CSV!AC:AC,""),
_xlpm.MacVal,_xlfn.XLOOKUP($A24,Output_Mac!$A:$A,Output_Mac!U:U,""),
_xlpm.MyAuditVal,_xlfn.XLOOKUP($A24,My_Audit!$A:$A,My_Audit!R:R,""),
_xlfn.IFS(_xlpm.MyAuditVal&lt;&gt;"",UPPER(_xlpm.MyAuditVal),_xlpm.MacVal&lt;&gt;"",_xlpm.MacVal,_xlpm.CSVVal&lt;&gt;"",_xlpm.CSVVal
)),"")</f>
        <v/>
      </c>
      <c r="X24" t="str">
        <f>_xlfn.LET(
    _xlpm.MacVal, _xlfn.XLOOKUP($A24, Output_Mac!$A:$A, Output_Mac!AB:AB, ""),
    _xlpm.MyAuditVal, _xlfn.XLOOKUP($A24, My_Audit!$A:$A, My_Audit!N:N, ""),
    _xlfn.TEXTJOIN(", ", TRUE, _xlpm.MyAuditVal, _xlpm.MacVal)
)</f>
        <v/>
      </c>
    </row>
    <row r="25" spans="1:24">
      <c r="A25" s="2" t="str">
        <f>_xlfn.TEXTJOIN("",TRUE,Input!$B$2,ROW(My_Audit!A24))</f>
        <v>X24</v>
      </c>
      <c r="B25" s="2" t="str">
        <f>_xlfn.TEXTJOIN("-",TRUE,"ITD",Input!$A$2,A25)</f>
        <v>ITD-SHR-X24</v>
      </c>
      <c r="C25" s="2" t="str" cm="1">
        <f t="array" ref="C25">IFERROR(_xlfn.LET(
_xlpm.CSVVal,_xlfn.XLOOKUP($A25,CSV!$A:$A,CSV!B:B,""),
_xlpm.MacVal,_xlfn.XLOOKUP($A25,Output_Mac!$A:$A,Output_Mac!B:B,""),
_xlpm.MyAuditVal,_xlfn.XLOOKUP($A25,My_Audit!$A:$A,My_Audit!B:B,""),
_xlfn.IFS(_xlpm.MyAuditVal&lt;&gt;"",UPPER(_xlpm.MyAuditVal),_xlpm.MacVal&lt;&gt;"",_xlpm.MacVal,_xlpm.CSVVal&lt;&gt;"",_xlpm.CSVVal
)),"")</f>
        <v/>
      </c>
      <c r="D25" s="2" t="str" cm="1">
        <f t="array" ref="D25">IFERROR(_xlfn.LET(
_xlpm.CSVVal,_xlfn.XLOOKUP($A25,CSV!$A:$A,CSV!D:D,""),
_xlpm.MacVal,_xlfn.XLOOKUP($A25,Output_Mac!$A:$A,Output_Mac!C:C,""),
_xlpm.MyAuditVal,_xlfn.XLOOKUP($A25,My_Audit!$A:$A,My_Audit!C:C,""),
_xlfn.IFS(_xlpm.MyAuditVal&lt;&gt;"",_xlpm.MyAuditVal,_xlpm.MacVal&lt;&gt;"",_xlpm.MacVal,_xlpm.CSVVal&lt;&gt;"",_xlpm.CSVVal
)),"")</f>
        <v/>
      </c>
      <c r="E25" s="2">
        <f>_xlfn.XLOOKUP(A25,My_Audit!A:A,My_Audit!D:D,"")</f>
        <v>0</v>
      </c>
      <c r="F25" s="2" t="str" cm="1">
        <f t="array" ref="F25">IFERROR(_xlfn.LET(
_xlpm.CSVVal,_xlfn.XLOOKUP($A25,CSV!$A:$A,CSV!F:F,""),
_xlpm.MacVal,_xlfn.XLOOKUP($A25,Output_Mac!$A:$A,Output_Mac!E:E,""),
_xlpm.MyAuditVal,_xlfn.XLOOKUP($A25,My_Audit!$A:$A,My_Audit!E:E,""),
_xlfn.IFS(_xlpm.MyAuditVal&lt;&gt;"",_xlpm.MyAuditVal,_xlpm.MacVal&lt;&gt;"",_xlpm.MacVal,_xlpm.CSVVal&lt;&gt;"",_xlpm.CSVVal
)),"")</f>
        <v/>
      </c>
      <c r="G25" s="2" t="str" cm="1">
        <f t="array" ref="G25">IFERROR(_xlfn.LET(
_xlpm.CSVVal,_xlfn.XLOOKUP($A25,CSV!$A:$A,CSV!G:G,""),
_xlpm.MacVal,_xlfn.XLOOKUP($A25,Output_Mac!$A:$A,Output_Mac!F:F,""),
_xlpm.MyAuditVal,_xlfn.XLOOKUP($A25,My_Audit!$A:$A,My_Audit!F:F,""),
_xlfn.IFS(_xlpm.MyAuditVal&lt;&gt;"",_xlpm.MyAuditVal,_xlpm.MacVal&lt;&gt;"",_xlpm.MacVal,_xlpm.CSVVal&lt;&gt;"",PROPER(_xlpm.CSVVal)
)),"")</f>
        <v/>
      </c>
      <c r="H25" s="2" t="str" cm="1">
        <f t="array" ref="H25">IFERROR(_xlfn.LET(
_xlpm.CSVVal,_xlfn.XLOOKUP($A25,CSV!$A:$A,CSV!H:H,""),
_xlpm.MacVal,_xlfn.XLOOKUP($A25,Output_Mac!$A:$A,Output_Mac!H:H,""),
_xlpm.MyAuditVal,_xlfn.XLOOKUP($A25,My_Audit!$A:$A,My_Audit!G:G,""),
_xlfn.IFS(_xlpm.MyAuditVal&lt;&gt;"",_xlpm.MyAuditVal,_xlpm.MacVal&lt;&gt;"",_xlpm.MacVal,_xlpm.CSVVal&lt;&gt;"",_xlpm.CSVVal
)),"")</f>
        <v/>
      </c>
      <c r="I25" s="2" t="str">
        <f>_xlfn.XLOOKUP(A25,Output_Mac!A:A,Output_Mac!I:I,"")</f>
        <v/>
      </c>
      <c r="J25" s="2" t="str" cm="1">
        <f t="array" ref="J25">IFERROR(_xlfn.LET(
_xlpm.CSVVal,_xlfn.XLOOKUP($A25,CSV!$A:$A,CSV!I:I,""),
_xlpm.MacVal,_xlfn.XLOOKUP($A25,Output_Mac!$A:$A,Output_Mac!J:J,""),
_xlpm.MyAuditVal,_xlfn.XLOOKUP($A25,My_Audit!$A:$A,My_Audit!I:I,""),
_xlfn.IFS(_xlpm.MyAuditVal&lt;&gt;"",UPPER(_xlpm.MyAuditVal),_xlpm.MacVal&lt;&gt;"",_xlpm.MacVal,_xlpm.CSVVal&lt;&gt;"",_xlpm.CSVVal
)),"")</f>
        <v/>
      </c>
      <c r="K25" s="2" t="str" cm="1">
        <f t="array" ref="K25">IFERROR(_xlfn.LET(
_xlpm.CSVVal,_xlfn.XLOOKUP($A25,CSV!$A:$A,CSV!K:K,""),
_xlpm.MacVal,_xlfn.XLOOKUP($A25,Output_Mac!$A:$A,Output_Mac!K:K,""),
_xlpm.MyAuditVal,_xlfn.XLOOKUP($A25,My_Audit!$A:$A,My_Audit!J:J,""),
_xlfn.IFS(_xlpm.MyAuditVal&lt;&gt;"",UPPER(_xlpm.MyAuditVal),_xlpm.MacVal&lt;&gt;"",_xlpm.MacVal,_xlpm.CSVVal&lt;&gt;"",_xlpm.CSVVal
)),"")</f>
        <v/>
      </c>
      <c r="L25" s="2" t="str" cm="1">
        <f t="array" ref="L25">IFERROR(_xlfn.LET(
_xlpm.CSVVal,_xlfn.XLOOKUP($A25,CSV!$A:$A,CSV!P:P,""),
_xlpm.MacVal,_xlfn.XLOOKUP($A25,Output_Mac!$A:$A,Output_Mac!L:L,""),
_xlpm.MyAuditVal,_xlfn.XLOOKUP($A25,My_Audit!$A:$A,My_Audit!K:K,""),
_xlfn.IFS(_xlpm.MyAuditVal&lt;&gt;"",UPPER(_xlpm.MyAuditVal),_xlpm.MacVal&lt;&gt;"",_xlpm.MacVal,_xlpm.CSVVal&lt;&gt;"",_xlpm.CSVVal
)),"")</f>
        <v/>
      </c>
      <c r="M25" s="2" t="str" cm="1">
        <f t="array" ref="M25">IFERROR(_xlfn.LET(
_xlpm.CSVVal,_xlfn.XLOOKUP($A25,CSV!$A:$A,CSV!Q:Q,""),
_xlpm.MacVal,_xlfn.XLOOKUP($A25,Output_Mac!$A:$A,Output_Mac!M:M,""),
_xlpm.MyAuditVal,_xlfn.XLOOKUP($A25,My_Audit!$A:$A,My_Audit!L:L,""),
_xlfn.IFS(_xlpm.MyAuditVal&lt;&gt;"",UPPER(_xlpm.MyAuditVal),_xlpm.MacVal&lt;&gt;"",_xlpm.MacVal,_xlpm.CSVVal&lt;&gt;"",_xlpm.CSVVal
)),"")</f>
        <v/>
      </c>
      <c r="O25" s="2" t="str">
        <f>_xlfn.LET(
    _xlpm.CSVVal, _xlfn.XLOOKUP($A25, CSV!$A:$A, CSV!AA:AA, ""),
    _xlpm.MacVal, _xlfn.XLOOKUP($A25, Output_Mac!$A:$A, Output_Mac!S:S, ""),
    _xlpm.MyAuditVal, _xlfn.XLOOKUP($A25, My_Audit!$A:$A, My_Audit!P:P, ""),
    _xlfn.TEXTJOIN(", ", TRUE, _xlpm.MyAuditVal, _xlpm.MacVal, _xlpm.CSVVal)
)</f>
        <v/>
      </c>
      <c r="P25" s="2" t="str" cm="1">
        <f t="array" ref="P25">IFERROR(_xlfn.LET(
_xlpm.CSVVal,_xlfn.XLOOKUP($A25,CSV!$A:$A,CSV!AB:AB,""),
_xlpm.MacVal,_xlfn.XLOOKUP($A25,Output_Mac!$A:$A,Output_Mac!T:T,""),
_xlpm.MyAuditVal,_xlfn.XLOOKUP($A25,My_Audit!$A:$A,My_Audit!Q:Q,""),
_xlfn.IFS(_xlpm.MyAuditVal&lt;&gt;"",UPPER(_xlpm.MyAuditVal),_xlpm.MacVal&lt;&gt;"",_xlpm.MacVal,_xlpm.CSVVal&lt;&gt;"",_xlpm.CSVVal
)),"No")</f>
        <v>No</v>
      </c>
      <c r="Q25" s="2" t="str" cm="1">
        <f t="array" ref="Q25">IFERROR(_xlfn.LET(
_xlpm.CSVVal,_xlfn.XLOOKUP($A25,CSV!$A:$A,CSV!AC:AC,""),
_xlpm.MacVal,_xlfn.XLOOKUP($A25,Output_Mac!$A:$A,Output_Mac!U:U,""),
_xlpm.MyAuditVal,_xlfn.XLOOKUP($A25,My_Audit!$A:$A,My_Audit!R:R,""),
_xlfn.IFS(_xlpm.MyAuditVal&lt;&gt;"",UPPER(_xlpm.MyAuditVal),_xlpm.MacVal&lt;&gt;"",_xlpm.MacVal,_xlpm.CSVVal&lt;&gt;"",_xlpm.CSVVal
)),"")</f>
        <v/>
      </c>
      <c r="X25" t="str">
        <f>_xlfn.LET(
    _xlpm.MacVal, _xlfn.XLOOKUP($A25, Output_Mac!$A:$A, Output_Mac!AB:AB, ""),
    _xlpm.MyAuditVal, _xlfn.XLOOKUP($A25, My_Audit!$A:$A, My_Audit!N:N, ""),
    _xlfn.TEXTJOIN(", ", TRUE, _xlpm.MyAuditVal, _xlpm.MacVal)
)</f>
        <v/>
      </c>
    </row>
    <row r="26" spans="1:24">
      <c r="A26" s="2" t="str">
        <f>_xlfn.TEXTJOIN("",TRUE,Input!$B$2,ROW(My_Audit!A25))</f>
        <v>X25</v>
      </c>
      <c r="B26" s="2" t="str">
        <f>_xlfn.TEXTJOIN("-",TRUE,"ITD",Input!$A$2,A26)</f>
        <v>ITD-SHR-X25</v>
      </c>
      <c r="C26" s="2" t="str" cm="1">
        <f t="array" ref="C26">IFERROR(_xlfn.LET(
_xlpm.CSVVal,_xlfn.XLOOKUP($A26,CSV!$A:$A,CSV!B:B,""),
_xlpm.MacVal,_xlfn.XLOOKUP($A26,Output_Mac!$A:$A,Output_Mac!B:B,""),
_xlpm.MyAuditVal,_xlfn.XLOOKUP($A26,My_Audit!$A:$A,My_Audit!B:B,""),
_xlfn.IFS(_xlpm.MyAuditVal&lt;&gt;"",UPPER(_xlpm.MyAuditVal),_xlpm.MacVal&lt;&gt;"",_xlpm.MacVal,_xlpm.CSVVal&lt;&gt;"",_xlpm.CSVVal
)),"")</f>
        <v/>
      </c>
      <c r="D26" s="2" t="str" cm="1">
        <f t="array" ref="D26">IFERROR(_xlfn.LET(
_xlpm.CSVVal,_xlfn.XLOOKUP($A26,CSV!$A:$A,CSV!D:D,""),
_xlpm.MacVal,_xlfn.XLOOKUP($A26,Output_Mac!$A:$A,Output_Mac!C:C,""),
_xlpm.MyAuditVal,_xlfn.XLOOKUP($A26,My_Audit!$A:$A,My_Audit!C:C,""),
_xlfn.IFS(_xlpm.MyAuditVal&lt;&gt;"",_xlpm.MyAuditVal,_xlpm.MacVal&lt;&gt;"",_xlpm.MacVal,_xlpm.CSVVal&lt;&gt;"",_xlpm.CSVVal
)),"")</f>
        <v/>
      </c>
      <c r="E26" s="2">
        <f>_xlfn.XLOOKUP(A26,My_Audit!A:A,My_Audit!D:D,"")</f>
        <v>0</v>
      </c>
      <c r="F26" s="2" t="str" cm="1">
        <f t="array" ref="F26">IFERROR(_xlfn.LET(
_xlpm.CSVVal,_xlfn.XLOOKUP($A26,CSV!$A:$A,CSV!F:F,""),
_xlpm.MacVal,_xlfn.XLOOKUP($A26,Output_Mac!$A:$A,Output_Mac!E:E,""),
_xlpm.MyAuditVal,_xlfn.XLOOKUP($A26,My_Audit!$A:$A,My_Audit!E:E,""),
_xlfn.IFS(_xlpm.MyAuditVal&lt;&gt;"",_xlpm.MyAuditVal,_xlpm.MacVal&lt;&gt;"",_xlpm.MacVal,_xlpm.CSVVal&lt;&gt;"",_xlpm.CSVVal
)),"")</f>
        <v/>
      </c>
      <c r="G26" s="2" t="str" cm="1">
        <f t="array" ref="G26">IFERROR(_xlfn.LET(
_xlpm.CSVVal,_xlfn.XLOOKUP($A26,CSV!$A:$A,CSV!G:G,""),
_xlpm.MacVal,_xlfn.XLOOKUP($A26,Output_Mac!$A:$A,Output_Mac!F:F,""),
_xlpm.MyAuditVal,_xlfn.XLOOKUP($A26,My_Audit!$A:$A,My_Audit!F:F,""),
_xlfn.IFS(_xlpm.MyAuditVal&lt;&gt;"",_xlpm.MyAuditVal,_xlpm.MacVal&lt;&gt;"",_xlpm.MacVal,_xlpm.CSVVal&lt;&gt;"",PROPER(_xlpm.CSVVal)
)),"")</f>
        <v/>
      </c>
      <c r="H26" s="2" t="str" cm="1">
        <f t="array" ref="H26">IFERROR(_xlfn.LET(
_xlpm.CSVVal,_xlfn.XLOOKUP($A26,CSV!$A:$A,CSV!H:H,""),
_xlpm.MacVal,_xlfn.XLOOKUP($A26,Output_Mac!$A:$A,Output_Mac!H:H,""),
_xlpm.MyAuditVal,_xlfn.XLOOKUP($A26,My_Audit!$A:$A,My_Audit!G:G,""),
_xlfn.IFS(_xlpm.MyAuditVal&lt;&gt;"",_xlpm.MyAuditVal,_xlpm.MacVal&lt;&gt;"",_xlpm.MacVal,_xlpm.CSVVal&lt;&gt;"",_xlpm.CSVVal
)),"")</f>
        <v/>
      </c>
      <c r="I26" s="2" t="str">
        <f>_xlfn.XLOOKUP(A26,Output_Mac!A:A,Output_Mac!I:I,"")</f>
        <v/>
      </c>
      <c r="J26" s="2" t="str" cm="1">
        <f t="array" ref="J26">IFERROR(_xlfn.LET(
_xlpm.CSVVal,_xlfn.XLOOKUP($A26,CSV!$A:$A,CSV!I:I,""),
_xlpm.MacVal,_xlfn.XLOOKUP($A26,Output_Mac!$A:$A,Output_Mac!J:J,""),
_xlpm.MyAuditVal,_xlfn.XLOOKUP($A26,My_Audit!$A:$A,My_Audit!I:I,""),
_xlfn.IFS(_xlpm.MyAuditVal&lt;&gt;"",UPPER(_xlpm.MyAuditVal),_xlpm.MacVal&lt;&gt;"",_xlpm.MacVal,_xlpm.CSVVal&lt;&gt;"",_xlpm.CSVVal
)),"")</f>
        <v/>
      </c>
      <c r="K26" s="2" t="str" cm="1">
        <f t="array" ref="K26">IFERROR(_xlfn.LET(
_xlpm.CSVVal,_xlfn.XLOOKUP($A26,CSV!$A:$A,CSV!K:K,""),
_xlpm.MacVal,_xlfn.XLOOKUP($A26,Output_Mac!$A:$A,Output_Mac!K:K,""),
_xlpm.MyAuditVal,_xlfn.XLOOKUP($A26,My_Audit!$A:$A,My_Audit!J:J,""),
_xlfn.IFS(_xlpm.MyAuditVal&lt;&gt;"",UPPER(_xlpm.MyAuditVal),_xlpm.MacVal&lt;&gt;"",_xlpm.MacVal,_xlpm.CSVVal&lt;&gt;"",_xlpm.CSVVal
)),"")</f>
        <v/>
      </c>
      <c r="L26" s="2" t="str" cm="1">
        <f t="array" ref="L26">IFERROR(_xlfn.LET(
_xlpm.CSVVal,_xlfn.XLOOKUP($A26,CSV!$A:$A,CSV!P:P,""),
_xlpm.MacVal,_xlfn.XLOOKUP($A26,Output_Mac!$A:$A,Output_Mac!L:L,""),
_xlpm.MyAuditVal,_xlfn.XLOOKUP($A26,My_Audit!$A:$A,My_Audit!K:K,""),
_xlfn.IFS(_xlpm.MyAuditVal&lt;&gt;"",UPPER(_xlpm.MyAuditVal),_xlpm.MacVal&lt;&gt;"",_xlpm.MacVal,_xlpm.CSVVal&lt;&gt;"",_xlpm.CSVVal
)),"")</f>
        <v/>
      </c>
      <c r="M26" s="2" t="str" cm="1">
        <f t="array" ref="M26">IFERROR(_xlfn.LET(
_xlpm.CSVVal,_xlfn.XLOOKUP($A26,CSV!$A:$A,CSV!Q:Q,""),
_xlpm.MacVal,_xlfn.XLOOKUP($A26,Output_Mac!$A:$A,Output_Mac!M:M,""),
_xlpm.MyAuditVal,_xlfn.XLOOKUP($A26,My_Audit!$A:$A,My_Audit!L:L,""),
_xlfn.IFS(_xlpm.MyAuditVal&lt;&gt;"",UPPER(_xlpm.MyAuditVal),_xlpm.MacVal&lt;&gt;"",_xlpm.MacVal,_xlpm.CSVVal&lt;&gt;"",_xlpm.CSVVal
)),"")</f>
        <v/>
      </c>
      <c r="O26" s="2" t="str">
        <f>_xlfn.LET(
    _xlpm.CSVVal, _xlfn.XLOOKUP($A26, CSV!$A:$A, CSV!AA:AA, ""),
    _xlpm.MacVal, _xlfn.XLOOKUP($A26, Output_Mac!$A:$A, Output_Mac!S:S, ""),
    _xlpm.MyAuditVal, _xlfn.XLOOKUP($A26, My_Audit!$A:$A, My_Audit!P:P, ""),
    _xlfn.TEXTJOIN(", ", TRUE, _xlpm.MyAuditVal, _xlpm.MacVal, _xlpm.CSVVal)
)</f>
        <v/>
      </c>
      <c r="P26" s="2" t="str" cm="1">
        <f t="array" ref="P26">IFERROR(_xlfn.LET(
_xlpm.CSVVal,_xlfn.XLOOKUP($A26,CSV!$A:$A,CSV!AB:AB,""),
_xlpm.MacVal,_xlfn.XLOOKUP($A26,Output_Mac!$A:$A,Output_Mac!T:T,""),
_xlpm.MyAuditVal,_xlfn.XLOOKUP($A26,My_Audit!$A:$A,My_Audit!Q:Q,""),
_xlfn.IFS(_xlpm.MyAuditVal&lt;&gt;"",UPPER(_xlpm.MyAuditVal),_xlpm.MacVal&lt;&gt;"",_xlpm.MacVal,_xlpm.CSVVal&lt;&gt;"",_xlpm.CSVVal
)),"No")</f>
        <v>No</v>
      </c>
      <c r="Q26" s="2" t="str" cm="1">
        <f t="array" ref="Q26">IFERROR(_xlfn.LET(
_xlpm.CSVVal,_xlfn.XLOOKUP($A26,CSV!$A:$A,CSV!AC:AC,""),
_xlpm.MacVal,_xlfn.XLOOKUP($A26,Output_Mac!$A:$A,Output_Mac!U:U,""),
_xlpm.MyAuditVal,_xlfn.XLOOKUP($A26,My_Audit!$A:$A,My_Audit!R:R,""),
_xlfn.IFS(_xlpm.MyAuditVal&lt;&gt;"",UPPER(_xlpm.MyAuditVal),_xlpm.MacVal&lt;&gt;"",_xlpm.MacVal,_xlpm.CSVVal&lt;&gt;"",_xlpm.CSVVal
)),"")</f>
        <v/>
      </c>
      <c r="X26" t="str">
        <f>_xlfn.LET(
    _xlpm.MacVal, _xlfn.XLOOKUP($A26, Output_Mac!$A:$A, Output_Mac!AB:AB, ""),
    _xlpm.MyAuditVal, _xlfn.XLOOKUP($A26, My_Audit!$A:$A, My_Audit!N:N, ""),
    _xlfn.TEXTJOIN(", ", TRUE, _xlpm.MyAuditVal, _xlpm.MacVal)
)</f>
        <v/>
      </c>
    </row>
    <row r="27" spans="1:24">
      <c r="A27" s="2" t="str">
        <f>_xlfn.TEXTJOIN("",TRUE,Input!$B$2,ROW(My_Audit!A26))</f>
        <v>X26</v>
      </c>
      <c r="B27" s="2" t="str">
        <f>_xlfn.TEXTJOIN("-",TRUE,"ITD",Input!$A$2,A27)</f>
        <v>ITD-SHR-X26</v>
      </c>
      <c r="C27" s="2" t="str" cm="1">
        <f t="array" ref="C27">IFERROR(_xlfn.LET(
_xlpm.CSVVal,_xlfn.XLOOKUP($A27,CSV!$A:$A,CSV!B:B,""),
_xlpm.MacVal,_xlfn.XLOOKUP($A27,Output_Mac!$A:$A,Output_Mac!B:B,""),
_xlpm.MyAuditVal,_xlfn.XLOOKUP($A27,My_Audit!$A:$A,My_Audit!B:B,""),
_xlfn.IFS(_xlpm.MyAuditVal&lt;&gt;"",UPPER(_xlpm.MyAuditVal),_xlpm.MacVal&lt;&gt;"",_xlpm.MacVal,_xlpm.CSVVal&lt;&gt;"",_xlpm.CSVVal
)),"")</f>
        <v/>
      </c>
      <c r="D27" s="2" t="str" cm="1">
        <f t="array" ref="D27">IFERROR(_xlfn.LET(
_xlpm.CSVVal,_xlfn.XLOOKUP($A27,CSV!$A:$A,CSV!D:D,""),
_xlpm.MacVal,_xlfn.XLOOKUP($A27,Output_Mac!$A:$A,Output_Mac!C:C,""),
_xlpm.MyAuditVal,_xlfn.XLOOKUP($A27,My_Audit!$A:$A,My_Audit!C:C,""),
_xlfn.IFS(_xlpm.MyAuditVal&lt;&gt;"",_xlpm.MyAuditVal,_xlpm.MacVal&lt;&gt;"",_xlpm.MacVal,_xlpm.CSVVal&lt;&gt;"",_xlpm.CSVVal
)),"")</f>
        <v/>
      </c>
      <c r="E27" s="2">
        <f>_xlfn.XLOOKUP(A27,My_Audit!A:A,My_Audit!D:D,"")</f>
        <v>0</v>
      </c>
      <c r="F27" s="2" t="str" cm="1">
        <f t="array" ref="F27">IFERROR(_xlfn.LET(
_xlpm.CSVVal,_xlfn.XLOOKUP($A27,CSV!$A:$A,CSV!F:F,""),
_xlpm.MacVal,_xlfn.XLOOKUP($A27,Output_Mac!$A:$A,Output_Mac!E:E,""),
_xlpm.MyAuditVal,_xlfn.XLOOKUP($A27,My_Audit!$A:$A,My_Audit!E:E,""),
_xlfn.IFS(_xlpm.MyAuditVal&lt;&gt;"",_xlpm.MyAuditVal,_xlpm.MacVal&lt;&gt;"",_xlpm.MacVal,_xlpm.CSVVal&lt;&gt;"",_xlpm.CSVVal
)),"")</f>
        <v/>
      </c>
      <c r="G27" s="2" t="str" cm="1">
        <f t="array" ref="G27">IFERROR(_xlfn.LET(
_xlpm.CSVVal,_xlfn.XLOOKUP($A27,CSV!$A:$A,CSV!G:G,""),
_xlpm.MacVal,_xlfn.XLOOKUP($A27,Output_Mac!$A:$A,Output_Mac!F:F,""),
_xlpm.MyAuditVal,_xlfn.XLOOKUP($A27,My_Audit!$A:$A,My_Audit!F:F,""),
_xlfn.IFS(_xlpm.MyAuditVal&lt;&gt;"",_xlpm.MyAuditVal,_xlpm.MacVal&lt;&gt;"",_xlpm.MacVal,_xlpm.CSVVal&lt;&gt;"",PROPER(_xlpm.CSVVal)
)),"")</f>
        <v/>
      </c>
      <c r="H27" s="2" t="str" cm="1">
        <f t="array" ref="H27">IFERROR(_xlfn.LET(
_xlpm.CSVVal,_xlfn.XLOOKUP($A27,CSV!$A:$A,CSV!H:H,""),
_xlpm.MacVal,_xlfn.XLOOKUP($A27,Output_Mac!$A:$A,Output_Mac!H:H,""),
_xlpm.MyAuditVal,_xlfn.XLOOKUP($A27,My_Audit!$A:$A,My_Audit!G:G,""),
_xlfn.IFS(_xlpm.MyAuditVal&lt;&gt;"",_xlpm.MyAuditVal,_xlpm.MacVal&lt;&gt;"",_xlpm.MacVal,_xlpm.CSVVal&lt;&gt;"",_xlpm.CSVVal
)),"")</f>
        <v/>
      </c>
      <c r="I27" s="2" t="str">
        <f>_xlfn.XLOOKUP(A27,Output_Mac!A:A,Output_Mac!I:I,"")</f>
        <v/>
      </c>
      <c r="J27" s="2" t="str" cm="1">
        <f t="array" ref="J27">IFERROR(_xlfn.LET(
_xlpm.CSVVal,_xlfn.XLOOKUP($A27,CSV!$A:$A,CSV!I:I,""),
_xlpm.MacVal,_xlfn.XLOOKUP($A27,Output_Mac!$A:$A,Output_Mac!J:J,""),
_xlpm.MyAuditVal,_xlfn.XLOOKUP($A27,My_Audit!$A:$A,My_Audit!I:I,""),
_xlfn.IFS(_xlpm.MyAuditVal&lt;&gt;"",UPPER(_xlpm.MyAuditVal),_xlpm.MacVal&lt;&gt;"",_xlpm.MacVal,_xlpm.CSVVal&lt;&gt;"",_xlpm.CSVVal
)),"")</f>
        <v/>
      </c>
      <c r="K27" s="2" t="str" cm="1">
        <f t="array" ref="K27">IFERROR(_xlfn.LET(
_xlpm.CSVVal,_xlfn.XLOOKUP($A27,CSV!$A:$A,CSV!K:K,""),
_xlpm.MacVal,_xlfn.XLOOKUP($A27,Output_Mac!$A:$A,Output_Mac!K:K,""),
_xlpm.MyAuditVal,_xlfn.XLOOKUP($A27,My_Audit!$A:$A,My_Audit!J:J,""),
_xlfn.IFS(_xlpm.MyAuditVal&lt;&gt;"",UPPER(_xlpm.MyAuditVal),_xlpm.MacVal&lt;&gt;"",_xlpm.MacVal,_xlpm.CSVVal&lt;&gt;"",_xlpm.CSVVal
)),"")</f>
        <v/>
      </c>
      <c r="L27" s="2" t="str" cm="1">
        <f t="array" ref="L27">IFERROR(_xlfn.LET(
_xlpm.CSVVal,_xlfn.XLOOKUP($A27,CSV!$A:$A,CSV!P:P,""),
_xlpm.MacVal,_xlfn.XLOOKUP($A27,Output_Mac!$A:$A,Output_Mac!L:L,""),
_xlpm.MyAuditVal,_xlfn.XLOOKUP($A27,My_Audit!$A:$A,My_Audit!K:K,""),
_xlfn.IFS(_xlpm.MyAuditVal&lt;&gt;"",UPPER(_xlpm.MyAuditVal),_xlpm.MacVal&lt;&gt;"",_xlpm.MacVal,_xlpm.CSVVal&lt;&gt;"",_xlpm.CSVVal
)),"")</f>
        <v/>
      </c>
      <c r="M27" s="2" t="str" cm="1">
        <f t="array" ref="M27">IFERROR(_xlfn.LET(
_xlpm.CSVVal,_xlfn.XLOOKUP($A27,CSV!$A:$A,CSV!Q:Q,""),
_xlpm.MacVal,_xlfn.XLOOKUP($A27,Output_Mac!$A:$A,Output_Mac!M:M,""),
_xlpm.MyAuditVal,_xlfn.XLOOKUP($A27,My_Audit!$A:$A,My_Audit!L:L,""),
_xlfn.IFS(_xlpm.MyAuditVal&lt;&gt;"",UPPER(_xlpm.MyAuditVal),_xlpm.MacVal&lt;&gt;"",_xlpm.MacVal,_xlpm.CSVVal&lt;&gt;"",_xlpm.CSVVal
)),"")</f>
        <v/>
      </c>
      <c r="O27" s="2" t="str">
        <f>_xlfn.LET(
    _xlpm.CSVVal, _xlfn.XLOOKUP($A27, CSV!$A:$A, CSV!AA:AA, ""),
    _xlpm.MacVal, _xlfn.XLOOKUP($A27, Output_Mac!$A:$A, Output_Mac!S:S, ""),
    _xlpm.MyAuditVal, _xlfn.XLOOKUP($A27, My_Audit!$A:$A, My_Audit!P:P, ""),
    _xlfn.TEXTJOIN(", ", TRUE, _xlpm.MyAuditVal, _xlpm.MacVal, _xlpm.CSVVal)
)</f>
        <v/>
      </c>
      <c r="P27" s="2" t="str" cm="1">
        <f t="array" ref="P27">IFERROR(_xlfn.LET(
_xlpm.CSVVal,_xlfn.XLOOKUP($A27,CSV!$A:$A,CSV!AB:AB,""),
_xlpm.MacVal,_xlfn.XLOOKUP($A27,Output_Mac!$A:$A,Output_Mac!T:T,""),
_xlpm.MyAuditVal,_xlfn.XLOOKUP($A27,My_Audit!$A:$A,My_Audit!Q:Q,""),
_xlfn.IFS(_xlpm.MyAuditVal&lt;&gt;"",UPPER(_xlpm.MyAuditVal),_xlpm.MacVal&lt;&gt;"",_xlpm.MacVal,_xlpm.CSVVal&lt;&gt;"",_xlpm.CSVVal
)),"No")</f>
        <v>No</v>
      </c>
      <c r="Q27" s="2" t="str" cm="1">
        <f t="array" ref="Q27">IFERROR(_xlfn.LET(
_xlpm.CSVVal,_xlfn.XLOOKUP($A27,CSV!$A:$A,CSV!AC:AC,""),
_xlpm.MacVal,_xlfn.XLOOKUP($A27,Output_Mac!$A:$A,Output_Mac!U:U,""),
_xlpm.MyAuditVal,_xlfn.XLOOKUP($A27,My_Audit!$A:$A,My_Audit!R:R,""),
_xlfn.IFS(_xlpm.MyAuditVal&lt;&gt;"",UPPER(_xlpm.MyAuditVal),_xlpm.MacVal&lt;&gt;"",_xlpm.MacVal,_xlpm.CSVVal&lt;&gt;"",_xlpm.CSVVal
)),"")</f>
        <v/>
      </c>
      <c r="X27" t="str">
        <f>_xlfn.LET(
    _xlpm.MacVal, _xlfn.XLOOKUP($A27, Output_Mac!$A:$A, Output_Mac!AB:AB, ""),
    _xlpm.MyAuditVal, _xlfn.XLOOKUP($A27, My_Audit!$A:$A, My_Audit!N:N, ""),
    _xlfn.TEXTJOIN(", ", TRUE, _xlpm.MyAuditVal, _xlpm.MacVal)
)</f>
        <v/>
      </c>
    </row>
    <row r="28" spans="1:24">
      <c r="A28" s="2" t="str">
        <f>_xlfn.TEXTJOIN("",TRUE,Input!$B$2,ROW(My_Audit!A27))</f>
        <v>X27</v>
      </c>
      <c r="B28" s="2" t="str">
        <f>_xlfn.TEXTJOIN("-",TRUE,"ITD",Input!$A$2,A28)</f>
        <v>ITD-SHR-X27</v>
      </c>
      <c r="C28" s="2" t="str" cm="1">
        <f t="array" ref="C28">IFERROR(_xlfn.LET(
_xlpm.CSVVal,_xlfn.XLOOKUP($A28,CSV!$A:$A,CSV!B:B,""),
_xlpm.MacVal,_xlfn.XLOOKUP($A28,Output_Mac!$A:$A,Output_Mac!B:B,""),
_xlpm.MyAuditVal,_xlfn.XLOOKUP($A28,My_Audit!$A:$A,My_Audit!B:B,""),
_xlfn.IFS(_xlpm.MyAuditVal&lt;&gt;"",UPPER(_xlpm.MyAuditVal),_xlpm.MacVal&lt;&gt;"",_xlpm.MacVal,_xlpm.CSVVal&lt;&gt;"",_xlpm.CSVVal
)),"")</f>
        <v/>
      </c>
      <c r="D28" s="2" t="str" cm="1">
        <f t="array" ref="D28">IFERROR(_xlfn.LET(
_xlpm.CSVVal,_xlfn.XLOOKUP($A28,CSV!$A:$A,CSV!D:D,""),
_xlpm.MacVal,_xlfn.XLOOKUP($A28,Output_Mac!$A:$A,Output_Mac!C:C,""),
_xlpm.MyAuditVal,_xlfn.XLOOKUP($A28,My_Audit!$A:$A,My_Audit!C:C,""),
_xlfn.IFS(_xlpm.MyAuditVal&lt;&gt;"",_xlpm.MyAuditVal,_xlpm.MacVal&lt;&gt;"",_xlpm.MacVal,_xlpm.CSVVal&lt;&gt;"",_xlpm.CSVVal
)),"")</f>
        <v/>
      </c>
      <c r="E28" s="2">
        <f>_xlfn.XLOOKUP(A28,My_Audit!A:A,My_Audit!D:D,"")</f>
        <v>0</v>
      </c>
      <c r="F28" s="2" t="str" cm="1">
        <f t="array" ref="F28">IFERROR(_xlfn.LET(
_xlpm.CSVVal,_xlfn.XLOOKUP($A28,CSV!$A:$A,CSV!F:F,""),
_xlpm.MacVal,_xlfn.XLOOKUP($A28,Output_Mac!$A:$A,Output_Mac!E:E,""),
_xlpm.MyAuditVal,_xlfn.XLOOKUP($A28,My_Audit!$A:$A,My_Audit!E:E,""),
_xlfn.IFS(_xlpm.MyAuditVal&lt;&gt;"",_xlpm.MyAuditVal,_xlpm.MacVal&lt;&gt;"",_xlpm.MacVal,_xlpm.CSVVal&lt;&gt;"",_xlpm.CSVVal
)),"")</f>
        <v/>
      </c>
      <c r="G28" s="2" t="str" cm="1">
        <f t="array" ref="G28">IFERROR(_xlfn.LET(
_xlpm.CSVVal,_xlfn.XLOOKUP($A28,CSV!$A:$A,CSV!G:G,""),
_xlpm.MacVal,_xlfn.XLOOKUP($A28,Output_Mac!$A:$A,Output_Mac!F:F,""),
_xlpm.MyAuditVal,_xlfn.XLOOKUP($A28,My_Audit!$A:$A,My_Audit!F:F,""),
_xlfn.IFS(_xlpm.MyAuditVal&lt;&gt;"",_xlpm.MyAuditVal,_xlpm.MacVal&lt;&gt;"",_xlpm.MacVal,_xlpm.CSVVal&lt;&gt;"",PROPER(_xlpm.CSVVal)
)),"")</f>
        <v/>
      </c>
      <c r="H28" s="2" t="str" cm="1">
        <f t="array" ref="H28">IFERROR(_xlfn.LET(
_xlpm.CSVVal,_xlfn.XLOOKUP($A28,CSV!$A:$A,CSV!H:H,""),
_xlpm.MacVal,_xlfn.XLOOKUP($A28,Output_Mac!$A:$A,Output_Mac!H:H,""),
_xlpm.MyAuditVal,_xlfn.XLOOKUP($A28,My_Audit!$A:$A,My_Audit!G:G,""),
_xlfn.IFS(_xlpm.MyAuditVal&lt;&gt;"",_xlpm.MyAuditVal,_xlpm.MacVal&lt;&gt;"",_xlpm.MacVal,_xlpm.CSVVal&lt;&gt;"",_xlpm.CSVVal
)),"")</f>
        <v/>
      </c>
      <c r="I28" s="2" t="str">
        <f>_xlfn.XLOOKUP(A28,Output_Mac!A:A,Output_Mac!I:I,"")</f>
        <v/>
      </c>
      <c r="J28" s="2" t="str" cm="1">
        <f t="array" ref="J28">IFERROR(_xlfn.LET(
_xlpm.CSVVal,_xlfn.XLOOKUP($A28,CSV!$A:$A,CSV!I:I,""),
_xlpm.MacVal,_xlfn.XLOOKUP($A28,Output_Mac!$A:$A,Output_Mac!J:J,""),
_xlpm.MyAuditVal,_xlfn.XLOOKUP($A28,My_Audit!$A:$A,My_Audit!I:I,""),
_xlfn.IFS(_xlpm.MyAuditVal&lt;&gt;"",UPPER(_xlpm.MyAuditVal),_xlpm.MacVal&lt;&gt;"",_xlpm.MacVal,_xlpm.CSVVal&lt;&gt;"",_xlpm.CSVVal
)),"")</f>
        <v/>
      </c>
      <c r="K28" s="2" t="str" cm="1">
        <f t="array" ref="K28">IFERROR(_xlfn.LET(
_xlpm.CSVVal,_xlfn.XLOOKUP($A28,CSV!$A:$A,CSV!K:K,""),
_xlpm.MacVal,_xlfn.XLOOKUP($A28,Output_Mac!$A:$A,Output_Mac!K:K,""),
_xlpm.MyAuditVal,_xlfn.XLOOKUP($A28,My_Audit!$A:$A,My_Audit!J:J,""),
_xlfn.IFS(_xlpm.MyAuditVal&lt;&gt;"",UPPER(_xlpm.MyAuditVal),_xlpm.MacVal&lt;&gt;"",_xlpm.MacVal,_xlpm.CSVVal&lt;&gt;"",_xlpm.CSVVal
)),"")</f>
        <v/>
      </c>
      <c r="L28" s="2" t="str" cm="1">
        <f t="array" ref="L28">IFERROR(_xlfn.LET(
_xlpm.CSVVal,_xlfn.XLOOKUP($A28,CSV!$A:$A,CSV!P:P,""),
_xlpm.MacVal,_xlfn.XLOOKUP($A28,Output_Mac!$A:$A,Output_Mac!L:L,""),
_xlpm.MyAuditVal,_xlfn.XLOOKUP($A28,My_Audit!$A:$A,My_Audit!K:K,""),
_xlfn.IFS(_xlpm.MyAuditVal&lt;&gt;"",UPPER(_xlpm.MyAuditVal),_xlpm.MacVal&lt;&gt;"",_xlpm.MacVal,_xlpm.CSVVal&lt;&gt;"",_xlpm.CSVVal
)),"")</f>
        <v/>
      </c>
      <c r="M28" s="2" t="str" cm="1">
        <f t="array" ref="M28">IFERROR(_xlfn.LET(
_xlpm.CSVVal,_xlfn.XLOOKUP($A28,CSV!$A:$A,CSV!Q:Q,""),
_xlpm.MacVal,_xlfn.XLOOKUP($A28,Output_Mac!$A:$A,Output_Mac!M:M,""),
_xlpm.MyAuditVal,_xlfn.XLOOKUP($A28,My_Audit!$A:$A,My_Audit!L:L,""),
_xlfn.IFS(_xlpm.MyAuditVal&lt;&gt;"",UPPER(_xlpm.MyAuditVal),_xlpm.MacVal&lt;&gt;"",_xlpm.MacVal,_xlpm.CSVVal&lt;&gt;"",_xlpm.CSVVal
)),"")</f>
        <v/>
      </c>
      <c r="O28" s="2" t="str">
        <f>_xlfn.LET(
    _xlpm.CSVVal, _xlfn.XLOOKUP($A28, CSV!$A:$A, CSV!AA:AA, ""),
    _xlpm.MacVal, _xlfn.XLOOKUP($A28, Output_Mac!$A:$A, Output_Mac!S:S, ""),
    _xlpm.MyAuditVal, _xlfn.XLOOKUP($A28, My_Audit!$A:$A, My_Audit!P:P, ""),
    _xlfn.TEXTJOIN(", ", TRUE, _xlpm.MyAuditVal, _xlpm.MacVal, _xlpm.CSVVal)
)</f>
        <v/>
      </c>
      <c r="P28" s="2" t="str" cm="1">
        <f t="array" ref="P28">IFERROR(_xlfn.LET(
_xlpm.CSVVal,_xlfn.XLOOKUP($A28,CSV!$A:$A,CSV!AB:AB,""),
_xlpm.MacVal,_xlfn.XLOOKUP($A28,Output_Mac!$A:$A,Output_Mac!T:T,""),
_xlpm.MyAuditVal,_xlfn.XLOOKUP($A28,My_Audit!$A:$A,My_Audit!Q:Q,""),
_xlfn.IFS(_xlpm.MyAuditVal&lt;&gt;"",UPPER(_xlpm.MyAuditVal),_xlpm.MacVal&lt;&gt;"",_xlpm.MacVal,_xlpm.CSVVal&lt;&gt;"",_xlpm.CSVVal
)),"No")</f>
        <v>No</v>
      </c>
      <c r="Q28" s="2" t="str" cm="1">
        <f t="array" ref="Q28">IFERROR(_xlfn.LET(
_xlpm.CSVVal,_xlfn.XLOOKUP($A28,CSV!$A:$A,CSV!AC:AC,""),
_xlpm.MacVal,_xlfn.XLOOKUP($A28,Output_Mac!$A:$A,Output_Mac!U:U,""),
_xlpm.MyAuditVal,_xlfn.XLOOKUP($A28,My_Audit!$A:$A,My_Audit!R:R,""),
_xlfn.IFS(_xlpm.MyAuditVal&lt;&gt;"",UPPER(_xlpm.MyAuditVal),_xlpm.MacVal&lt;&gt;"",_xlpm.MacVal,_xlpm.CSVVal&lt;&gt;"",_xlpm.CSVVal
)),"")</f>
        <v/>
      </c>
      <c r="X28" t="str">
        <f>_xlfn.LET(
    _xlpm.MacVal, _xlfn.XLOOKUP($A28, Output_Mac!$A:$A, Output_Mac!AB:AB, ""),
    _xlpm.MyAuditVal, _xlfn.XLOOKUP($A28, My_Audit!$A:$A, My_Audit!N:N, ""),
    _xlfn.TEXTJOIN(", ", TRUE, _xlpm.MyAuditVal, _xlpm.MacVal)
)</f>
        <v/>
      </c>
    </row>
    <row r="29" spans="1:24">
      <c r="A29" s="2" t="str">
        <f>_xlfn.TEXTJOIN("",TRUE,Input!$B$2,ROW(My_Audit!A28))</f>
        <v>X28</v>
      </c>
      <c r="B29" s="2" t="str">
        <f>_xlfn.TEXTJOIN("-",TRUE,"ITD",Input!$A$2,A29)</f>
        <v>ITD-SHR-X28</v>
      </c>
      <c r="C29" s="2" t="str" cm="1">
        <f t="array" ref="C29">IFERROR(_xlfn.LET(
_xlpm.CSVVal,_xlfn.XLOOKUP($A29,CSV!$A:$A,CSV!B:B,""),
_xlpm.MacVal,_xlfn.XLOOKUP($A29,Output_Mac!$A:$A,Output_Mac!B:B,""),
_xlpm.MyAuditVal,_xlfn.XLOOKUP($A29,My_Audit!$A:$A,My_Audit!B:B,""),
_xlfn.IFS(_xlpm.MyAuditVal&lt;&gt;"",UPPER(_xlpm.MyAuditVal),_xlpm.MacVal&lt;&gt;"",_xlpm.MacVal,_xlpm.CSVVal&lt;&gt;"",_xlpm.CSVVal
)),"")</f>
        <v/>
      </c>
      <c r="D29" s="2" t="str" cm="1">
        <f t="array" ref="D29">IFERROR(_xlfn.LET(
_xlpm.CSVVal,_xlfn.XLOOKUP($A29,CSV!$A:$A,CSV!D:D,""),
_xlpm.MacVal,_xlfn.XLOOKUP($A29,Output_Mac!$A:$A,Output_Mac!C:C,""),
_xlpm.MyAuditVal,_xlfn.XLOOKUP($A29,My_Audit!$A:$A,My_Audit!C:C,""),
_xlfn.IFS(_xlpm.MyAuditVal&lt;&gt;"",_xlpm.MyAuditVal,_xlpm.MacVal&lt;&gt;"",_xlpm.MacVal,_xlpm.CSVVal&lt;&gt;"",_xlpm.CSVVal
)),"")</f>
        <v/>
      </c>
      <c r="E29" s="2">
        <f>_xlfn.XLOOKUP(A29,My_Audit!A:A,My_Audit!D:D,"")</f>
        <v>0</v>
      </c>
      <c r="F29" s="2" t="str" cm="1">
        <f t="array" ref="F29">IFERROR(_xlfn.LET(
_xlpm.CSVVal,_xlfn.XLOOKUP($A29,CSV!$A:$A,CSV!F:F,""),
_xlpm.MacVal,_xlfn.XLOOKUP($A29,Output_Mac!$A:$A,Output_Mac!E:E,""),
_xlpm.MyAuditVal,_xlfn.XLOOKUP($A29,My_Audit!$A:$A,My_Audit!E:E,""),
_xlfn.IFS(_xlpm.MyAuditVal&lt;&gt;"",_xlpm.MyAuditVal,_xlpm.MacVal&lt;&gt;"",_xlpm.MacVal,_xlpm.CSVVal&lt;&gt;"",_xlpm.CSVVal
)),"")</f>
        <v/>
      </c>
      <c r="G29" s="2" t="str" cm="1">
        <f t="array" ref="G29">IFERROR(_xlfn.LET(
_xlpm.CSVVal,_xlfn.XLOOKUP($A29,CSV!$A:$A,CSV!G:G,""),
_xlpm.MacVal,_xlfn.XLOOKUP($A29,Output_Mac!$A:$A,Output_Mac!F:F,""),
_xlpm.MyAuditVal,_xlfn.XLOOKUP($A29,My_Audit!$A:$A,My_Audit!F:F,""),
_xlfn.IFS(_xlpm.MyAuditVal&lt;&gt;"",_xlpm.MyAuditVal,_xlpm.MacVal&lt;&gt;"",_xlpm.MacVal,_xlpm.CSVVal&lt;&gt;"",PROPER(_xlpm.CSVVal)
)),"")</f>
        <v/>
      </c>
      <c r="H29" s="2" t="str" cm="1">
        <f t="array" ref="H29">IFERROR(_xlfn.LET(
_xlpm.CSVVal,_xlfn.XLOOKUP($A29,CSV!$A:$A,CSV!H:H,""),
_xlpm.MacVal,_xlfn.XLOOKUP($A29,Output_Mac!$A:$A,Output_Mac!H:H,""),
_xlpm.MyAuditVal,_xlfn.XLOOKUP($A29,My_Audit!$A:$A,My_Audit!G:G,""),
_xlfn.IFS(_xlpm.MyAuditVal&lt;&gt;"",_xlpm.MyAuditVal,_xlpm.MacVal&lt;&gt;"",_xlpm.MacVal,_xlpm.CSVVal&lt;&gt;"",_xlpm.CSVVal
)),"")</f>
        <v/>
      </c>
      <c r="I29" s="2" t="str">
        <f>_xlfn.XLOOKUP(A29,Output_Mac!A:A,Output_Mac!I:I,"")</f>
        <v/>
      </c>
      <c r="J29" s="2" t="str" cm="1">
        <f t="array" ref="J29">IFERROR(_xlfn.LET(
_xlpm.CSVVal,_xlfn.XLOOKUP($A29,CSV!$A:$A,CSV!I:I,""),
_xlpm.MacVal,_xlfn.XLOOKUP($A29,Output_Mac!$A:$A,Output_Mac!J:J,""),
_xlpm.MyAuditVal,_xlfn.XLOOKUP($A29,My_Audit!$A:$A,My_Audit!I:I,""),
_xlfn.IFS(_xlpm.MyAuditVal&lt;&gt;"",UPPER(_xlpm.MyAuditVal),_xlpm.MacVal&lt;&gt;"",_xlpm.MacVal,_xlpm.CSVVal&lt;&gt;"",_xlpm.CSVVal
)),"")</f>
        <v/>
      </c>
      <c r="K29" s="2" t="str" cm="1">
        <f t="array" ref="K29">IFERROR(_xlfn.LET(
_xlpm.CSVVal,_xlfn.XLOOKUP($A29,CSV!$A:$A,CSV!K:K,""),
_xlpm.MacVal,_xlfn.XLOOKUP($A29,Output_Mac!$A:$A,Output_Mac!K:K,""),
_xlpm.MyAuditVal,_xlfn.XLOOKUP($A29,My_Audit!$A:$A,My_Audit!J:J,""),
_xlfn.IFS(_xlpm.MyAuditVal&lt;&gt;"",UPPER(_xlpm.MyAuditVal),_xlpm.MacVal&lt;&gt;"",_xlpm.MacVal,_xlpm.CSVVal&lt;&gt;"",_xlpm.CSVVal
)),"")</f>
        <v/>
      </c>
      <c r="L29" s="2" t="str" cm="1">
        <f t="array" ref="L29">IFERROR(_xlfn.LET(
_xlpm.CSVVal,_xlfn.XLOOKUP($A29,CSV!$A:$A,CSV!P:P,""),
_xlpm.MacVal,_xlfn.XLOOKUP($A29,Output_Mac!$A:$A,Output_Mac!L:L,""),
_xlpm.MyAuditVal,_xlfn.XLOOKUP($A29,My_Audit!$A:$A,My_Audit!K:K,""),
_xlfn.IFS(_xlpm.MyAuditVal&lt;&gt;"",UPPER(_xlpm.MyAuditVal),_xlpm.MacVal&lt;&gt;"",_xlpm.MacVal,_xlpm.CSVVal&lt;&gt;"",_xlpm.CSVVal
)),"")</f>
        <v/>
      </c>
      <c r="M29" s="2" t="str" cm="1">
        <f t="array" ref="M29">IFERROR(_xlfn.LET(
_xlpm.CSVVal,_xlfn.XLOOKUP($A29,CSV!$A:$A,CSV!Q:Q,""),
_xlpm.MacVal,_xlfn.XLOOKUP($A29,Output_Mac!$A:$A,Output_Mac!M:M,""),
_xlpm.MyAuditVal,_xlfn.XLOOKUP($A29,My_Audit!$A:$A,My_Audit!L:L,""),
_xlfn.IFS(_xlpm.MyAuditVal&lt;&gt;"",UPPER(_xlpm.MyAuditVal),_xlpm.MacVal&lt;&gt;"",_xlpm.MacVal,_xlpm.CSVVal&lt;&gt;"",_xlpm.CSVVal
)),"")</f>
        <v/>
      </c>
      <c r="O29" s="2" t="str">
        <f>_xlfn.LET(
    _xlpm.CSVVal, _xlfn.XLOOKUP($A29, CSV!$A:$A, CSV!AA:AA, ""),
    _xlpm.MacVal, _xlfn.XLOOKUP($A29, Output_Mac!$A:$A, Output_Mac!S:S, ""),
    _xlpm.MyAuditVal, _xlfn.XLOOKUP($A29, My_Audit!$A:$A, My_Audit!P:P, ""),
    _xlfn.TEXTJOIN(", ", TRUE, _xlpm.MyAuditVal, _xlpm.MacVal, _xlpm.CSVVal)
)</f>
        <v/>
      </c>
      <c r="P29" s="2" t="str" cm="1">
        <f t="array" ref="P29">IFERROR(_xlfn.LET(
_xlpm.CSVVal,_xlfn.XLOOKUP($A29,CSV!$A:$A,CSV!AB:AB,""),
_xlpm.MacVal,_xlfn.XLOOKUP($A29,Output_Mac!$A:$A,Output_Mac!T:T,""),
_xlpm.MyAuditVal,_xlfn.XLOOKUP($A29,My_Audit!$A:$A,My_Audit!Q:Q,""),
_xlfn.IFS(_xlpm.MyAuditVal&lt;&gt;"",UPPER(_xlpm.MyAuditVal),_xlpm.MacVal&lt;&gt;"",_xlpm.MacVal,_xlpm.CSVVal&lt;&gt;"",_xlpm.CSVVal
)),"No")</f>
        <v>No</v>
      </c>
      <c r="Q29" s="2" t="str" cm="1">
        <f t="array" ref="Q29">IFERROR(_xlfn.LET(
_xlpm.CSVVal,_xlfn.XLOOKUP($A29,CSV!$A:$A,CSV!AC:AC,""),
_xlpm.MacVal,_xlfn.XLOOKUP($A29,Output_Mac!$A:$A,Output_Mac!U:U,""),
_xlpm.MyAuditVal,_xlfn.XLOOKUP($A29,My_Audit!$A:$A,My_Audit!R:R,""),
_xlfn.IFS(_xlpm.MyAuditVal&lt;&gt;"",UPPER(_xlpm.MyAuditVal),_xlpm.MacVal&lt;&gt;"",_xlpm.MacVal,_xlpm.CSVVal&lt;&gt;"",_xlpm.CSVVal
)),"")</f>
        <v/>
      </c>
      <c r="X29" t="str">
        <f>_xlfn.LET(
    _xlpm.MacVal, _xlfn.XLOOKUP($A29, Output_Mac!$A:$A, Output_Mac!AB:AB, ""),
    _xlpm.MyAuditVal, _xlfn.XLOOKUP($A29, My_Audit!$A:$A, My_Audit!N:N, ""),
    _xlfn.TEXTJOIN(", ", TRUE, _xlpm.MyAuditVal, _xlpm.MacVal)
)</f>
        <v/>
      </c>
    </row>
    <row r="30" spans="1:24">
      <c r="A30" s="2" t="str">
        <f>_xlfn.TEXTJOIN("",TRUE,Input!$B$2,ROW(My_Audit!A29))</f>
        <v>X29</v>
      </c>
      <c r="B30" s="2" t="str">
        <f>_xlfn.TEXTJOIN("-",TRUE,"ITD",Input!$A$2,A30)</f>
        <v>ITD-SHR-X29</v>
      </c>
      <c r="C30" s="2" t="str" cm="1">
        <f t="array" ref="C30">IFERROR(_xlfn.LET(
_xlpm.CSVVal,_xlfn.XLOOKUP($A30,CSV!$A:$A,CSV!B:B,""),
_xlpm.MacVal,_xlfn.XLOOKUP($A30,Output_Mac!$A:$A,Output_Mac!B:B,""),
_xlpm.MyAuditVal,_xlfn.XLOOKUP($A30,My_Audit!$A:$A,My_Audit!B:B,""),
_xlfn.IFS(_xlpm.MyAuditVal&lt;&gt;"",UPPER(_xlpm.MyAuditVal),_xlpm.MacVal&lt;&gt;"",_xlpm.MacVal,_xlpm.CSVVal&lt;&gt;"",_xlpm.CSVVal
)),"")</f>
        <v/>
      </c>
      <c r="D30" s="2" t="str" cm="1">
        <f t="array" ref="D30">IFERROR(_xlfn.LET(
_xlpm.CSVVal,_xlfn.XLOOKUP($A30,CSV!$A:$A,CSV!D:D,""),
_xlpm.MacVal,_xlfn.XLOOKUP($A30,Output_Mac!$A:$A,Output_Mac!C:C,""),
_xlpm.MyAuditVal,_xlfn.XLOOKUP($A30,My_Audit!$A:$A,My_Audit!C:C,""),
_xlfn.IFS(_xlpm.MyAuditVal&lt;&gt;"",_xlpm.MyAuditVal,_xlpm.MacVal&lt;&gt;"",_xlpm.MacVal,_xlpm.CSVVal&lt;&gt;"",_xlpm.CSVVal
)),"")</f>
        <v/>
      </c>
      <c r="E30" s="2">
        <f>_xlfn.XLOOKUP(A30,My_Audit!A:A,My_Audit!D:D,"")</f>
        <v>0</v>
      </c>
      <c r="F30" s="2" t="str" cm="1">
        <f t="array" ref="F30">IFERROR(_xlfn.LET(
_xlpm.CSVVal,_xlfn.XLOOKUP($A30,CSV!$A:$A,CSV!F:F,""),
_xlpm.MacVal,_xlfn.XLOOKUP($A30,Output_Mac!$A:$A,Output_Mac!E:E,""),
_xlpm.MyAuditVal,_xlfn.XLOOKUP($A30,My_Audit!$A:$A,My_Audit!E:E,""),
_xlfn.IFS(_xlpm.MyAuditVal&lt;&gt;"",_xlpm.MyAuditVal,_xlpm.MacVal&lt;&gt;"",_xlpm.MacVal,_xlpm.CSVVal&lt;&gt;"",_xlpm.CSVVal
)),"")</f>
        <v/>
      </c>
      <c r="G30" s="2" t="str" cm="1">
        <f t="array" ref="G30">IFERROR(_xlfn.LET(
_xlpm.CSVVal,_xlfn.XLOOKUP($A30,CSV!$A:$A,CSV!G:G,""),
_xlpm.MacVal,_xlfn.XLOOKUP($A30,Output_Mac!$A:$A,Output_Mac!F:F,""),
_xlpm.MyAuditVal,_xlfn.XLOOKUP($A30,My_Audit!$A:$A,My_Audit!F:F,""),
_xlfn.IFS(_xlpm.MyAuditVal&lt;&gt;"",_xlpm.MyAuditVal,_xlpm.MacVal&lt;&gt;"",_xlpm.MacVal,_xlpm.CSVVal&lt;&gt;"",PROPER(_xlpm.CSVVal)
)),"")</f>
        <v/>
      </c>
      <c r="H30" s="2" t="str" cm="1">
        <f t="array" ref="H30">IFERROR(_xlfn.LET(
_xlpm.CSVVal,_xlfn.XLOOKUP($A30,CSV!$A:$A,CSV!H:H,""),
_xlpm.MacVal,_xlfn.XLOOKUP($A30,Output_Mac!$A:$A,Output_Mac!H:H,""),
_xlpm.MyAuditVal,_xlfn.XLOOKUP($A30,My_Audit!$A:$A,My_Audit!G:G,""),
_xlfn.IFS(_xlpm.MyAuditVal&lt;&gt;"",_xlpm.MyAuditVal,_xlpm.MacVal&lt;&gt;"",_xlpm.MacVal,_xlpm.CSVVal&lt;&gt;"",_xlpm.CSVVal
)),"")</f>
        <v/>
      </c>
      <c r="I30" s="2" t="str">
        <f>_xlfn.XLOOKUP(A30,Output_Mac!A:A,Output_Mac!I:I,"")</f>
        <v/>
      </c>
      <c r="J30" s="2" t="str" cm="1">
        <f t="array" ref="J30">IFERROR(_xlfn.LET(
_xlpm.CSVVal,_xlfn.XLOOKUP($A30,CSV!$A:$A,CSV!I:I,""),
_xlpm.MacVal,_xlfn.XLOOKUP($A30,Output_Mac!$A:$A,Output_Mac!J:J,""),
_xlpm.MyAuditVal,_xlfn.XLOOKUP($A30,My_Audit!$A:$A,My_Audit!I:I,""),
_xlfn.IFS(_xlpm.MyAuditVal&lt;&gt;"",UPPER(_xlpm.MyAuditVal),_xlpm.MacVal&lt;&gt;"",_xlpm.MacVal,_xlpm.CSVVal&lt;&gt;"",_xlpm.CSVVal
)),"")</f>
        <v/>
      </c>
      <c r="K30" s="2" t="str" cm="1">
        <f t="array" ref="K30">IFERROR(_xlfn.LET(
_xlpm.CSVVal,_xlfn.XLOOKUP($A30,CSV!$A:$A,CSV!K:K,""),
_xlpm.MacVal,_xlfn.XLOOKUP($A30,Output_Mac!$A:$A,Output_Mac!K:K,""),
_xlpm.MyAuditVal,_xlfn.XLOOKUP($A30,My_Audit!$A:$A,My_Audit!J:J,""),
_xlfn.IFS(_xlpm.MyAuditVal&lt;&gt;"",UPPER(_xlpm.MyAuditVal),_xlpm.MacVal&lt;&gt;"",_xlpm.MacVal,_xlpm.CSVVal&lt;&gt;"",_xlpm.CSVVal
)),"")</f>
        <v/>
      </c>
      <c r="L30" s="2" t="str" cm="1">
        <f t="array" ref="L30">IFERROR(_xlfn.LET(
_xlpm.CSVVal,_xlfn.XLOOKUP($A30,CSV!$A:$A,CSV!P:P,""),
_xlpm.MacVal,_xlfn.XLOOKUP($A30,Output_Mac!$A:$A,Output_Mac!L:L,""),
_xlpm.MyAuditVal,_xlfn.XLOOKUP($A30,My_Audit!$A:$A,My_Audit!K:K,""),
_xlfn.IFS(_xlpm.MyAuditVal&lt;&gt;"",UPPER(_xlpm.MyAuditVal),_xlpm.MacVal&lt;&gt;"",_xlpm.MacVal,_xlpm.CSVVal&lt;&gt;"",_xlpm.CSVVal
)),"")</f>
        <v/>
      </c>
      <c r="M30" s="2" t="str" cm="1">
        <f t="array" ref="M30">IFERROR(_xlfn.LET(
_xlpm.CSVVal,_xlfn.XLOOKUP($A30,CSV!$A:$A,CSV!Q:Q,""),
_xlpm.MacVal,_xlfn.XLOOKUP($A30,Output_Mac!$A:$A,Output_Mac!M:M,""),
_xlpm.MyAuditVal,_xlfn.XLOOKUP($A30,My_Audit!$A:$A,My_Audit!L:L,""),
_xlfn.IFS(_xlpm.MyAuditVal&lt;&gt;"",UPPER(_xlpm.MyAuditVal),_xlpm.MacVal&lt;&gt;"",_xlpm.MacVal,_xlpm.CSVVal&lt;&gt;"",_xlpm.CSVVal
)),"")</f>
        <v/>
      </c>
      <c r="O30" s="2" t="str">
        <f>_xlfn.LET(
    _xlpm.CSVVal, _xlfn.XLOOKUP($A30, CSV!$A:$A, CSV!AA:AA, ""),
    _xlpm.MacVal, _xlfn.XLOOKUP($A30, Output_Mac!$A:$A, Output_Mac!S:S, ""),
    _xlpm.MyAuditVal, _xlfn.XLOOKUP($A30, My_Audit!$A:$A, My_Audit!P:P, ""),
    _xlfn.TEXTJOIN(", ", TRUE, _xlpm.MyAuditVal, _xlpm.MacVal, _xlpm.CSVVal)
)</f>
        <v/>
      </c>
      <c r="P30" s="2" t="str" cm="1">
        <f t="array" ref="P30">IFERROR(_xlfn.LET(
_xlpm.CSVVal,_xlfn.XLOOKUP($A30,CSV!$A:$A,CSV!AB:AB,""),
_xlpm.MacVal,_xlfn.XLOOKUP($A30,Output_Mac!$A:$A,Output_Mac!T:T,""),
_xlpm.MyAuditVal,_xlfn.XLOOKUP($A30,My_Audit!$A:$A,My_Audit!Q:Q,""),
_xlfn.IFS(_xlpm.MyAuditVal&lt;&gt;"",UPPER(_xlpm.MyAuditVal),_xlpm.MacVal&lt;&gt;"",_xlpm.MacVal,_xlpm.CSVVal&lt;&gt;"",_xlpm.CSVVal
)),"No")</f>
        <v>No</v>
      </c>
      <c r="Q30" s="2" t="str" cm="1">
        <f t="array" ref="Q30">IFERROR(_xlfn.LET(
_xlpm.CSVVal,_xlfn.XLOOKUP($A30,CSV!$A:$A,CSV!AC:AC,""),
_xlpm.MacVal,_xlfn.XLOOKUP($A30,Output_Mac!$A:$A,Output_Mac!U:U,""),
_xlpm.MyAuditVal,_xlfn.XLOOKUP($A30,My_Audit!$A:$A,My_Audit!R:R,""),
_xlfn.IFS(_xlpm.MyAuditVal&lt;&gt;"",UPPER(_xlpm.MyAuditVal),_xlpm.MacVal&lt;&gt;"",_xlpm.MacVal,_xlpm.CSVVal&lt;&gt;"",_xlpm.CSVVal
)),"")</f>
        <v/>
      </c>
      <c r="X30" t="str">
        <f>_xlfn.LET(
    _xlpm.MacVal, _xlfn.XLOOKUP($A30, Output_Mac!$A:$A, Output_Mac!AB:AB, ""),
    _xlpm.MyAuditVal, _xlfn.XLOOKUP($A30, My_Audit!$A:$A, My_Audit!N:N, ""),
    _xlfn.TEXTJOIN(", ", TRUE, _xlpm.MyAuditVal, _xlpm.MacVal)
)</f>
        <v/>
      </c>
    </row>
    <row r="31" spans="1:24">
      <c r="A31" s="2" t="str">
        <f>_xlfn.TEXTJOIN("",TRUE,Input!$B$2,ROW(My_Audit!A30))</f>
        <v>X30</v>
      </c>
      <c r="B31" s="2" t="str">
        <f>_xlfn.TEXTJOIN("-",TRUE,"ITD",Input!$A$2,A31)</f>
        <v>ITD-SHR-X30</v>
      </c>
      <c r="C31" s="2" t="str" cm="1">
        <f t="array" ref="C31">IFERROR(_xlfn.LET(
_xlpm.CSVVal,_xlfn.XLOOKUP($A31,CSV!$A:$A,CSV!B:B,""),
_xlpm.MacVal,_xlfn.XLOOKUP($A31,Output_Mac!$A:$A,Output_Mac!B:B,""),
_xlpm.MyAuditVal,_xlfn.XLOOKUP($A31,My_Audit!$A:$A,My_Audit!B:B,""),
_xlfn.IFS(_xlpm.MyAuditVal&lt;&gt;"",UPPER(_xlpm.MyAuditVal),_xlpm.MacVal&lt;&gt;"",_xlpm.MacVal,_xlpm.CSVVal&lt;&gt;"",_xlpm.CSVVal
)),"")</f>
        <v/>
      </c>
      <c r="D31" s="2" t="str" cm="1">
        <f t="array" ref="D31">IFERROR(_xlfn.LET(
_xlpm.CSVVal,_xlfn.XLOOKUP($A31,CSV!$A:$A,CSV!D:D,""),
_xlpm.MacVal,_xlfn.XLOOKUP($A31,Output_Mac!$A:$A,Output_Mac!C:C,""),
_xlpm.MyAuditVal,_xlfn.XLOOKUP($A31,My_Audit!$A:$A,My_Audit!C:C,""),
_xlfn.IFS(_xlpm.MyAuditVal&lt;&gt;"",_xlpm.MyAuditVal,_xlpm.MacVal&lt;&gt;"",_xlpm.MacVal,_xlpm.CSVVal&lt;&gt;"",_xlpm.CSVVal
)),"")</f>
        <v/>
      </c>
      <c r="E31" s="2">
        <f>_xlfn.XLOOKUP(A31,My_Audit!A:A,My_Audit!D:D,"")</f>
        <v>0</v>
      </c>
      <c r="F31" s="2" t="str" cm="1">
        <f t="array" ref="F31">IFERROR(_xlfn.LET(
_xlpm.CSVVal,_xlfn.XLOOKUP($A31,CSV!$A:$A,CSV!F:F,""),
_xlpm.MacVal,_xlfn.XLOOKUP($A31,Output_Mac!$A:$A,Output_Mac!E:E,""),
_xlpm.MyAuditVal,_xlfn.XLOOKUP($A31,My_Audit!$A:$A,My_Audit!E:E,""),
_xlfn.IFS(_xlpm.MyAuditVal&lt;&gt;"",_xlpm.MyAuditVal,_xlpm.MacVal&lt;&gt;"",_xlpm.MacVal,_xlpm.CSVVal&lt;&gt;"",_xlpm.CSVVal
)),"")</f>
        <v/>
      </c>
      <c r="G31" s="2" t="str" cm="1">
        <f t="array" ref="G31">IFERROR(_xlfn.LET(
_xlpm.CSVVal,_xlfn.XLOOKUP($A31,CSV!$A:$A,CSV!G:G,""),
_xlpm.MacVal,_xlfn.XLOOKUP($A31,Output_Mac!$A:$A,Output_Mac!F:F,""),
_xlpm.MyAuditVal,_xlfn.XLOOKUP($A31,My_Audit!$A:$A,My_Audit!F:F,""),
_xlfn.IFS(_xlpm.MyAuditVal&lt;&gt;"",_xlpm.MyAuditVal,_xlpm.MacVal&lt;&gt;"",_xlpm.MacVal,_xlpm.CSVVal&lt;&gt;"",PROPER(_xlpm.CSVVal)
)),"")</f>
        <v/>
      </c>
      <c r="H31" s="2" t="str" cm="1">
        <f t="array" ref="H31">IFERROR(_xlfn.LET(
_xlpm.CSVVal,_xlfn.XLOOKUP($A31,CSV!$A:$A,CSV!H:H,""),
_xlpm.MacVal,_xlfn.XLOOKUP($A31,Output_Mac!$A:$A,Output_Mac!H:H,""),
_xlpm.MyAuditVal,_xlfn.XLOOKUP($A31,My_Audit!$A:$A,My_Audit!G:G,""),
_xlfn.IFS(_xlpm.MyAuditVal&lt;&gt;"",_xlpm.MyAuditVal,_xlpm.MacVal&lt;&gt;"",_xlpm.MacVal,_xlpm.CSVVal&lt;&gt;"",_xlpm.CSVVal
)),"")</f>
        <v/>
      </c>
      <c r="I31" s="2" t="str">
        <f>_xlfn.XLOOKUP(A31,Output_Mac!A:A,Output_Mac!I:I,"")</f>
        <v/>
      </c>
      <c r="J31" s="2" t="str" cm="1">
        <f t="array" ref="J31">IFERROR(_xlfn.LET(
_xlpm.CSVVal,_xlfn.XLOOKUP($A31,CSV!$A:$A,CSV!I:I,""),
_xlpm.MacVal,_xlfn.XLOOKUP($A31,Output_Mac!$A:$A,Output_Mac!J:J,""),
_xlpm.MyAuditVal,_xlfn.XLOOKUP($A31,My_Audit!$A:$A,My_Audit!I:I,""),
_xlfn.IFS(_xlpm.MyAuditVal&lt;&gt;"",UPPER(_xlpm.MyAuditVal),_xlpm.MacVal&lt;&gt;"",_xlpm.MacVal,_xlpm.CSVVal&lt;&gt;"",_xlpm.CSVVal
)),"")</f>
        <v/>
      </c>
      <c r="K31" s="2" t="str" cm="1">
        <f t="array" ref="K31">IFERROR(_xlfn.LET(
_xlpm.CSVVal,_xlfn.XLOOKUP($A31,CSV!$A:$A,CSV!K:K,""),
_xlpm.MacVal,_xlfn.XLOOKUP($A31,Output_Mac!$A:$A,Output_Mac!K:K,""),
_xlpm.MyAuditVal,_xlfn.XLOOKUP($A31,My_Audit!$A:$A,My_Audit!J:J,""),
_xlfn.IFS(_xlpm.MyAuditVal&lt;&gt;"",UPPER(_xlpm.MyAuditVal),_xlpm.MacVal&lt;&gt;"",_xlpm.MacVal,_xlpm.CSVVal&lt;&gt;"",_xlpm.CSVVal
)),"")</f>
        <v/>
      </c>
      <c r="L31" s="2" t="str" cm="1">
        <f t="array" ref="L31">IFERROR(_xlfn.LET(
_xlpm.CSVVal,_xlfn.XLOOKUP($A31,CSV!$A:$A,CSV!P:P,""),
_xlpm.MacVal,_xlfn.XLOOKUP($A31,Output_Mac!$A:$A,Output_Mac!L:L,""),
_xlpm.MyAuditVal,_xlfn.XLOOKUP($A31,My_Audit!$A:$A,My_Audit!K:K,""),
_xlfn.IFS(_xlpm.MyAuditVal&lt;&gt;"",UPPER(_xlpm.MyAuditVal),_xlpm.MacVal&lt;&gt;"",_xlpm.MacVal,_xlpm.CSVVal&lt;&gt;"",_xlpm.CSVVal
)),"")</f>
        <v/>
      </c>
      <c r="M31" s="2" t="str" cm="1">
        <f t="array" ref="M31">IFERROR(_xlfn.LET(
_xlpm.CSVVal,_xlfn.XLOOKUP($A31,CSV!$A:$A,CSV!Q:Q,""),
_xlpm.MacVal,_xlfn.XLOOKUP($A31,Output_Mac!$A:$A,Output_Mac!M:M,""),
_xlpm.MyAuditVal,_xlfn.XLOOKUP($A31,My_Audit!$A:$A,My_Audit!L:L,""),
_xlfn.IFS(_xlpm.MyAuditVal&lt;&gt;"",UPPER(_xlpm.MyAuditVal),_xlpm.MacVal&lt;&gt;"",_xlpm.MacVal,_xlpm.CSVVal&lt;&gt;"",_xlpm.CSVVal
)),"")</f>
        <v/>
      </c>
      <c r="O31" s="2" t="str">
        <f>_xlfn.LET(
    _xlpm.CSVVal, _xlfn.XLOOKUP($A31, CSV!$A:$A, CSV!AA:AA, ""),
    _xlpm.MacVal, _xlfn.XLOOKUP($A31, Output_Mac!$A:$A, Output_Mac!S:S, ""),
    _xlpm.MyAuditVal, _xlfn.XLOOKUP($A31, My_Audit!$A:$A, My_Audit!P:P, ""),
    _xlfn.TEXTJOIN(", ", TRUE, _xlpm.MyAuditVal, _xlpm.MacVal, _xlpm.CSVVal)
)</f>
        <v/>
      </c>
      <c r="P31" s="2" t="str" cm="1">
        <f t="array" ref="P31">IFERROR(_xlfn.LET(
_xlpm.CSVVal,_xlfn.XLOOKUP($A31,CSV!$A:$A,CSV!AB:AB,""),
_xlpm.MacVal,_xlfn.XLOOKUP($A31,Output_Mac!$A:$A,Output_Mac!T:T,""),
_xlpm.MyAuditVal,_xlfn.XLOOKUP($A31,My_Audit!$A:$A,My_Audit!Q:Q,""),
_xlfn.IFS(_xlpm.MyAuditVal&lt;&gt;"",UPPER(_xlpm.MyAuditVal),_xlpm.MacVal&lt;&gt;"",_xlpm.MacVal,_xlpm.CSVVal&lt;&gt;"",_xlpm.CSVVal
)),"No")</f>
        <v>No</v>
      </c>
      <c r="Q31" s="2" t="str" cm="1">
        <f t="array" ref="Q31">IFERROR(_xlfn.LET(
_xlpm.CSVVal,_xlfn.XLOOKUP($A31,CSV!$A:$A,CSV!AC:AC,""),
_xlpm.MacVal,_xlfn.XLOOKUP($A31,Output_Mac!$A:$A,Output_Mac!U:U,""),
_xlpm.MyAuditVal,_xlfn.XLOOKUP($A31,My_Audit!$A:$A,My_Audit!R:R,""),
_xlfn.IFS(_xlpm.MyAuditVal&lt;&gt;"",UPPER(_xlpm.MyAuditVal),_xlpm.MacVal&lt;&gt;"",_xlpm.MacVal,_xlpm.CSVVal&lt;&gt;"",_xlpm.CSVVal
)),"")</f>
        <v/>
      </c>
      <c r="X31" t="str">
        <f>_xlfn.LET(
    _xlpm.MacVal, _xlfn.XLOOKUP($A31, Output_Mac!$A:$A, Output_Mac!AB:AB, ""),
    _xlpm.MyAuditVal, _xlfn.XLOOKUP($A31, My_Audit!$A:$A, My_Audit!N:N, ""),
    _xlfn.TEXTJOIN(", ", TRUE, _xlpm.MyAuditVal, _xlpm.MacVal)
)</f>
        <v/>
      </c>
    </row>
    <row r="32" spans="1:24">
      <c r="A32" s="2" t="str">
        <f>_xlfn.TEXTJOIN("",TRUE,Input!$B$2,ROW(My_Audit!A31))</f>
        <v>X31</v>
      </c>
      <c r="B32" s="2" t="str">
        <f>_xlfn.TEXTJOIN("-",TRUE,"ITD",Input!$A$2,A32)</f>
        <v>ITD-SHR-X31</v>
      </c>
      <c r="C32" s="2" t="str" cm="1">
        <f t="array" ref="C32">IFERROR(_xlfn.LET(
_xlpm.CSVVal,_xlfn.XLOOKUP($A32,CSV!$A:$A,CSV!B:B,""),
_xlpm.MacVal,_xlfn.XLOOKUP($A32,Output_Mac!$A:$A,Output_Mac!B:B,""),
_xlpm.MyAuditVal,_xlfn.XLOOKUP($A32,My_Audit!$A:$A,My_Audit!B:B,""),
_xlfn.IFS(_xlpm.MyAuditVal&lt;&gt;"",UPPER(_xlpm.MyAuditVal),_xlpm.MacVal&lt;&gt;"",_xlpm.MacVal,_xlpm.CSVVal&lt;&gt;"",_xlpm.CSVVal
)),"")</f>
        <v/>
      </c>
      <c r="D32" s="2" t="str" cm="1">
        <f t="array" ref="D32">IFERROR(_xlfn.LET(
_xlpm.CSVVal,_xlfn.XLOOKUP($A32,CSV!$A:$A,CSV!D:D,""),
_xlpm.MacVal,_xlfn.XLOOKUP($A32,Output_Mac!$A:$A,Output_Mac!C:C,""),
_xlpm.MyAuditVal,_xlfn.XLOOKUP($A32,My_Audit!$A:$A,My_Audit!C:C,""),
_xlfn.IFS(_xlpm.MyAuditVal&lt;&gt;"",_xlpm.MyAuditVal,_xlpm.MacVal&lt;&gt;"",_xlpm.MacVal,_xlpm.CSVVal&lt;&gt;"",_xlpm.CSVVal
)),"")</f>
        <v/>
      </c>
      <c r="E32" s="2">
        <f>_xlfn.XLOOKUP(A32,My_Audit!A:A,My_Audit!D:D,"")</f>
        <v>0</v>
      </c>
      <c r="F32" s="2" t="str" cm="1">
        <f t="array" ref="F32">IFERROR(_xlfn.LET(
_xlpm.CSVVal,_xlfn.XLOOKUP($A32,CSV!$A:$A,CSV!F:F,""),
_xlpm.MacVal,_xlfn.XLOOKUP($A32,Output_Mac!$A:$A,Output_Mac!E:E,""),
_xlpm.MyAuditVal,_xlfn.XLOOKUP($A32,My_Audit!$A:$A,My_Audit!E:E,""),
_xlfn.IFS(_xlpm.MyAuditVal&lt;&gt;"",_xlpm.MyAuditVal,_xlpm.MacVal&lt;&gt;"",_xlpm.MacVal,_xlpm.CSVVal&lt;&gt;"",_xlpm.CSVVal
)),"")</f>
        <v/>
      </c>
      <c r="G32" s="2" t="str" cm="1">
        <f t="array" ref="G32">IFERROR(_xlfn.LET(
_xlpm.CSVVal,_xlfn.XLOOKUP($A32,CSV!$A:$A,CSV!G:G,""),
_xlpm.MacVal,_xlfn.XLOOKUP($A32,Output_Mac!$A:$A,Output_Mac!F:F,""),
_xlpm.MyAuditVal,_xlfn.XLOOKUP($A32,My_Audit!$A:$A,My_Audit!F:F,""),
_xlfn.IFS(_xlpm.MyAuditVal&lt;&gt;"",_xlpm.MyAuditVal,_xlpm.MacVal&lt;&gt;"",_xlpm.MacVal,_xlpm.CSVVal&lt;&gt;"",PROPER(_xlpm.CSVVal)
)),"")</f>
        <v/>
      </c>
      <c r="H32" s="2" t="str" cm="1">
        <f t="array" ref="H32">IFERROR(_xlfn.LET(
_xlpm.CSVVal,_xlfn.XLOOKUP($A32,CSV!$A:$A,CSV!H:H,""),
_xlpm.MacVal,_xlfn.XLOOKUP($A32,Output_Mac!$A:$A,Output_Mac!H:H,""),
_xlpm.MyAuditVal,_xlfn.XLOOKUP($A32,My_Audit!$A:$A,My_Audit!G:G,""),
_xlfn.IFS(_xlpm.MyAuditVal&lt;&gt;"",_xlpm.MyAuditVal,_xlpm.MacVal&lt;&gt;"",_xlpm.MacVal,_xlpm.CSVVal&lt;&gt;"",_xlpm.CSVVal
)),"")</f>
        <v/>
      </c>
      <c r="I32" s="2" t="str">
        <f>_xlfn.XLOOKUP(A32,Output_Mac!A:A,Output_Mac!I:I,"")</f>
        <v/>
      </c>
      <c r="J32" s="2" t="str" cm="1">
        <f t="array" ref="J32">IFERROR(_xlfn.LET(
_xlpm.CSVVal,_xlfn.XLOOKUP($A32,CSV!$A:$A,CSV!I:I,""),
_xlpm.MacVal,_xlfn.XLOOKUP($A32,Output_Mac!$A:$A,Output_Mac!J:J,""),
_xlpm.MyAuditVal,_xlfn.XLOOKUP($A32,My_Audit!$A:$A,My_Audit!I:I,""),
_xlfn.IFS(_xlpm.MyAuditVal&lt;&gt;"",UPPER(_xlpm.MyAuditVal),_xlpm.MacVal&lt;&gt;"",_xlpm.MacVal,_xlpm.CSVVal&lt;&gt;"",_xlpm.CSVVal
)),"")</f>
        <v/>
      </c>
      <c r="K32" s="2" t="str" cm="1">
        <f t="array" ref="K32">IFERROR(_xlfn.LET(
_xlpm.CSVVal,_xlfn.XLOOKUP($A32,CSV!$A:$A,CSV!K:K,""),
_xlpm.MacVal,_xlfn.XLOOKUP($A32,Output_Mac!$A:$A,Output_Mac!K:K,""),
_xlpm.MyAuditVal,_xlfn.XLOOKUP($A32,My_Audit!$A:$A,My_Audit!J:J,""),
_xlfn.IFS(_xlpm.MyAuditVal&lt;&gt;"",UPPER(_xlpm.MyAuditVal),_xlpm.MacVal&lt;&gt;"",_xlpm.MacVal,_xlpm.CSVVal&lt;&gt;"",_xlpm.CSVVal
)),"")</f>
        <v/>
      </c>
      <c r="L32" s="2" t="str" cm="1">
        <f t="array" ref="L32">IFERROR(_xlfn.LET(
_xlpm.CSVVal,_xlfn.XLOOKUP($A32,CSV!$A:$A,CSV!P:P,""),
_xlpm.MacVal,_xlfn.XLOOKUP($A32,Output_Mac!$A:$A,Output_Mac!L:L,""),
_xlpm.MyAuditVal,_xlfn.XLOOKUP($A32,My_Audit!$A:$A,My_Audit!K:K,""),
_xlfn.IFS(_xlpm.MyAuditVal&lt;&gt;"",UPPER(_xlpm.MyAuditVal),_xlpm.MacVal&lt;&gt;"",_xlpm.MacVal,_xlpm.CSVVal&lt;&gt;"",_xlpm.CSVVal
)),"")</f>
        <v/>
      </c>
      <c r="M32" s="2" t="str" cm="1">
        <f t="array" ref="M32">IFERROR(_xlfn.LET(
_xlpm.CSVVal,_xlfn.XLOOKUP($A32,CSV!$A:$A,CSV!Q:Q,""),
_xlpm.MacVal,_xlfn.XLOOKUP($A32,Output_Mac!$A:$A,Output_Mac!M:M,""),
_xlpm.MyAuditVal,_xlfn.XLOOKUP($A32,My_Audit!$A:$A,My_Audit!L:L,""),
_xlfn.IFS(_xlpm.MyAuditVal&lt;&gt;"",UPPER(_xlpm.MyAuditVal),_xlpm.MacVal&lt;&gt;"",_xlpm.MacVal,_xlpm.CSVVal&lt;&gt;"",_xlpm.CSVVal
)),"")</f>
        <v/>
      </c>
      <c r="O32" s="2" t="str">
        <f>_xlfn.LET(
    _xlpm.CSVVal, _xlfn.XLOOKUP($A32, CSV!$A:$A, CSV!AA:AA, ""),
    _xlpm.MacVal, _xlfn.XLOOKUP($A32, Output_Mac!$A:$A, Output_Mac!S:S, ""),
    _xlpm.MyAuditVal, _xlfn.XLOOKUP($A32, My_Audit!$A:$A, My_Audit!P:P, ""),
    _xlfn.TEXTJOIN(", ", TRUE, _xlpm.MyAuditVal, _xlpm.MacVal, _xlpm.CSVVal)
)</f>
        <v/>
      </c>
      <c r="P32" s="2" t="str" cm="1">
        <f t="array" ref="P32">IFERROR(_xlfn.LET(
_xlpm.CSVVal,_xlfn.XLOOKUP($A32,CSV!$A:$A,CSV!AB:AB,""),
_xlpm.MacVal,_xlfn.XLOOKUP($A32,Output_Mac!$A:$A,Output_Mac!T:T,""),
_xlpm.MyAuditVal,_xlfn.XLOOKUP($A32,My_Audit!$A:$A,My_Audit!Q:Q,""),
_xlfn.IFS(_xlpm.MyAuditVal&lt;&gt;"",UPPER(_xlpm.MyAuditVal),_xlpm.MacVal&lt;&gt;"",_xlpm.MacVal,_xlpm.CSVVal&lt;&gt;"",_xlpm.CSVVal
)),"No")</f>
        <v>No</v>
      </c>
      <c r="Q32" s="2" t="str" cm="1">
        <f t="array" ref="Q32">IFERROR(_xlfn.LET(
_xlpm.CSVVal,_xlfn.XLOOKUP($A32,CSV!$A:$A,CSV!AC:AC,""),
_xlpm.MacVal,_xlfn.XLOOKUP($A32,Output_Mac!$A:$A,Output_Mac!U:U,""),
_xlpm.MyAuditVal,_xlfn.XLOOKUP($A32,My_Audit!$A:$A,My_Audit!R:R,""),
_xlfn.IFS(_xlpm.MyAuditVal&lt;&gt;"",UPPER(_xlpm.MyAuditVal),_xlpm.MacVal&lt;&gt;"",_xlpm.MacVal,_xlpm.CSVVal&lt;&gt;"",_xlpm.CSVVal
)),"")</f>
        <v/>
      </c>
      <c r="X32" t="str">
        <f>_xlfn.LET(
    _xlpm.MacVal, _xlfn.XLOOKUP($A32, Output_Mac!$A:$A, Output_Mac!AB:AB, ""),
    _xlpm.MyAuditVal, _xlfn.XLOOKUP($A32, My_Audit!$A:$A, My_Audit!N:N, ""),
    _xlfn.TEXTJOIN(", ", TRUE, _xlpm.MyAuditVal, _xlpm.MacVal)
)</f>
        <v/>
      </c>
    </row>
    <row r="33" spans="1:24">
      <c r="A33" s="2" t="str">
        <f>_xlfn.TEXTJOIN("",TRUE,Input!$B$2,ROW(My_Audit!A32))</f>
        <v>X32</v>
      </c>
      <c r="B33" s="2" t="str">
        <f>_xlfn.TEXTJOIN("-",TRUE,"ITD",Input!$A$2,A33)</f>
        <v>ITD-SHR-X32</v>
      </c>
      <c r="C33" s="2" t="str" cm="1">
        <f t="array" ref="C33">IFERROR(_xlfn.LET(
_xlpm.CSVVal,_xlfn.XLOOKUP($A33,CSV!$A:$A,CSV!B:B,""),
_xlpm.MacVal,_xlfn.XLOOKUP($A33,Output_Mac!$A:$A,Output_Mac!B:B,""),
_xlpm.MyAuditVal,_xlfn.XLOOKUP($A33,My_Audit!$A:$A,My_Audit!B:B,""),
_xlfn.IFS(_xlpm.MyAuditVal&lt;&gt;"",UPPER(_xlpm.MyAuditVal),_xlpm.MacVal&lt;&gt;"",_xlpm.MacVal,_xlpm.CSVVal&lt;&gt;"",_xlpm.CSVVal
)),"")</f>
        <v/>
      </c>
      <c r="D33" s="2" t="str" cm="1">
        <f t="array" ref="D33">IFERROR(_xlfn.LET(
_xlpm.CSVVal,_xlfn.XLOOKUP($A33,CSV!$A:$A,CSV!D:D,""),
_xlpm.MacVal,_xlfn.XLOOKUP($A33,Output_Mac!$A:$A,Output_Mac!C:C,""),
_xlpm.MyAuditVal,_xlfn.XLOOKUP($A33,My_Audit!$A:$A,My_Audit!C:C,""),
_xlfn.IFS(_xlpm.MyAuditVal&lt;&gt;"",_xlpm.MyAuditVal,_xlpm.MacVal&lt;&gt;"",_xlpm.MacVal,_xlpm.CSVVal&lt;&gt;"",_xlpm.CSVVal
)),"")</f>
        <v/>
      </c>
      <c r="E33" s="2">
        <f>_xlfn.XLOOKUP(A33,My_Audit!A:A,My_Audit!D:D,"")</f>
        <v>0</v>
      </c>
      <c r="F33" s="2" t="str" cm="1">
        <f t="array" ref="F33">IFERROR(_xlfn.LET(
_xlpm.CSVVal,_xlfn.XLOOKUP($A33,CSV!$A:$A,CSV!F:F,""),
_xlpm.MacVal,_xlfn.XLOOKUP($A33,Output_Mac!$A:$A,Output_Mac!E:E,""),
_xlpm.MyAuditVal,_xlfn.XLOOKUP($A33,My_Audit!$A:$A,My_Audit!E:E,""),
_xlfn.IFS(_xlpm.MyAuditVal&lt;&gt;"",_xlpm.MyAuditVal,_xlpm.MacVal&lt;&gt;"",_xlpm.MacVal,_xlpm.CSVVal&lt;&gt;"",_xlpm.CSVVal
)),"")</f>
        <v/>
      </c>
      <c r="G33" s="2" t="str" cm="1">
        <f t="array" ref="G33">IFERROR(_xlfn.LET(
_xlpm.CSVVal,_xlfn.XLOOKUP($A33,CSV!$A:$A,CSV!G:G,""),
_xlpm.MacVal,_xlfn.XLOOKUP($A33,Output_Mac!$A:$A,Output_Mac!F:F,""),
_xlpm.MyAuditVal,_xlfn.XLOOKUP($A33,My_Audit!$A:$A,My_Audit!F:F,""),
_xlfn.IFS(_xlpm.MyAuditVal&lt;&gt;"",_xlpm.MyAuditVal,_xlpm.MacVal&lt;&gt;"",_xlpm.MacVal,_xlpm.CSVVal&lt;&gt;"",PROPER(_xlpm.CSVVal)
)),"")</f>
        <v/>
      </c>
      <c r="H33" s="2" t="str" cm="1">
        <f t="array" ref="H33">IFERROR(_xlfn.LET(
_xlpm.CSVVal,_xlfn.XLOOKUP($A33,CSV!$A:$A,CSV!H:H,""),
_xlpm.MacVal,_xlfn.XLOOKUP($A33,Output_Mac!$A:$A,Output_Mac!H:H,""),
_xlpm.MyAuditVal,_xlfn.XLOOKUP($A33,My_Audit!$A:$A,My_Audit!G:G,""),
_xlfn.IFS(_xlpm.MyAuditVal&lt;&gt;"",_xlpm.MyAuditVal,_xlpm.MacVal&lt;&gt;"",_xlpm.MacVal,_xlpm.CSVVal&lt;&gt;"",_xlpm.CSVVal
)),"")</f>
        <v/>
      </c>
      <c r="I33" s="2" t="str">
        <f>_xlfn.XLOOKUP(A33,Output_Mac!A:A,Output_Mac!I:I,"")</f>
        <v/>
      </c>
      <c r="J33" s="2" t="str" cm="1">
        <f t="array" ref="J33">IFERROR(_xlfn.LET(
_xlpm.CSVVal,_xlfn.XLOOKUP($A33,CSV!$A:$A,CSV!I:I,""),
_xlpm.MacVal,_xlfn.XLOOKUP($A33,Output_Mac!$A:$A,Output_Mac!J:J,""),
_xlpm.MyAuditVal,_xlfn.XLOOKUP($A33,My_Audit!$A:$A,My_Audit!I:I,""),
_xlfn.IFS(_xlpm.MyAuditVal&lt;&gt;"",UPPER(_xlpm.MyAuditVal),_xlpm.MacVal&lt;&gt;"",_xlpm.MacVal,_xlpm.CSVVal&lt;&gt;"",_xlpm.CSVVal
)),"")</f>
        <v/>
      </c>
      <c r="K33" s="2" t="str" cm="1">
        <f t="array" ref="K33">IFERROR(_xlfn.LET(
_xlpm.CSVVal,_xlfn.XLOOKUP($A33,CSV!$A:$A,CSV!K:K,""),
_xlpm.MacVal,_xlfn.XLOOKUP($A33,Output_Mac!$A:$A,Output_Mac!K:K,""),
_xlpm.MyAuditVal,_xlfn.XLOOKUP($A33,My_Audit!$A:$A,My_Audit!J:J,""),
_xlfn.IFS(_xlpm.MyAuditVal&lt;&gt;"",UPPER(_xlpm.MyAuditVal),_xlpm.MacVal&lt;&gt;"",_xlpm.MacVal,_xlpm.CSVVal&lt;&gt;"",_xlpm.CSVVal
)),"")</f>
        <v/>
      </c>
      <c r="L33" s="2" t="str" cm="1">
        <f t="array" ref="L33">IFERROR(_xlfn.LET(
_xlpm.CSVVal,_xlfn.XLOOKUP($A33,CSV!$A:$A,CSV!P:P,""),
_xlpm.MacVal,_xlfn.XLOOKUP($A33,Output_Mac!$A:$A,Output_Mac!L:L,""),
_xlpm.MyAuditVal,_xlfn.XLOOKUP($A33,My_Audit!$A:$A,My_Audit!K:K,""),
_xlfn.IFS(_xlpm.MyAuditVal&lt;&gt;"",UPPER(_xlpm.MyAuditVal),_xlpm.MacVal&lt;&gt;"",_xlpm.MacVal,_xlpm.CSVVal&lt;&gt;"",_xlpm.CSVVal
)),"")</f>
        <v/>
      </c>
      <c r="M33" s="2" t="str" cm="1">
        <f t="array" ref="M33">IFERROR(_xlfn.LET(
_xlpm.CSVVal,_xlfn.XLOOKUP($A33,CSV!$A:$A,CSV!Q:Q,""),
_xlpm.MacVal,_xlfn.XLOOKUP($A33,Output_Mac!$A:$A,Output_Mac!M:M,""),
_xlpm.MyAuditVal,_xlfn.XLOOKUP($A33,My_Audit!$A:$A,My_Audit!L:L,""),
_xlfn.IFS(_xlpm.MyAuditVal&lt;&gt;"",UPPER(_xlpm.MyAuditVal),_xlpm.MacVal&lt;&gt;"",_xlpm.MacVal,_xlpm.CSVVal&lt;&gt;"",_xlpm.CSVVal
)),"")</f>
        <v/>
      </c>
      <c r="O33" s="2" t="str">
        <f>_xlfn.LET(
    _xlpm.CSVVal, _xlfn.XLOOKUP($A33, CSV!$A:$A, CSV!AA:AA, ""),
    _xlpm.MacVal, _xlfn.XLOOKUP($A33, Output_Mac!$A:$A, Output_Mac!S:S, ""),
    _xlpm.MyAuditVal, _xlfn.XLOOKUP($A33, My_Audit!$A:$A, My_Audit!P:P, ""),
    _xlfn.TEXTJOIN(", ", TRUE, _xlpm.MyAuditVal, _xlpm.MacVal, _xlpm.CSVVal)
)</f>
        <v/>
      </c>
      <c r="P33" s="2" t="str" cm="1">
        <f t="array" ref="P33">IFERROR(_xlfn.LET(
_xlpm.CSVVal,_xlfn.XLOOKUP($A33,CSV!$A:$A,CSV!AB:AB,""),
_xlpm.MacVal,_xlfn.XLOOKUP($A33,Output_Mac!$A:$A,Output_Mac!T:T,""),
_xlpm.MyAuditVal,_xlfn.XLOOKUP($A33,My_Audit!$A:$A,My_Audit!Q:Q,""),
_xlfn.IFS(_xlpm.MyAuditVal&lt;&gt;"",UPPER(_xlpm.MyAuditVal),_xlpm.MacVal&lt;&gt;"",_xlpm.MacVal,_xlpm.CSVVal&lt;&gt;"",_xlpm.CSVVal
)),"No")</f>
        <v>No</v>
      </c>
      <c r="Q33" s="2" t="str" cm="1">
        <f t="array" ref="Q33">IFERROR(_xlfn.LET(
_xlpm.CSVVal,_xlfn.XLOOKUP($A33,CSV!$A:$A,CSV!AC:AC,""),
_xlpm.MacVal,_xlfn.XLOOKUP($A33,Output_Mac!$A:$A,Output_Mac!U:U,""),
_xlpm.MyAuditVal,_xlfn.XLOOKUP($A33,My_Audit!$A:$A,My_Audit!R:R,""),
_xlfn.IFS(_xlpm.MyAuditVal&lt;&gt;"",UPPER(_xlpm.MyAuditVal),_xlpm.MacVal&lt;&gt;"",_xlpm.MacVal,_xlpm.CSVVal&lt;&gt;"",_xlpm.CSVVal
)),"")</f>
        <v/>
      </c>
      <c r="X33" t="str">
        <f>_xlfn.LET(
    _xlpm.MacVal, _xlfn.XLOOKUP($A33, Output_Mac!$A:$A, Output_Mac!AB:AB, ""),
    _xlpm.MyAuditVal, _xlfn.XLOOKUP($A33, My_Audit!$A:$A, My_Audit!N:N, ""),
    _xlfn.TEXTJOIN(", ", TRUE, _xlpm.MyAuditVal, _xlpm.MacVal)
)</f>
        <v/>
      </c>
    </row>
    <row r="34" spans="1:24">
      <c r="A34" s="2" t="str">
        <f>_xlfn.TEXTJOIN("",TRUE,Input!$B$2,ROW(My_Audit!A33))</f>
        <v>X33</v>
      </c>
      <c r="B34" s="2" t="str">
        <f>_xlfn.TEXTJOIN("-",TRUE,"ITD",Input!$A$2,A34)</f>
        <v>ITD-SHR-X33</v>
      </c>
      <c r="C34" s="2" t="str" cm="1">
        <f t="array" ref="C34">IFERROR(_xlfn.LET(
_xlpm.CSVVal,_xlfn.XLOOKUP($A34,CSV!$A:$A,CSV!B:B,""),
_xlpm.MacVal,_xlfn.XLOOKUP($A34,Output_Mac!$A:$A,Output_Mac!B:B,""),
_xlpm.MyAuditVal,_xlfn.XLOOKUP($A34,My_Audit!$A:$A,My_Audit!B:B,""),
_xlfn.IFS(_xlpm.MyAuditVal&lt;&gt;"",UPPER(_xlpm.MyAuditVal),_xlpm.MacVal&lt;&gt;"",_xlpm.MacVal,_xlpm.CSVVal&lt;&gt;"",_xlpm.CSVVal
)),"")</f>
        <v/>
      </c>
      <c r="D34" s="2" t="str" cm="1">
        <f t="array" ref="D34">IFERROR(_xlfn.LET(
_xlpm.CSVVal,_xlfn.XLOOKUP($A34,CSV!$A:$A,CSV!D:D,""),
_xlpm.MacVal,_xlfn.XLOOKUP($A34,Output_Mac!$A:$A,Output_Mac!C:C,""),
_xlpm.MyAuditVal,_xlfn.XLOOKUP($A34,My_Audit!$A:$A,My_Audit!C:C,""),
_xlfn.IFS(_xlpm.MyAuditVal&lt;&gt;"",_xlpm.MyAuditVal,_xlpm.MacVal&lt;&gt;"",_xlpm.MacVal,_xlpm.CSVVal&lt;&gt;"",_xlpm.CSVVal
)),"")</f>
        <v/>
      </c>
      <c r="E34" s="2">
        <f>_xlfn.XLOOKUP(A34,My_Audit!A:A,My_Audit!D:D,"")</f>
        <v>0</v>
      </c>
      <c r="F34" s="2" t="str" cm="1">
        <f t="array" ref="F34">IFERROR(_xlfn.LET(
_xlpm.CSVVal,_xlfn.XLOOKUP($A34,CSV!$A:$A,CSV!F:F,""),
_xlpm.MacVal,_xlfn.XLOOKUP($A34,Output_Mac!$A:$A,Output_Mac!E:E,""),
_xlpm.MyAuditVal,_xlfn.XLOOKUP($A34,My_Audit!$A:$A,My_Audit!E:E,""),
_xlfn.IFS(_xlpm.MyAuditVal&lt;&gt;"",_xlpm.MyAuditVal,_xlpm.MacVal&lt;&gt;"",_xlpm.MacVal,_xlpm.CSVVal&lt;&gt;"",_xlpm.CSVVal
)),"")</f>
        <v/>
      </c>
      <c r="G34" s="2" t="str" cm="1">
        <f t="array" ref="G34">IFERROR(_xlfn.LET(
_xlpm.CSVVal,_xlfn.XLOOKUP($A34,CSV!$A:$A,CSV!G:G,""),
_xlpm.MacVal,_xlfn.XLOOKUP($A34,Output_Mac!$A:$A,Output_Mac!F:F,""),
_xlpm.MyAuditVal,_xlfn.XLOOKUP($A34,My_Audit!$A:$A,My_Audit!F:F,""),
_xlfn.IFS(_xlpm.MyAuditVal&lt;&gt;"",_xlpm.MyAuditVal,_xlpm.MacVal&lt;&gt;"",_xlpm.MacVal,_xlpm.CSVVal&lt;&gt;"",PROPER(_xlpm.CSVVal)
)),"")</f>
        <v/>
      </c>
      <c r="H34" s="2" t="str" cm="1">
        <f t="array" ref="H34">IFERROR(_xlfn.LET(
_xlpm.CSVVal,_xlfn.XLOOKUP($A34,CSV!$A:$A,CSV!H:H,""),
_xlpm.MacVal,_xlfn.XLOOKUP($A34,Output_Mac!$A:$A,Output_Mac!H:H,""),
_xlpm.MyAuditVal,_xlfn.XLOOKUP($A34,My_Audit!$A:$A,My_Audit!G:G,""),
_xlfn.IFS(_xlpm.MyAuditVal&lt;&gt;"",_xlpm.MyAuditVal,_xlpm.MacVal&lt;&gt;"",_xlpm.MacVal,_xlpm.CSVVal&lt;&gt;"",_xlpm.CSVVal
)),"")</f>
        <v/>
      </c>
      <c r="I34" s="2" t="str">
        <f>_xlfn.XLOOKUP(A34,Output_Mac!A:A,Output_Mac!I:I,"")</f>
        <v/>
      </c>
      <c r="J34" s="2" t="str" cm="1">
        <f t="array" ref="J34">IFERROR(_xlfn.LET(
_xlpm.CSVVal,_xlfn.XLOOKUP($A34,CSV!$A:$A,CSV!I:I,""),
_xlpm.MacVal,_xlfn.XLOOKUP($A34,Output_Mac!$A:$A,Output_Mac!J:J,""),
_xlpm.MyAuditVal,_xlfn.XLOOKUP($A34,My_Audit!$A:$A,My_Audit!I:I,""),
_xlfn.IFS(_xlpm.MyAuditVal&lt;&gt;"",UPPER(_xlpm.MyAuditVal),_xlpm.MacVal&lt;&gt;"",_xlpm.MacVal,_xlpm.CSVVal&lt;&gt;"",_xlpm.CSVVal
)),"")</f>
        <v/>
      </c>
      <c r="K34" s="2" t="str" cm="1">
        <f t="array" ref="K34">IFERROR(_xlfn.LET(
_xlpm.CSVVal,_xlfn.XLOOKUP($A34,CSV!$A:$A,CSV!K:K,""),
_xlpm.MacVal,_xlfn.XLOOKUP($A34,Output_Mac!$A:$A,Output_Mac!K:K,""),
_xlpm.MyAuditVal,_xlfn.XLOOKUP($A34,My_Audit!$A:$A,My_Audit!J:J,""),
_xlfn.IFS(_xlpm.MyAuditVal&lt;&gt;"",UPPER(_xlpm.MyAuditVal),_xlpm.MacVal&lt;&gt;"",_xlpm.MacVal,_xlpm.CSVVal&lt;&gt;"",_xlpm.CSVVal
)),"")</f>
        <v/>
      </c>
      <c r="L34" s="2" t="str" cm="1">
        <f t="array" ref="L34">IFERROR(_xlfn.LET(
_xlpm.CSVVal,_xlfn.XLOOKUP($A34,CSV!$A:$A,CSV!P:P,""),
_xlpm.MacVal,_xlfn.XLOOKUP($A34,Output_Mac!$A:$A,Output_Mac!L:L,""),
_xlpm.MyAuditVal,_xlfn.XLOOKUP($A34,My_Audit!$A:$A,My_Audit!K:K,""),
_xlfn.IFS(_xlpm.MyAuditVal&lt;&gt;"",UPPER(_xlpm.MyAuditVal),_xlpm.MacVal&lt;&gt;"",_xlpm.MacVal,_xlpm.CSVVal&lt;&gt;"",_xlpm.CSVVal
)),"")</f>
        <v/>
      </c>
      <c r="M34" s="2" t="str" cm="1">
        <f t="array" ref="M34">IFERROR(_xlfn.LET(
_xlpm.CSVVal,_xlfn.XLOOKUP($A34,CSV!$A:$A,CSV!Q:Q,""),
_xlpm.MacVal,_xlfn.XLOOKUP($A34,Output_Mac!$A:$A,Output_Mac!M:M,""),
_xlpm.MyAuditVal,_xlfn.XLOOKUP($A34,My_Audit!$A:$A,My_Audit!L:L,""),
_xlfn.IFS(_xlpm.MyAuditVal&lt;&gt;"",UPPER(_xlpm.MyAuditVal),_xlpm.MacVal&lt;&gt;"",_xlpm.MacVal,_xlpm.CSVVal&lt;&gt;"",_xlpm.CSVVal
)),"")</f>
        <v/>
      </c>
      <c r="O34" s="2" t="str">
        <f>_xlfn.LET(
    _xlpm.CSVVal, _xlfn.XLOOKUP($A34, CSV!$A:$A, CSV!AA:AA, ""),
    _xlpm.MacVal, _xlfn.XLOOKUP($A34, Output_Mac!$A:$A, Output_Mac!S:S, ""),
    _xlpm.MyAuditVal, _xlfn.XLOOKUP($A34, My_Audit!$A:$A, My_Audit!P:P, ""),
    _xlfn.TEXTJOIN(", ", TRUE, _xlpm.MyAuditVal, _xlpm.MacVal, _xlpm.CSVVal)
)</f>
        <v/>
      </c>
      <c r="P34" s="2" t="str" cm="1">
        <f t="array" ref="P34">IFERROR(_xlfn.LET(
_xlpm.CSVVal,_xlfn.XLOOKUP($A34,CSV!$A:$A,CSV!AB:AB,""),
_xlpm.MacVal,_xlfn.XLOOKUP($A34,Output_Mac!$A:$A,Output_Mac!T:T,""),
_xlpm.MyAuditVal,_xlfn.XLOOKUP($A34,My_Audit!$A:$A,My_Audit!Q:Q,""),
_xlfn.IFS(_xlpm.MyAuditVal&lt;&gt;"",UPPER(_xlpm.MyAuditVal),_xlpm.MacVal&lt;&gt;"",_xlpm.MacVal,_xlpm.CSVVal&lt;&gt;"",_xlpm.CSVVal
)),"No")</f>
        <v>No</v>
      </c>
      <c r="Q34" s="2" t="str" cm="1">
        <f t="array" ref="Q34">IFERROR(_xlfn.LET(
_xlpm.CSVVal,_xlfn.XLOOKUP($A34,CSV!$A:$A,CSV!AC:AC,""),
_xlpm.MacVal,_xlfn.XLOOKUP($A34,Output_Mac!$A:$A,Output_Mac!U:U,""),
_xlpm.MyAuditVal,_xlfn.XLOOKUP($A34,My_Audit!$A:$A,My_Audit!R:R,""),
_xlfn.IFS(_xlpm.MyAuditVal&lt;&gt;"",UPPER(_xlpm.MyAuditVal),_xlpm.MacVal&lt;&gt;"",_xlpm.MacVal,_xlpm.CSVVal&lt;&gt;"",_xlpm.CSVVal
)),"")</f>
        <v/>
      </c>
      <c r="X34" t="str">
        <f>_xlfn.LET(
    _xlpm.MacVal, _xlfn.XLOOKUP($A34, Output_Mac!$A:$A, Output_Mac!AB:AB, ""),
    _xlpm.MyAuditVal, _xlfn.XLOOKUP($A34, My_Audit!$A:$A, My_Audit!N:N, ""),
    _xlfn.TEXTJOIN(", ", TRUE, _xlpm.MyAuditVal, _xlpm.MacVal)
)</f>
        <v/>
      </c>
    </row>
    <row r="35" spans="1:24">
      <c r="A35" s="2" t="str">
        <f>_xlfn.TEXTJOIN("",TRUE,Input!$B$2,ROW(My_Audit!A34))</f>
        <v>X34</v>
      </c>
      <c r="B35" s="2" t="str">
        <f>_xlfn.TEXTJOIN("-",TRUE,"ITD",Input!$A$2,A35)</f>
        <v>ITD-SHR-X34</v>
      </c>
      <c r="C35" s="2" t="str" cm="1">
        <f t="array" ref="C35">IFERROR(_xlfn.LET(
_xlpm.CSVVal,_xlfn.XLOOKUP($A35,CSV!$A:$A,CSV!B:B,""),
_xlpm.MacVal,_xlfn.XLOOKUP($A35,Output_Mac!$A:$A,Output_Mac!B:B,""),
_xlpm.MyAuditVal,_xlfn.XLOOKUP($A35,My_Audit!$A:$A,My_Audit!B:B,""),
_xlfn.IFS(_xlpm.MyAuditVal&lt;&gt;"",UPPER(_xlpm.MyAuditVal),_xlpm.MacVal&lt;&gt;"",_xlpm.MacVal,_xlpm.CSVVal&lt;&gt;"",_xlpm.CSVVal
)),"")</f>
        <v/>
      </c>
      <c r="D35" s="2" t="str" cm="1">
        <f t="array" ref="D35">IFERROR(_xlfn.LET(
_xlpm.CSVVal,_xlfn.XLOOKUP($A35,CSV!$A:$A,CSV!D:D,""),
_xlpm.MacVal,_xlfn.XLOOKUP($A35,Output_Mac!$A:$A,Output_Mac!C:C,""),
_xlpm.MyAuditVal,_xlfn.XLOOKUP($A35,My_Audit!$A:$A,My_Audit!C:C,""),
_xlfn.IFS(_xlpm.MyAuditVal&lt;&gt;"",_xlpm.MyAuditVal,_xlpm.MacVal&lt;&gt;"",_xlpm.MacVal,_xlpm.CSVVal&lt;&gt;"",_xlpm.CSVVal
)),"")</f>
        <v/>
      </c>
      <c r="E35" s="2">
        <f>_xlfn.XLOOKUP(A35,My_Audit!A:A,My_Audit!D:D,"")</f>
        <v>0</v>
      </c>
      <c r="F35" s="2" t="str" cm="1">
        <f t="array" ref="F35">IFERROR(_xlfn.LET(
_xlpm.CSVVal,_xlfn.XLOOKUP($A35,CSV!$A:$A,CSV!F:F,""),
_xlpm.MacVal,_xlfn.XLOOKUP($A35,Output_Mac!$A:$A,Output_Mac!E:E,""),
_xlpm.MyAuditVal,_xlfn.XLOOKUP($A35,My_Audit!$A:$A,My_Audit!E:E,""),
_xlfn.IFS(_xlpm.MyAuditVal&lt;&gt;"",_xlpm.MyAuditVal,_xlpm.MacVal&lt;&gt;"",_xlpm.MacVal,_xlpm.CSVVal&lt;&gt;"",_xlpm.CSVVal
)),"")</f>
        <v/>
      </c>
      <c r="G35" s="2" t="str" cm="1">
        <f t="array" ref="G35">IFERROR(_xlfn.LET(
_xlpm.CSVVal,_xlfn.XLOOKUP($A35,CSV!$A:$A,CSV!G:G,""),
_xlpm.MacVal,_xlfn.XLOOKUP($A35,Output_Mac!$A:$A,Output_Mac!F:F,""),
_xlpm.MyAuditVal,_xlfn.XLOOKUP($A35,My_Audit!$A:$A,My_Audit!F:F,""),
_xlfn.IFS(_xlpm.MyAuditVal&lt;&gt;"",_xlpm.MyAuditVal,_xlpm.MacVal&lt;&gt;"",_xlpm.MacVal,_xlpm.CSVVal&lt;&gt;"",PROPER(_xlpm.CSVVal)
)),"")</f>
        <v/>
      </c>
      <c r="H35" s="2" t="str" cm="1">
        <f t="array" ref="H35">IFERROR(_xlfn.LET(
_xlpm.CSVVal,_xlfn.XLOOKUP($A35,CSV!$A:$A,CSV!H:H,""),
_xlpm.MacVal,_xlfn.XLOOKUP($A35,Output_Mac!$A:$A,Output_Mac!H:H,""),
_xlpm.MyAuditVal,_xlfn.XLOOKUP($A35,My_Audit!$A:$A,My_Audit!G:G,""),
_xlfn.IFS(_xlpm.MyAuditVal&lt;&gt;"",_xlpm.MyAuditVal,_xlpm.MacVal&lt;&gt;"",_xlpm.MacVal,_xlpm.CSVVal&lt;&gt;"",_xlpm.CSVVal
)),"")</f>
        <v/>
      </c>
      <c r="I35" s="2" t="str">
        <f>_xlfn.XLOOKUP(A35,Output_Mac!A:A,Output_Mac!I:I,"")</f>
        <v/>
      </c>
      <c r="J35" s="2" t="str" cm="1">
        <f t="array" ref="J35">IFERROR(_xlfn.LET(
_xlpm.CSVVal,_xlfn.XLOOKUP($A35,CSV!$A:$A,CSV!I:I,""),
_xlpm.MacVal,_xlfn.XLOOKUP($A35,Output_Mac!$A:$A,Output_Mac!J:J,""),
_xlpm.MyAuditVal,_xlfn.XLOOKUP($A35,My_Audit!$A:$A,My_Audit!I:I,""),
_xlfn.IFS(_xlpm.MyAuditVal&lt;&gt;"",UPPER(_xlpm.MyAuditVal),_xlpm.MacVal&lt;&gt;"",_xlpm.MacVal,_xlpm.CSVVal&lt;&gt;"",_xlpm.CSVVal
)),"")</f>
        <v/>
      </c>
      <c r="K35" s="2" t="str" cm="1">
        <f t="array" ref="K35">IFERROR(_xlfn.LET(
_xlpm.CSVVal,_xlfn.XLOOKUP($A35,CSV!$A:$A,CSV!K:K,""),
_xlpm.MacVal,_xlfn.XLOOKUP($A35,Output_Mac!$A:$A,Output_Mac!K:K,""),
_xlpm.MyAuditVal,_xlfn.XLOOKUP($A35,My_Audit!$A:$A,My_Audit!J:J,""),
_xlfn.IFS(_xlpm.MyAuditVal&lt;&gt;"",UPPER(_xlpm.MyAuditVal),_xlpm.MacVal&lt;&gt;"",_xlpm.MacVal,_xlpm.CSVVal&lt;&gt;"",_xlpm.CSVVal
)),"")</f>
        <v/>
      </c>
      <c r="L35" s="2" t="str" cm="1">
        <f t="array" ref="L35">IFERROR(_xlfn.LET(
_xlpm.CSVVal,_xlfn.XLOOKUP($A35,CSV!$A:$A,CSV!P:P,""),
_xlpm.MacVal,_xlfn.XLOOKUP($A35,Output_Mac!$A:$A,Output_Mac!L:L,""),
_xlpm.MyAuditVal,_xlfn.XLOOKUP($A35,My_Audit!$A:$A,My_Audit!K:K,""),
_xlfn.IFS(_xlpm.MyAuditVal&lt;&gt;"",UPPER(_xlpm.MyAuditVal),_xlpm.MacVal&lt;&gt;"",_xlpm.MacVal,_xlpm.CSVVal&lt;&gt;"",_xlpm.CSVVal
)),"")</f>
        <v/>
      </c>
      <c r="M35" s="2" t="str" cm="1">
        <f t="array" ref="M35">IFERROR(_xlfn.LET(
_xlpm.CSVVal,_xlfn.XLOOKUP($A35,CSV!$A:$A,CSV!Q:Q,""),
_xlpm.MacVal,_xlfn.XLOOKUP($A35,Output_Mac!$A:$A,Output_Mac!M:M,""),
_xlpm.MyAuditVal,_xlfn.XLOOKUP($A35,My_Audit!$A:$A,My_Audit!L:L,""),
_xlfn.IFS(_xlpm.MyAuditVal&lt;&gt;"",UPPER(_xlpm.MyAuditVal),_xlpm.MacVal&lt;&gt;"",_xlpm.MacVal,_xlpm.CSVVal&lt;&gt;"",_xlpm.CSVVal
)),"")</f>
        <v/>
      </c>
      <c r="O35" s="2" t="str">
        <f>_xlfn.LET(
    _xlpm.CSVVal, _xlfn.XLOOKUP($A35, CSV!$A:$A, CSV!AA:AA, ""),
    _xlpm.MacVal, _xlfn.XLOOKUP($A35, Output_Mac!$A:$A, Output_Mac!S:S, ""),
    _xlpm.MyAuditVal, _xlfn.XLOOKUP($A35, My_Audit!$A:$A, My_Audit!P:P, ""),
    _xlfn.TEXTJOIN(", ", TRUE, _xlpm.MyAuditVal, _xlpm.MacVal, _xlpm.CSVVal)
)</f>
        <v/>
      </c>
      <c r="P35" s="2" t="str" cm="1">
        <f t="array" ref="P35">IFERROR(_xlfn.LET(
_xlpm.CSVVal,_xlfn.XLOOKUP($A35,CSV!$A:$A,CSV!AB:AB,""),
_xlpm.MacVal,_xlfn.XLOOKUP($A35,Output_Mac!$A:$A,Output_Mac!T:T,""),
_xlpm.MyAuditVal,_xlfn.XLOOKUP($A35,My_Audit!$A:$A,My_Audit!Q:Q,""),
_xlfn.IFS(_xlpm.MyAuditVal&lt;&gt;"",UPPER(_xlpm.MyAuditVal),_xlpm.MacVal&lt;&gt;"",_xlpm.MacVal,_xlpm.CSVVal&lt;&gt;"",_xlpm.CSVVal
)),"No")</f>
        <v>No</v>
      </c>
      <c r="Q35" s="2" t="str" cm="1">
        <f t="array" ref="Q35">IFERROR(_xlfn.LET(
_xlpm.CSVVal,_xlfn.XLOOKUP($A35,CSV!$A:$A,CSV!AC:AC,""),
_xlpm.MacVal,_xlfn.XLOOKUP($A35,Output_Mac!$A:$A,Output_Mac!U:U,""),
_xlpm.MyAuditVal,_xlfn.XLOOKUP($A35,My_Audit!$A:$A,My_Audit!R:R,""),
_xlfn.IFS(_xlpm.MyAuditVal&lt;&gt;"",UPPER(_xlpm.MyAuditVal),_xlpm.MacVal&lt;&gt;"",_xlpm.MacVal,_xlpm.CSVVal&lt;&gt;"",_xlpm.CSVVal
)),"")</f>
        <v/>
      </c>
      <c r="X35" t="str">
        <f>_xlfn.LET(
    _xlpm.MacVal, _xlfn.XLOOKUP($A35, Output_Mac!$A:$A, Output_Mac!AB:AB, ""),
    _xlpm.MyAuditVal, _xlfn.XLOOKUP($A35, My_Audit!$A:$A, My_Audit!N:N, ""),
    _xlfn.TEXTJOIN(", ", TRUE, _xlpm.MyAuditVal, _xlpm.MacVal)
)</f>
        <v/>
      </c>
    </row>
    <row r="36" spans="1:24">
      <c r="A36" s="2" t="str">
        <f>_xlfn.TEXTJOIN("",TRUE,Input!$B$2,ROW(My_Audit!A35))</f>
        <v>X35</v>
      </c>
      <c r="B36" s="2" t="str">
        <f>_xlfn.TEXTJOIN("-",TRUE,"ITD",Input!$A$2,A36)</f>
        <v>ITD-SHR-X35</v>
      </c>
      <c r="C36" s="2" t="str" cm="1">
        <f t="array" ref="C36">IFERROR(_xlfn.LET(
_xlpm.CSVVal,_xlfn.XLOOKUP($A36,CSV!$A:$A,CSV!B:B,""),
_xlpm.MacVal,_xlfn.XLOOKUP($A36,Output_Mac!$A:$A,Output_Mac!B:B,""),
_xlpm.MyAuditVal,_xlfn.XLOOKUP($A36,My_Audit!$A:$A,My_Audit!B:B,""),
_xlfn.IFS(_xlpm.MyAuditVal&lt;&gt;"",UPPER(_xlpm.MyAuditVal),_xlpm.MacVal&lt;&gt;"",_xlpm.MacVal,_xlpm.CSVVal&lt;&gt;"",_xlpm.CSVVal
)),"")</f>
        <v/>
      </c>
      <c r="D36" s="2" t="str" cm="1">
        <f t="array" ref="D36">IFERROR(_xlfn.LET(
_xlpm.CSVVal,_xlfn.XLOOKUP($A36,CSV!$A:$A,CSV!D:D,""),
_xlpm.MacVal,_xlfn.XLOOKUP($A36,Output_Mac!$A:$A,Output_Mac!C:C,""),
_xlpm.MyAuditVal,_xlfn.XLOOKUP($A36,My_Audit!$A:$A,My_Audit!C:C,""),
_xlfn.IFS(_xlpm.MyAuditVal&lt;&gt;"",_xlpm.MyAuditVal,_xlpm.MacVal&lt;&gt;"",_xlpm.MacVal,_xlpm.CSVVal&lt;&gt;"",_xlpm.CSVVal
)),"")</f>
        <v/>
      </c>
      <c r="E36" s="2">
        <f>_xlfn.XLOOKUP(A36,My_Audit!A:A,My_Audit!D:D,"")</f>
        <v>0</v>
      </c>
      <c r="F36" s="2" t="str" cm="1">
        <f t="array" ref="F36">IFERROR(_xlfn.LET(
_xlpm.CSVVal,_xlfn.XLOOKUP($A36,CSV!$A:$A,CSV!F:F,""),
_xlpm.MacVal,_xlfn.XLOOKUP($A36,Output_Mac!$A:$A,Output_Mac!E:E,""),
_xlpm.MyAuditVal,_xlfn.XLOOKUP($A36,My_Audit!$A:$A,My_Audit!E:E,""),
_xlfn.IFS(_xlpm.MyAuditVal&lt;&gt;"",_xlpm.MyAuditVal,_xlpm.MacVal&lt;&gt;"",_xlpm.MacVal,_xlpm.CSVVal&lt;&gt;"",_xlpm.CSVVal
)),"")</f>
        <v/>
      </c>
      <c r="G36" s="2" t="str" cm="1">
        <f t="array" ref="G36">IFERROR(_xlfn.LET(
_xlpm.CSVVal,_xlfn.XLOOKUP($A36,CSV!$A:$A,CSV!G:G,""),
_xlpm.MacVal,_xlfn.XLOOKUP($A36,Output_Mac!$A:$A,Output_Mac!F:F,""),
_xlpm.MyAuditVal,_xlfn.XLOOKUP($A36,My_Audit!$A:$A,My_Audit!F:F,""),
_xlfn.IFS(_xlpm.MyAuditVal&lt;&gt;"",_xlpm.MyAuditVal,_xlpm.MacVal&lt;&gt;"",_xlpm.MacVal,_xlpm.CSVVal&lt;&gt;"",PROPER(_xlpm.CSVVal)
)),"")</f>
        <v/>
      </c>
      <c r="H36" s="2" t="str" cm="1">
        <f t="array" ref="H36">IFERROR(_xlfn.LET(
_xlpm.CSVVal,_xlfn.XLOOKUP($A36,CSV!$A:$A,CSV!H:H,""),
_xlpm.MacVal,_xlfn.XLOOKUP($A36,Output_Mac!$A:$A,Output_Mac!H:H,""),
_xlpm.MyAuditVal,_xlfn.XLOOKUP($A36,My_Audit!$A:$A,My_Audit!G:G,""),
_xlfn.IFS(_xlpm.MyAuditVal&lt;&gt;"",_xlpm.MyAuditVal,_xlpm.MacVal&lt;&gt;"",_xlpm.MacVal,_xlpm.CSVVal&lt;&gt;"",_xlpm.CSVVal
)),"")</f>
        <v/>
      </c>
      <c r="I36" s="2" t="str">
        <f>_xlfn.XLOOKUP(A36,Output_Mac!A:A,Output_Mac!I:I,"")</f>
        <v/>
      </c>
      <c r="J36" s="2" t="str" cm="1">
        <f t="array" ref="J36">IFERROR(_xlfn.LET(
_xlpm.CSVVal,_xlfn.XLOOKUP($A36,CSV!$A:$A,CSV!I:I,""),
_xlpm.MacVal,_xlfn.XLOOKUP($A36,Output_Mac!$A:$A,Output_Mac!J:J,""),
_xlpm.MyAuditVal,_xlfn.XLOOKUP($A36,My_Audit!$A:$A,My_Audit!I:I,""),
_xlfn.IFS(_xlpm.MyAuditVal&lt;&gt;"",UPPER(_xlpm.MyAuditVal),_xlpm.MacVal&lt;&gt;"",_xlpm.MacVal,_xlpm.CSVVal&lt;&gt;"",_xlpm.CSVVal
)),"")</f>
        <v/>
      </c>
      <c r="K36" s="2" t="str" cm="1">
        <f t="array" ref="K36">IFERROR(_xlfn.LET(
_xlpm.CSVVal,_xlfn.XLOOKUP($A36,CSV!$A:$A,CSV!K:K,""),
_xlpm.MacVal,_xlfn.XLOOKUP($A36,Output_Mac!$A:$A,Output_Mac!K:K,""),
_xlpm.MyAuditVal,_xlfn.XLOOKUP($A36,My_Audit!$A:$A,My_Audit!J:J,""),
_xlfn.IFS(_xlpm.MyAuditVal&lt;&gt;"",UPPER(_xlpm.MyAuditVal),_xlpm.MacVal&lt;&gt;"",_xlpm.MacVal,_xlpm.CSVVal&lt;&gt;"",_xlpm.CSVVal
)),"")</f>
        <v/>
      </c>
      <c r="L36" s="2" t="str" cm="1">
        <f t="array" ref="L36">IFERROR(_xlfn.LET(
_xlpm.CSVVal,_xlfn.XLOOKUP($A36,CSV!$A:$A,CSV!P:P,""),
_xlpm.MacVal,_xlfn.XLOOKUP($A36,Output_Mac!$A:$A,Output_Mac!L:L,""),
_xlpm.MyAuditVal,_xlfn.XLOOKUP($A36,My_Audit!$A:$A,My_Audit!K:K,""),
_xlfn.IFS(_xlpm.MyAuditVal&lt;&gt;"",UPPER(_xlpm.MyAuditVal),_xlpm.MacVal&lt;&gt;"",_xlpm.MacVal,_xlpm.CSVVal&lt;&gt;"",_xlpm.CSVVal
)),"")</f>
        <v/>
      </c>
      <c r="M36" s="2" t="str" cm="1">
        <f t="array" ref="M36">IFERROR(_xlfn.LET(
_xlpm.CSVVal,_xlfn.XLOOKUP($A36,CSV!$A:$A,CSV!Q:Q,""),
_xlpm.MacVal,_xlfn.XLOOKUP($A36,Output_Mac!$A:$A,Output_Mac!M:M,""),
_xlpm.MyAuditVal,_xlfn.XLOOKUP($A36,My_Audit!$A:$A,My_Audit!L:L,""),
_xlfn.IFS(_xlpm.MyAuditVal&lt;&gt;"",UPPER(_xlpm.MyAuditVal),_xlpm.MacVal&lt;&gt;"",_xlpm.MacVal,_xlpm.CSVVal&lt;&gt;"",_xlpm.CSVVal
)),"")</f>
        <v/>
      </c>
      <c r="O36" s="2" t="str">
        <f>_xlfn.LET(
    _xlpm.CSVVal, _xlfn.XLOOKUP($A36, CSV!$A:$A, CSV!AA:AA, ""),
    _xlpm.MacVal, _xlfn.XLOOKUP($A36, Output_Mac!$A:$A, Output_Mac!S:S, ""),
    _xlpm.MyAuditVal, _xlfn.XLOOKUP($A36, My_Audit!$A:$A, My_Audit!P:P, ""),
    _xlfn.TEXTJOIN(", ", TRUE, _xlpm.MyAuditVal, _xlpm.MacVal, _xlpm.CSVVal)
)</f>
        <v/>
      </c>
      <c r="P36" s="2" t="str" cm="1">
        <f t="array" ref="P36">IFERROR(_xlfn.LET(
_xlpm.CSVVal,_xlfn.XLOOKUP($A36,CSV!$A:$A,CSV!AB:AB,""),
_xlpm.MacVal,_xlfn.XLOOKUP($A36,Output_Mac!$A:$A,Output_Mac!T:T,""),
_xlpm.MyAuditVal,_xlfn.XLOOKUP($A36,My_Audit!$A:$A,My_Audit!Q:Q,""),
_xlfn.IFS(_xlpm.MyAuditVal&lt;&gt;"",UPPER(_xlpm.MyAuditVal),_xlpm.MacVal&lt;&gt;"",_xlpm.MacVal,_xlpm.CSVVal&lt;&gt;"",_xlpm.CSVVal
)),"No")</f>
        <v>No</v>
      </c>
      <c r="Q36" s="2" t="str" cm="1">
        <f t="array" ref="Q36">IFERROR(_xlfn.LET(
_xlpm.CSVVal,_xlfn.XLOOKUP($A36,CSV!$A:$A,CSV!AC:AC,""),
_xlpm.MacVal,_xlfn.XLOOKUP($A36,Output_Mac!$A:$A,Output_Mac!U:U,""),
_xlpm.MyAuditVal,_xlfn.XLOOKUP($A36,My_Audit!$A:$A,My_Audit!R:R,""),
_xlfn.IFS(_xlpm.MyAuditVal&lt;&gt;"",UPPER(_xlpm.MyAuditVal),_xlpm.MacVal&lt;&gt;"",_xlpm.MacVal,_xlpm.CSVVal&lt;&gt;"",_xlpm.CSVVal
)),"")</f>
        <v/>
      </c>
      <c r="X36" t="str">
        <f>_xlfn.LET(
    _xlpm.MacVal, _xlfn.XLOOKUP($A36, Output_Mac!$A:$A, Output_Mac!AB:AB, ""),
    _xlpm.MyAuditVal, _xlfn.XLOOKUP($A36, My_Audit!$A:$A, My_Audit!N:N, ""),
    _xlfn.TEXTJOIN(", ", TRUE, _xlpm.MyAuditVal, _xlpm.MacVal)
)</f>
        <v/>
      </c>
    </row>
    <row r="37" spans="1:24">
      <c r="A37" s="2" t="str">
        <f>_xlfn.TEXTJOIN("",TRUE,Input!$B$2,ROW(My_Audit!A36))</f>
        <v>X36</v>
      </c>
      <c r="B37" s="2" t="str">
        <f>_xlfn.TEXTJOIN("-",TRUE,"ITD",Input!$A$2,A37)</f>
        <v>ITD-SHR-X36</v>
      </c>
      <c r="C37" s="2" t="str" cm="1">
        <f t="array" ref="C37">IFERROR(_xlfn.LET(
_xlpm.CSVVal,_xlfn.XLOOKUP($A37,CSV!$A:$A,CSV!B:B,""),
_xlpm.MacVal,_xlfn.XLOOKUP($A37,Output_Mac!$A:$A,Output_Mac!B:B,""),
_xlpm.MyAuditVal,_xlfn.XLOOKUP($A37,My_Audit!$A:$A,My_Audit!B:B,""),
_xlfn.IFS(_xlpm.MyAuditVal&lt;&gt;"",UPPER(_xlpm.MyAuditVal),_xlpm.MacVal&lt;&gt;"",_xlpm.MacVal,_xlpm.CSVVal&lt;&gt;"",_xlpm.CSVVal
)),"")</f>
        <v/>
      </c>
      <c r="D37" s="2" t="str" cm="1">
        <f t="array" ref="D37">IFERROR(_xlfn.LET(
_xlpm.CSVVal,_xlfn.XLOOKUP($A37,CSV!$A:$A,CSV!D:D,""),
_xlpm.MacVal,_xlfn.XLOOKUP($A37,Output_Mac!$A:$A,Output_Mac!C:C,""),
_xlpm.MyAuditVal,_xlfn.XLOOKUP($A37,My_Audit!$A:$A,My_Audit!C:C,""),
_xlfn.IFS(_xlpm.MyAuditVal&lt;&gt;"",_xlpm.MyAuditVal,_xlpm.MacVal&lt;&gt;"",_xlpm.MacVal,_xlpm.CSVVal&lt;&gt;"",_xlpm.CSVVal
)),"")</f>
        <v/>
      </c>
      <c r="E37" s="2">
        <f>_xlfn.XLOOKUP(A37,My_Audit!A:A,My_Audit!D:D,"")</f>
        <v>0</v>
      </c>
      <c r="F37" s="2" t="str" cm="1">
        <f t="array" ref="F37">IFERROR(_xlfn.LET(
_xlpm.CSVVal,_xlfn.XLOOKUP($A37,CSV!$A:$A,CSV!F:F,""),
_xlpm.MacVal,_xlfn.XLOOKUP($A37,Output_Mac!$A:$A,Output_Mac!E:E,""),
_xlpm.MyAuditVal,_xlfn.XLOOKUP($A37,My_Audit!$A:$A,My_Audit!E:E,""),
_xlfn.IFS(_xlpm.MyAuditVal&lt;&gt;"",_xlpm.MyAuditVal,_xlpm.MacVal&lt;&gt;"",_xlpm.MacVal,_xlpm.CSVVal&lt;&gt;"",_xlpm.CSVVal
)),"")</f>
        <v/>
      </c>
      <c r="G37" s="2" t="str" cm="1">
        <f t="array" ref="G37">IFERROR(_xlfn.LET(
_xlpm.CSVVal,_xlfn.XLOOKUP($A37,CSV!$A:$A,CSV!G:G,""),
_xlpm.MacVal,_xlfn.XLOOKUP($A37,Output_Mac!$A:$A,Output_Mac!F:F,""),
_xlpm.MyAuditVal,_xlfn.XLOOKUP($A37,My_Audit!$A:$A,My_Audit!F:F,""),
_xlfn.IFS(_xlpm.MyAuditVal&lt;&gt;"",_xlpm.MyAuditVal,_xlpm.MacVal&lt;&gt;"",_xlpm.MacVal,_xlpm.CSVVal&lt;&gt;"",PROPER(_xlpm.CSVVal)
)),"")</f>
        <v/>
      </c>
      <c r="H37" s="2" t="str" cm="1">
        <f t="array" ref="H37">IFERROR(_xlfn.LET(
_xlpm.CSVVal,_xlfn.XLOOKUP($A37,CSV!$A:$A,CSV!H:H,""),
_xlpm.MacVal,_xlfn.XLOOKUP($A37,Output_Mac!$A:$A,Output_Mac!H:H,""),
_xlpm.MyAuditVal,_xlfn.XLOOKUP($A37,My_Audit!$A:$A,My_Audit!G:G,""),
_xlfn.IFS(_xlpm.MyAuditVal&lt;&gt;"",_xlpm.MyAuditVal,_xlpm.MacVal&lt;&gt;"",_xlpm.MacVal,_xlpm.CSVVal&lt;&gt;"",_xlpm.CSVVal
)),"")</f>
        <v/>
      </c>
      <c r="I37" s="2" t="str">
        <f>_xlfn.XLOOKUP(A37,Output_Mac!A:A,Output_Mac!I:I,"")</f>
        <v/>
      </c>
      <c r="J37" s="2" t="str" cm="1">
        <f t="array" ref="J37">IFERROR(_xlfn.LET(
_xlpm.CSVVal,_xlfn.XLOOKUP($A37,CSV!$A:$A,CSV!I:I,""),
_xlpm.MacVal,_xlfn.XLOOKUP($A37,Output_Mac!$A:$A,Output_Mac!J:J,""),
_xlpm.MyAuditVal,_xlfn.XLOOKUP($A37,My_Audit!$A:$A,My_Audit!I:I,""),
_xlfn.IFS(_xlpm.MyAuditVal&lt;&gt;"",UPPER(_xlpm.MyAuditVal),_xlpm.MacVal&lt;&gt;"",_xlpm.MacVal,_xlpm.CSVVal&lt;&gt;"",_xlpm.CSVVal
)),"")</f>
        <v/>
      </c>
      <c r="K37" s="2" t="str" cm="1">
        <f t="array" ref="K37">IFERROR(_xlfn.LET(
_xlpm.CSVVal,_xlfn.XLOOKUP($A37,CSV!$A:$A,CSV!K:K,""),
_xlpm.MacVal,_xlfn.XLOOKUP($A37,Output_Mac!$A:$A,Output_Mac!K:K,""),
_xlpm.MyAuditVal,_xlfn.XLOOKUP($A37,My_Audit!$A:$A,My_Audit!J:J,""),
_xlfn.IFS(_xlpm.MyAuditVal&lt;&gt;"",UPPER(_xlpm.MyAuditVal),_xlpm.MacVal&lt;&gt;"",_xlpm.MacVal,_xlpm.CSVVal&lt;&gt;"",_xlpm.CSVVal
)),"")</f>
        <v/>
      </c>
      <c r="L37" s="2" t="str" cm="1">
        <f t="array" ref="L37">IFERROR(_xlfn.LET(
_xlpm.CSVVal,_xlfn.XLOOKUP($A37,CSV!$A:$A,CSV!P:P,""),
_xlpm.MacVal,_xlfn.XLOOKUP($A37,Output_Mac!$A:$A,Output_Mac!L:L,""),
_xlpm.MyAuditVal,_xlfn.XLOOKUP($A37,My_Audit!$A:$A,My_Audit!K:K,""),
_xlfn.IFS(_xlpm.MyAuditVal&lt;&gt;"",UPPER(_xlpm.MyAuditVal),_xlpm.MacVal&lt;&gt;"",_xlpm.MacVal,_xlpm.CSVVal&lt;&gt;"",_xlpm.CSVVal
)),"")</f>
        <v/>
      </c>
      <c r="M37" s="2" t="str" cm="1">
        <f t="array" ref="M37">IFERROR(_xlfn.LET(
_xlpm.CSVVal,_xlfn.XLOOKUP($A37,CSV!$A:$A,CSV!Q:Q,""),
_xlpm.MacVal,_xlfn.XLOOKUP($A37,Output_Mac!$A:$A,Output_Mac!M:M,""),
_xlpm.MyAuditVal,_xlfn.XLOOKUP($A37,My_Audit!$A:$A,My_Audit!L:L,""),
_xlfn.IFS(_xlpm.MyAuditVal&lt;&gt;"",UPPER(_xlpm.MyAuditVal),_xlpm.MacVal&lt;&gt;"",_xlpm.MacVal,_xlpm.CSVVal&lt;&gt;"",_xlpm.CSVVal
)),"")</f>
        <v/>
      </c>
      <c r="O37" s="2" t="str">
        <f>_xlfn.LET(
    _xlpm.CSVVal, _xlfn.XLOOKUP($A37, CSV!$A:$A, CSV!AA:AA, ""),
    _xlpm.MacVal, _xlfn.XLOOKUP($A37, Output_Mac!$A:$A, Output_Mac!S:S, ""),
    _xlpm.MyAuditVal, _xlfn.XLOOKUP($A37, My_Audit!$A:$A, My_Audit!P:P, ""),
    _xlfn.TEXTJOIN(", ", TRUE, _xlpm.MyAuditVal, _xlpm.MacVal, _xlpm.CSVVal)
)</f>
        <v/>
      </c>
      <c r="P37" s="2" t="str" cm="1">
        <f t="array" ref="P37">IFERROR(_xlfn.LET(
_xlpm.CSVVal,_xlfn.XLOOKUP($A37,CSV!$A:$A,CSV!AB:AB,""),
_xlpm.MacVal,_xlfn.XLOOKUP($A37,Output_Mac!$A:$A,Output_Mac!T:T,""),
_xlpm.MyAuditVal,_xlfn.XLOOKUP($A37,My_Audit!$A:$A,My_Audit!Q:Q,""),
_xlfn.IFS(_xlpm.MyAuditVal&lt;&gt;"",UPPER(_xlpm.MyAuditVal),_xlpm.MacVal&lt;&gt;"",_xlpm.MacVal,_xlpm.CSVVal&lt;&gt;"",_xlpm.CSVVal
)),"No")</f>
        <v>No</v>
      </c>
      <c r="Q37" s="2" t="str" cm="1">
        <f t="array" ref="Q37">IFERROR(_xlfn.LET(
_xlpm.CSVVal,_xlfn.XLOOKUP($A37,CSV!$A:$A,CSV!AC:AC,""),
_xlpm.MacVal,_xlfn.XLOOKUP($A37,Output_Mac!$A:$A,Output_Mac!U:U,""),
_xlpm.MyAuditVal,_xlfn.XLOOKUP($A37,My_Audit!$A:$A,My_Audit!R:R,""),
_xlfn.IFS(_xlpm.MyAuditVal&lt;&gt;"",UPPER(_xlpm.MyAuditVal),_xlpm.MacVal&lt;&gt;"",_xlpm.MacVal,_xlpm.CSVVal&lt;&gt;"",_xlpm.CSVVal
)),"")</f>
        <v/>
      </c>
      <c r="X37" t="str">
        <f>_xlfn.LET(
    _xlpm.MacVal, _xlfn.XLOOKUP($A37, Output_Mac!$A:$A, Output_Mac!AB:AB, ""),
    _xlpm.MyAuditVal, _xlfn.XLOOKUP($A37, My_Audit!$A:$A, My_Audit!N:N, ""),
    _xlfn.TEXTJOIN(", ", TRUE, _xlpm.MyAuditVal, _xlpm.MacVal)
)</f>
        <v/>
      </c>
    </row>
    <row r="38" spans="1:24">
      <c r="A38" s="2" t="str">
        <f>_xlfn.TEXTJOIN("",TRUE,Input!$B$2,ROW(My_Audit!A37))</f>
        <v>X37</v>
      </c>
      <c r="B38" s="2" t="str">
        <f>_xlfn.TEXTJOIN("-",TRUE,"ITD",Input!$A$2,A38)</f>
        <v>ITD-SHR-X37</v>
      </c>
      <c r="C38" s="2" t="str" cm="1">
        <f t="array" ref="C38">IFERROR(_xlfn.LET(
_xlpm.CSVVal,_xlfn.XLOOKUP($A38,CSV!$A:$A,CSV!B:B,""),
_xlpm.MacVal,_xlfn.XLOOKUP($A38,Output_Mac!$A:$A,Output_Mac!B:B,""),
_xlpm.MyAuditVal,_xlfn.XLOOKUP($A38,My_Audit!$A:$A,My_Audit!B:B,""),
_xlfn.IFS(_xlpm.MyAuditVal&lt;&gt;"",UPPER(_xlpm.MyAuditVal),_xlpm.MacVal&lt;&gt;"",_xlpm.MacVal,_xlpm.CSVVal&lt;&gt;"",_xlpm.CSVVal
)),"")</f>
        <v/>
      </c>
      <c r="D38" s="2" t="str" cm="1">
        <f t="array" ref="D38">IFERROR(_xlfn.LET(
_xlpm.CSVVal,_xlfn.XLOOKUP($A38,CSV!$A:$A,CSV!D:D,""),
_xlpm.MacVal,_xlfn.XLOOKUP($A38,Output_Mac!$A:$A,Output_Mac!C:C,""),
_xlpm.MyAuditVal,_xlfn.XLOOKUP($A38,My_Audit!$A:$A,My_Audit!C:C,""),
_xlfn.IFS(_xlpm.MyAuditVal&lt;&gt;"",_xlpm.MyAuditVal,_xlpm.MacVal&lt;&gt;"",_xlpm.MacVal,_xlpm.CSVVal&lt;&gt;"",_xlpm.CSVVal
)),"")</f>
        <v/>
      </c>
      <c r="E38" s="2">
        <f>_xlfn.XLOOKUP(A38,My_Audit!A:A,My_Audit!D:D,"")</f>
        <v>0</v>
      </c>
      <c r="F38" s="2" t="str" cm="1">
        <f t="array" ref="F38">IFERROR(_xlfn.LET(
_xlpm.CSVVal,_xlfn.XLOOKUP($A38,CSV!$A:$A,CSV!F:F,""),
_xlpm.MacVal,_xlfn.XLOOKUP($A38,Output_Mac!$A:$A,Output_Mac!E:E,""),
_xlpm.MyAuditVal,_xlfn.XLOOKUP($A38,My_Audit!$A:$A,My_Audit!E:E,""),
_xlfn.IFS(_xlpm.MyAuditVal&lt;&gt;"",_xlpm.MyAuditVal,_xlpm.MacVal&lt;&gt;"",_xlpm.MacVal,_xlpm.CSVVal&lt;&gt;"",_xlpm.CSVVal
)),"")</f>
        <v/>
      </c>
      <c r="G38" s="2" t="str" cm="1">
        <f t="array" ref="G38">IFERROR(_xlfn.LET(
_xlpm.CSVVal,_xlfn.XLOOKUP($A38,CSV!$A:$A,CSV!G:G,""),
_xlpm.MacVal,_xlfn.XLOOKUP($A38,Output_Mac!$A:$A,Output_Mac!F:F,""),
_xlpm.MyAuditVal,_xlfn.XLOOKUP($A38,My_Audit!$A:$A,My_Audit!F:F,""),
_xlfn.IFS(_xlpm.MyAuditVal&lt;&gt;"",_xlpm.MyAuditVal,_xlpm.MacVal&lt;&gt;"",_xlpm.MacVal,_xlpm.CSVVal&lt;&gt;"",PROPER(_xlpm.CSVVal)
)),"")</f>
        <v/>
      </c>
      <c r="H38" s="2" t="str" cm="1">
        <f t="array" ref="H38">IFERROR(_xlfn.LET(
_xlpm.CSVVal,_xlfn.XLOOKUP($A38,CSV!$A:$A,CSV!H:H,""),
_xlpm.MacVal,_xlfn.XLOOKUP($A38,Output_Mac!$A:$A,Output_Mac!H:H,""),
_xlpm.MyAuditVal,_xlfn.XLOOKUP($A38,My_Audit!$A:$A,My_Audit!G:G,""),
_xlfn.IFS(_xlpm.MyAuditVal&lt;&gt;"",_xlpm.MyAuditVal,_xlpm.MacVal&lt;&gt;"",_xlpm.MacVal,_xlpm.CSVVal&lt;&gt;"",_xlpm.CSVVal
)),"")</f>
        <v/>
      </c>
      <c r="I38" s="2" t="str">
        <f>_xlfn.XLOOKUP(A38,Output_Mac!A:A,Output_Mac!I:I,"")</f>
        <v/>
      </c>
      <c r="J38" s="2" t="str" cm="1">
        <f t="array" ref="J38">IFERROR(_xlfn.LET(
_xlpm.CSVVal,_xlfn.XLOOKUP($A38,CSV!$A:$A,CSV!I:I,""),
_xlpm.MacVal,_xlfn.XLOOKUP($A38,Output_Mac!$A:$A,Output_Mac!J:J,""),
_xlpm.MyAuditVal,_xlfn.XLOOKUP($A38,My_Audit!$A:$A,My_Audit!I:I,""),
_xlfn.IFS(_xlpm.MyAuditVal&lt;&gt;"",UPPER(_xlpm.MyAuditVal),_xlpm.MacVal&lt;&gt;"",_xlpm.MacVal,_xlpm.CSVVal&lt;&gt;"",_xlpm.CSVVal
)),"")</f>
        <v/>
      </c>
      <c r="K38" s="2" t="str" cm="1">
        <f t="array" ref="K38">IFERROR(_xlfn.LET(
_xlpm.CSVVal,_xlfn.XLOOKUP($A38,CSV!$A:$A,CSV!K:K,""),
_xlpm.MacVal,_xlfn.XLOOKUP($A38,Output_Mac!$A:$A,Output_Mac!K:K,""),
_xlpm.MyAuditVal,_xlfn.XLOOKUP($A38,My_Audit!$A:$A,My_Audit!J:J,""),
_xlfn.IFS(_xlpm.MyAuditVal&lt;&gt;"",UPPER(_xlpm.MyAuditVal),_xlpm.MacVal&lt;&gt;"",_xlpm.MacVal,_xlpm.CSVVal&lt;&gt;"",_xlpm.CSVVal
)),"")</f>
        <v/>
      </c>
      <c r="L38" s="2" t="str" cm="1">
        <f t="array" ref="L38">IFERROR(_xlfn.LET(
_xlpm.CSVVal,_xlfn.XLOOKUP($A38,CSV!$A:$A,CSV!P:P,""),
_xlpm.MacVal,_xlfn.XLOOKUP($A38,Output_Mac!$A:$A,Output_Mac!L:L,""),
_xlpm.MyAuditVal,_xlfn.XLOOKUP($A38,My_Audit!$A:$A,My_Audit!K:K,""),
_xlfn.IFS(_xlpm.MyAuditVal&lt;&gt;"",UPPER(_xlpm.MyAuditVal),_xlpm.MacVal&lt;&gt;"",_xlpm.MacVal,_xlpm.CSVVal&lt;&gt;"",_xlpm.CSVVal
)),"")</f>
        <v/>
      </c>
      <c r="M38" s="2" t="str" cm="1">
        <f t="array" ref="M38">IFERROR(_xlfn.LET(
_xlpm.CSVVal,_xlfn.XLOOKUP($A38,CSV!$A:$A,CSV!Q:Q,""),
_xlpm.MacVal,_xlfn.XLOOKUP($A38,Output_Mac!$A:$A,Output_Mac!M:M,""),
_xlpm.MyAuditVal,_xlfn.XLOOKUP($A38,My_Audit!$A:$A,My_Audit!L:L,""),
_xlfn.IFS(_xlpm.MyAuditVal&lt;&gt;"",UPPER(_xlpm.MyAuditVal),_xlpm.MacVal&lt;&gt;"",_xlpm.MacVal,_xlpm.CSVVal&lt;&gt;"",_xlpm.CSVVal
)),"")</f>
        <v/>
      </c>
      <c r="O38" s="2" t="str">
        <f>_xlfn.LET(
    _xlpm.CSVVal, _xlfn.XLOOKUP($A38, CSV!$A:$A, CSV!AA:AA, ""),
    _xlpm.MacVal, _xlfn.XLOOKUP($A38, Output_Mac!$A:$A, Output_Mac!S:S, ""),
    _xlpm.MyAuditVal, _xlfn.XLOOKUP($A38, My_Audit!$A:$A, My_Audit!P:P, ""),
    _xlfn.TEXTJOIN(", ", TRUE, _xlpm.MyAuditVal, _xlpm.MacVal, _xlpm.CSVVal)
)</f>
        <v/>
      </c>
      <c r="P38" s="2" t="str" cm="1">
        <f t="array" ref="P38">IFERROR(_xlfn.LET(
_xlpm.CSVVal,_xlfn.XLOOKUP($A38,CSV!$A:$A,CSV!AB:AB,""),
_xlpm.MacVal,_xlfn.XLOOKUP($A38,Output_Mac!$A:$A,Output_Mac!T:T,""),
_xlpm.MyAuditVal,_xlfn.XLOOKUP($A38,My_Audit!$A:$A,My_Audit!Q:Q,""),
_xlfn.IFS(_xlpm.MyAuditVal&lt;&gt;"",UPPER(_xlpm.MyAuditVal),_xlpm.MacVal&lt;&gt;"",_xlpm.MacVal,_xlpm.CSVVal&lt;&gt;"",_xlpm.CSVVal
)),"No")</f>
        <v>No</v>
      </c>
      <c r="Q38" s="2" t="str" cm="1">
        <f t="array" ref="Q38">IFERROR(_xlfn.LET(
_xlpm.CSVVal,_xlfn.XLOOKUP($A38,CSV!$A:$A,CSV!AC:AC,""),
_xlpm.MacVal,_xlfn.XLOOKUP($A38,Output_Mac!$A:$A,Output_Mac!U:U,""),
_xlpm.MyAuditVal,_xlfn.XLOOKUP($A38,My_Audit!$A:$A,My_Audit!R:R,""),
_xlfn.IFS(_xlpm.MyAuditVal&lt;&gt;"",UPPER(_xlpm.MyAuditVal),_xlpm.MacVal&lt;&gt;"",_xlpm.MacVal,_xlpm.CSVVal&lt;&gt;"",_xlpm.CSVVal
)),"")</f>
        <v/>
      </c>
      <c r="X38" t="str">
        <f>_xlfn.LET(
    _xlpm.MacVal, _xlfn.XLOOKUP($A38, Output_Mac!$A:$A, Output_Mac!AB:AB, ""),
    _xlpm.MyAuditVal, _xlfn.XLOOKUP($A38, My_Audit!$A:$A, My_Audit!N:N, ""),
    _xlfn.TEXTJOIN(", ", TRUE, _xlpm.MyAuditVal, _xlpm.MacVal)
)</f>
        <v/>
      </c>
    </row>
    <row r="39" spans="1:24">
      <c r="A39" s="2" t="str">
        <f>_xlfn.TEXTJOIN("",TRUE,Input!$B$2,ROW(My_Audit!A38))</f>
        <v>X38</v>
      </c>
      <c r="B39" s="2" t="str">
        <f>_xlfn.TEXTJOIN("-",TRUE,"ITD",Input!$A$2,A39)</f>
        <v>ITD-SHR-X38</v>
      </c>
      <c r="C39" s="2" t="str" cm="1">
        <f t="array" ref="C39">IFERROR(_xlfn.LET(
_xlpm.CSVVal,_xlfn.XLOOKUP($A39,CSV!$A:$A,CSV!B:B,""),
_xlpm.MacVal,_xlfn.XLOOKUP($A39,Output_Mac!$A:$A,Output_Mac!B:B,""),
_xlpm.MyAuditVal,_xlfn.XLOOKUP($A39,My_Audit!$A:$A,My_Audit!B:B,""),
_xlfn.IFS(_xlpm.MyAuditVal&lt;&gt;"",UPPER(_xlpm.MyAuditVal),_xlpm.MacVal&lt;&gt;"",_xlpm.MacVal,_xlpm.CSVVal&lt;&gt;"",_xlpm.CSVVal
)),"")</f>
        <v/>
      </c>
      <c r="D39" s="2" t="str" cm="1">
        <f t="array" ref="D39">IFERROR(_xlfn.LET(
_xlpm.CSVVal,_xlfn.XLOOKUP($A39,CSV!$A:$A,CSV!D:D,""),
_xlpm.MacVal,_xlfn.XLOOKUP($A39,Output_Mac!$A:$A,Output_Mac!C:C,""),
_xlpm.MyAuditVal,_xlfn.XLOOKUP($A39,My_Audit!$A:$A,My_Audit!C:C,""),
_xlfn.IFS(_xlpm.MyAuditVal&lt;&gt;"",_xlpm.MyAuditVal,_xlpm.MacVal&lt;&gt;"",_xlpm.MacVal,_xlpm.CSVVal&lt;&gt;"",_xlpm.CSVVal
)),"")</f>
        <v/>
      </c>
      <c r="E39" s="2">
        <f>_xlfn.XLOOKUP(A39,My_Audit!A:A,My_Audit!D:D,"")</f>
        <v>0</v>
      </c>
      <c r="F39" s="2" t="str" cm="1">
        <f t="array" ref="F39">IFERROR(_xlfn.LET(
_xlpm.CSVVal,_xlfn.XLOOKUP($A39,CSV!$A:$A,CSV!F:F,""),
_xlpm.MacVal,_xlfn.XLOOKUP($A39,Output_Mac!$A:$A,Output_Mac!E:E,""),
_xlpm.MyAuditVal,_xlfn.XLOOKUP($A39,My_Audit!$A:$A,My_Audit!E:E,""),
_xlfn.IFS(_xlpm.MyAuditVal&lt;&gt;"",_xlpm.MyAuditVal,_xlpm.MacVal&lt;&gt;"",_xlpm.MacVal,_xlpm.CSVVal&lt;&gt;"",_xlpm.CSVVal
)),"")</f>
        <v/>
      </c>
      <c r="G39" s="2" t="str" cm="1">
        <f t="array" ref="G39">IFERROR(_xlfn.LET(
_xlpm.CSVVal,_xlfn.XLOOKUP($A39,CSV!$A:$A,CSV!G:G,""),
_xlpm.MacVal,_xlfn.XLOOKUP($A39,Output_Mac!$A:$A,Output_Mac!F:F,""),
_xlpm.MyAuditVal,_xlfn.XLOOKUP($A39,My_Audit!$A:$A,My_Audit!F:F,""),
_xlfn.IFS(_xlpm.MyAuditVal&lt;&gt;"",_xlpm.MyAuditVal,_xlpm.MacVal&lt;&gt;"",_xlpm.MacVal,_xlpm.CSVVal&lt;&gt;"",PROPER(_xlpm.CSVVal)
)),"")</f>
        <v/>
      </c>
      <c r="H39" s="2" t="str" cm="1">
        <f t="array" ref="H39">IFERROR(_xlfn.LET(
_xlpm.CSVVal,_xlfn.XLOOKUP($A39,CSV!$A:$A,CSV!H:H,""),
_xlpm.MacVal,_xlfn.XLOOKUP($A39,Output_Mac!$A:$A,Output_Mac!H:H,""),
_xlpm.MyAuditVal,_xlfn.XLOOKUP($A39,My_Audit!$A:$A,My_Audit!G:G,""),
_xlfn.IFS(_xlpm.MyAuditVal&lt;&gt;"",_xlpm.MyAuditVal,_xlpm.MacVal&lt;&gt;"",_xlpm.MacVal,_xlpm.CSVVal&lt;&gt;"",_xlpm.CSVVal
)),"")</f>
        <v/>
      </c>
      <c r="I39" s="2" t="str">
        <f>_xlfn.XLOOKUP(A39,Output_Mac!A:A,Output_Mac!I:I,"")</f>
        <v/>
      </c>
      <c r="J39" s="2" t="str" cm="1">
        <f t="array" ref="J39">IFERROR(_xlfn.LET(
_xlpm.CSVVal,_xlfn.XLOOKUP($A39,CSV!$A:$A,CSV!I:I,""),
_xlpm.MacVal,_xlfn.XLOOKUP($A39,Output_Mac!$A:$A,Output_Mac!J:J,""),
_xlpm.MyAuditVal,_xlfn.XLOOKUP($A39,My_Audit!$A:$A,My_Audit!I:I,""),
_xlfn.IFS(_xlpm.MyAuditVal&lt;&gt;"",UPPER(_xlpm.MyAuditVal),_xlpm.MacVal&lt;&gt;"",_xlpm.MacVal,_xlpm.CSVVal&lt;&gt;"",_xlpm.CSVVal
)),"")</f>
        <v/>
      </c>
      <c r="K39" s="2" t="str" cm="1">
        <f t="array" ref="K39">IFERROR(_xlfn.LET(
_xlpm.CSVVal,_xlfn.XLOOKUP($A39,CSV!$A:$A,CSV!K:K,""),
_xlpm.MacVal,_xlfn.XLOOKUP($A39,Output_Mac!$A:$A,Output_Mac!K:K,""),
_xlpm.MyAuditVal,_xlfn.XLOOKUP($A39,My_Audit!$A:$A,My_Audit!J:J,""),
_xlfn.IFS(_xlpm.MyAuditVal&lt;&gt;"",UPPER(_xlpm.MyAuditVal),_xlpm.MacVal&lt;&gt;"",_xlpm.MacVal,_xlpm.CSVVal&lt;&gt;"",_xlpm.CSVVal
)),"")</f>
        <v/>
      </c>
      <c r="L39" s="2" t="str" cm="1">
        <f t="array" ref="L39">IFERROR(_xlfn.LET(
_xlpm.CSVVal,_xlfn.XLOOKUP($A39,CSV!$A:$A,CSV!P:P,""),
_xlpm.MacVal,_xlfn.XLOOKUP($A39,Output_Mac!$A:$A,Output_Mac!L:L,""),
_xlpm.MyAuditVal,_xlfn.XLOOKUP($A39,My_Audit!$A:$A,My_Audit!K:K,""),
_xlfn.IFS(_xlpm.MyAuditVal&lt;&gt;"",UPPER(_xlpm.MyAuditVal),_xlpm.MacVal&lt;&gt;"",_xlpm.MacVal,_xlpm.CSVVal&lt;&gt;"",_xlpm.CSVVal
)),"")</f>
        <v/>
      </c>
      <c r="M39" s="2" t="str" cm="1">
        <f t="array" ref="M39">IFERROR(_xlfn.LET(
_xlpm.CSVVal,_xlfn.XLOOKUP($A39,CSV!$A:$A,CSV!Q:Q,""),
_xlpm.MacVal,_xlfn.XLOOKUP($A39,Output_Mac!$A:$A,Output_Mac!M:M,""),
_xlpm.MyAuditVal,_xlfn.XLOOKUP($A39,My_Audit!$A:$A,My_Audit!L:L,""),
_xlfn.IFS(_xlpm.MyAuditVal&lt;&gt;"",UPPER(_xlpm.MyAuditVal),_xlpm.MacVal&lt;&gt;"",_xlpm.MacVal,_xlpm.CSVVal&lt;&gt;"",_xlpm.CSVVal
)),"")</f>
        <v/>
      </c>
      <c r="O39" s="2" t="str">
        <f>_xlfn.LET(
    _xlpm.CSVVal, _xlfn.XLOOKUP($A39, CSV!$A:$A, CSV!AA:AA, ""),
    _xlpm.MacVal, _xlfn.XLOOKUP($A39, Output_Mac!$A:$A, Output_Mac!S:S, ""),
    _xlpm.MyAuditVal, _xlfn.XLOOKUP($A39, My_Audit!$A:$A, My_Audit!P:P, ""),
    _xlfn.TEXTJOIN(", ", TRUE, _xlpm.MyAuditVal, _xlpm.MacVal, _xlpm.CSVVal)
)</f>
        <v/>
      </c>
      <c r="P39" s="2" t="str" cm="1">
        <f t="array" ref="P39">IFERROR(_xlfn.LET(
_xlpm.CSVVal,_xlfn.XLOOKUP($A39,CSV!$A:$A,CSV!AB:AB,""),
_xlpm.MacVal,_xlfn.XLOOKUP($A39,Output_Mac!$A:$A,Output_Mac!T:T,""),
_xlpm.MyAuditVal,_xlfn.XLOOKUP($A39,My_Audit!$A:$A,My_Audit!Q:Q,""),
_xlfn.IFS(_xlpm.MyAuditVal&lt;&gt;"",UPPER(_xlpm.MyAuditVal),_xlpm.MacVal&lt;&gt;"",_xlpm.MacVal,_xlpm.CSVVal&lt;&gt;"",_xlpm.CSVVal
)),"No")</f>
        <v>No</v>
      </c>
      <c r="Q39" s="2" t="str" cm="1">
        <f t="array" ref="Q39">IFERROR(_xlfn.LET(
_xlpm.CSVVal,_xlfn.XLOOKUP($A39,CSV!$A:$A,CSV!AC:AC,""),
_xlpm.MacVal,_xlfn.XLOOKUP($A39,Output_Mac!$A:$A,Output_Mac!U:U,""),
_xlpm.MyAuditVal,_xlfn.XLOOKUP($A39,My_Audit!$A:$A,My_Audit!R:R,""),
_xlfn.IFS(_xlpm.MyAuditVal&lt;&gt;"",UPPER(_xlpm.MyAuditVal),_xlpm.MacVal&lt;&gt;"",_xlpm.MacVal,_xlpm.CSVVal&lt;&gt;"",_xlpm.CSVVal
)),"")</f>
        <v/>
      </c>
      <c r="X39" t="str">
        <f>_xlfn.LET(
    _xlpm.MacVal, _xlfn.XLOOKUP($A39, Output_Mac!$A:$A, Output_Mac!AB:AB, ""),
    _xlpm.MyAuditVal, _xlfn.XLOOKUP($A39, My_Audit!$A:$A, My_Audit!N:N, ""),
    _xlfn.TEXTJOIN(", ", TRUE, _xlpm.MyAuditVal, _xlpm.MacVal)
)</f>
        <v/>
      </c>
    </row>
    <row r="40" spans="1:24">
      <c r="A40" s="2" t="str">
        <f>_xlfn.TEXTJOIN("",TRUE,Input!$B$2,ROW(My_Audit!A39))</f>
        <v>X39</v>
      </c>
      <c r="B40" s="2" t="str">
        <f>_xlfn.TEXTJOIN("-",TRUE,"ITD",Input!$A$2,A40)</f>
        <v>ITD-SHR-X39</v>
      </c>
      <c r="C40" s="2" t="str" cm="1">
        <f t="array" ref="C40">IFERROR(_xlfn.LET(
_xlpm.CSVVal,_xlfn.XLOOKUP($A40,CSV!$A:$A,CSV!B:B,""),
_xlpm.MacVal,_xlfn.XLOOKUP($A40,Output_Mac!$A:$A,Output_Mac!B:B,""),
_xlpm.MyAuditVal,_xlfn.XLOOKUP($A40,My_Audit!$A:$A,My_Audit!B:B,""),
_xlfn.IFS(_xlpm.MyAuditVal&lt;&gt;"",UPPER(_xlpm.MyAuditVal),_xlpm.MacVal&lt;&gt;"",_xlpm.MacVal,_xlpm.CSVVal&lt;&gt;"",_xlpm.CSVVal
)),"")</f>
        <v/>
      </c>
      <c r="D40" s="2" t="str" cm="1">
        <f t="array" ref="D40">IFERROR(_xlfn.LET(
_xlpm.CSVVal,_xlfn.XLOOKUP($A40,CSV!$A:$A,CSV!D:D,""),
_xlpm.MacVal,_xlfn.XLOOKUP($A40,Output_Mac!$A:$A,Output_Mac!C:C,""),
_xlpm.MyAuditVal,_xlfn.XLOOKUP($A40,My_Audit!$A:$A,My_Audit!C:C,""),
_xlfn.IFS(_xlpm.MyAuditVal&lt;&gt;"",_xlpm.MyAuditVal,_xlpm.MacVal&lt;&gt;"",_xlpm.MacVal,_xlpm.CSVVal&lt;&gt;"",_xlpm.CSVVal
)),"")</f>
        <v/>
      </c>
      <c r="E40" s="2">
        <f>_xlfn.XLOOKUP(A40,My_Audit!A:A,My_Audit!D:D,"")</f>
        <v>0</v>
      </c>
      <c r="F40" s="2" t="str" cm="1">
        <f t="array" ref="F40">IFERROR(_xlfn.LET(
_xlpm.CSVVal,_xlfn.XLOOKUP($A40,CSV!$A:$A,CSV!F:F,""),
_xlpm.MacVal,_xlfn.XLOOKUP($A40,Output_Mac!$A:$A,Output_Mac!E:E,""),
_xlpm.MyAuditVal,_xlfn.XLOOKUP($A40,My_Audit!$A:$A,My_Audit!E:E,""),
_xlfn.IFS(_xlpm.MyAuditVal&lt;&gt;"",_xlpm.MyAuditVal,_xlpm.MacVal&lt;&gt;"",_xlpm.MacVal,_xlpm.CSVVal&lt;&gt;"",_xlpm.CSVVal
)),"")</f>
        <v/>
      </c>
      <c r="G40" s="2" t="str" cm="1">
        <f t="array" ref="G40">IFERROR(_xlfn.LET(
_xlpm.CSVVal,_xlfn.XLOOKUP($A40,CSV!$A:$A,CSV!G:G,""),
_xlpm.MacVal,_xlfn.XLOOKUP($A40,Output_Mac!$A:$A,Output_Mac!F:F,""),
_xlpm.MyAuditVal,_xlfn.XLOOKUP($A40,My_Audit!$A:$A,My_Audit!F:F,""),
_xlfn.IFS(_xlpm.MyAuditVal&lt;&gt;"",_xlpm.MyAuditVal,_xlpm.MacVal&lt;&gt;"",_xlpm.MacVal,_xlpm.CSVVal&lt;&gt;"",PROPER(_xlpm.CSVVal)
)),"")</f>
        <v/>
      </c>
      <c r="H40" s="2" t="str" cm="1">
        <f t="array" ref="H40">IFERROR(_xlfn.LET(
_xlpm.CSVVal,_xlfn.XLOOKUP($A40,CSV!$A:$A,CSV!H:H,""),
_xlpm.MacVal,_xlfn.XLOOKUP($A40,Output_Mac!$A:$A,Output_Mac!H:H,""),
_xlpm.MyAuditVal,_xlfn.XLOOKUP($A40,My_Audit!$A:$A,My_Audit!G:G,""),
_xlfn.IFS(_xlpm.MyAuditVal&lt;&gt;"",_xlpm.MyAuditVal,_xlpm.MacVal&lt;&gt;"",_xlpm.MacVal,_xlpm.CSVVal&lt;&gt;"",_xlpm.CSVVal
)),"")</f>
        <v/>
      </c>
      <c r="I40" s="2" t="str">
        <f>_xlfn.XLOOKUP(A40,Output_Mac!A:A,Output_Mac!I:I,"")</f>
        <v/>
      </c>
      <c r="J40" s="2" t="str" cm="1">
        <f t="array" ref="J40">IFERROR(_xlfn.LET(
_xlpm.CSVVal,_xlfn.XLOOKUP($A40,CSV!$A:$A,CSV!I:I,""),
_xlpm.MacVal,_xlfn.XLOOKUP($A40,Output_Mac!$A:$A,Output_Mac!J:J,""),
_xlpm.MyAuditVal,_xlfn.XLOOKUP($A40,My_Audit!$A:$A,My_Audit!I:I,""),
_xlfn.IFS(_xlpm.MyAuditVal&lt;&gt;"",UPPER(_xlpm.MyAuditVal),_xlpm.MacVal&lt;&gt;"",_xlpm.MacVal,_xlpm.CSVVal&lt;&gt;"",_xlpm.CSVVal
)),"")</f>
        <v/>
      </c>
      <c r="K40" s="2" t="str" cm="1">
        <f t="array" ref="K40">IFERROR(_xlfn.LET(
_xlpm.CSVVal,_xlfn.XLOOKUP($A40,CSV!$A:$A,CSV!K:K,""),
_xlpm.MacVal,_xlfn.XLOOKUP($A40,Output_Mac!$A:$A,Output_Mac!K:K,""),
_xlpm.MyAuditVal,_xlfn.XLOOKUP($A40,My_Audit!$A:$A,My_Audit!J:J,""),
_xlfn.IFS(_xlpm.MyAuditVal&lt;&gt;"",UPPER(_xlpm.MyAuditVal),_xlpm.MacVal&lt;&gt;"",_xlpm.MacVal,_xlpm.CSVVal&lt;&gt;"",_xlpm.CSVVal
)),"")</f>
        <v/>
      </c>
      <c r="L40" s="2" t="str" cm="1">
        <f t="array" ref="L40">IFERROR(_xlfn.LET(
_xlpm.CSVVal,_xlfn.XLOOKUP($A40,CSV!$A:$A,CSV!P:P,""),
_xlpm.MacVal,_xlfn.XLOOKUP($A40,Output_Mac!$A:$A,Output_Mac!L:L,""),
_xlpm.MyAuditVal,_xlfn.XLOOKUP($A40,My_Audit!$A:$A,My_Audit!K:K,""),
_xlfn.IFS(_xlpm.MyAuditVal&lt;&gt;"",UPPER(_xlpm.MyAuditVal),_xlpm.MacVal&lt;&gt;"",_xlpm.MacVal,_xlpm.CSVVal&lt;&gt;"",_xlpm.CSVVal
)),"")</f>
        <v/>
      </c>
      <c r="M40" s="2" t="str" cm="1">
        <f t="array" ref="M40">IFERROR(_xlfn.LET(
_xlpm.CSVVal,_xlfn.XLOOKUP($A40,CSV!$A:$A,CSV!Q:Q,""),
_xlpm.MacVal,_xlfn.XLOOKUP($A40,Output_Mac!$A:$A,Output_Mac!M:M,""),
_xlpm.MyAuditVal,_xlfn.XLOOKUP($A40,My_Audit!$A:$A,My_Audit!L:L,""),
_xlfn.IFS(_xlpm.MyAuditVal&lt;&gt;"",UPPER(_xlpm.MyAuditVal),_xlpm.MacVal&lt;&gt;"",_xlpm.MacVal,_xlpm.CSVVal&lt;&gt;"",_xlpm.CSVVal
)),"")</f>
        <v/>
      </c>
      <c r="O40" s="2" t="str">
        <f>_xlfn.LET(
    _xlpm.CSVVal, _xlfn.XLOOKUP($A40, CSV!$A:$A, CSV!AA:AA, ""),
    _xlpm.MacVal, _xlfn.XLOOKUP($A40, Output_Mac!$A:$A, Output_Mac!S:S, ""),
    _xlpm.MyAuditVal, _xlfn.XLOOKUP($A40, My_Audit!$A:$A, My_Audit!P:P, ""),
    _xlfn.TEXTJOIN(", ", TRUE, _xlpm.MyAuditVal, _xlpm.MacVal, _xlpm.CSVVal)
)</f>
        <v/>
      </c>
      <c r="P40" s="2" t="str" cm="1">
        <f t="array" ref="P40">IFERROR(_xlfn.LET(
_xlpm.CSVVal,_xlfn.XLOOKUP($A40,CSV!$A:$A,CSV!AB:AB,""),
_xlpm.MacVal,_xlfn.XLOOKUP($A40,Output_Mac!$A:$A,Output_Mac!T:T,""),
_xlpm.MyAuditVal,_xlfn.XLOOKUP($A40,My_Audit!$A:$A,My_Audit!Q:Q,""),
_xlfn.IFS(_xlpm.MyAuditVal&lt;&gt;"",UPPER(_xlpm.MyAuditVal),_xlpm.MacVal&lt;&gt;"",_xlpm.MacVal,_xlpm.CSVVal&lt;&gt;"",_xlpm.CSVVal
)),"No")</f>
        <v>No</v>
      </c>
      <c r="Q40" s="2" t="str" cm="1">
        <f t="array" ref="Q40">IFERROR(_xlfn.LET(
_xlpm.CSVVal,_xlfn.XLOOKUP($A40,CSV!$A:$A,CSV!AC:AC,""),
_xlpm.MacVal,_xlfn.XLOOKUP($A40,Output_Mac!$A:$A,Output_Mac!U:U,""),
_xlpm.MyAuditVal,_xlfn.XLOOKUP($A40,My_Audit!$A:$A,My_Audit!R:R,""),
_xlfn.IFS(_xlpm.MyAuditVal&lt;&gt;"",UPPER(_xlpm.MyAuditVal),_xlpm.MacVal&lt;&gt;"",_xlpm.MacVal,_xlpm.CSVVal&lt;&gt;"",_xlpm.CSVVal
)),"")</f>
        <v/>
      </c>
      <c r="X40" t="str">
        <f>_xlfn.LET(
    _xlpm.MacVal, _xlfn.XLOOKUP($A40, Output_Mac!$A:$A, Output_Mac!AB:AB, ""),
    _xlpm.MyAuditVal, _xlfn.XLOOKUP($A40, My_Audit!$A:$A, My_Audit!N:N, ""),
    _xlfn.TEXTJOIN(", ", TRUE, _xlpm.MyAuditVal, _xlpm.MacVal)
)</f>
        <v/>
      </c>
    </row>
    <row r="41" spans="1:24">
      <c r="A41" s="2" t="str">
        <f>_xlfn.TEXTJOIN("",TRUE,Input!$B$2,ROW(My_Audit!A40))</f>
        <v>X40</v>
      </c>
      <c r="B41" s="2" t="str">
        <f>_xlfn.TEXTJOIN("-",TRUE,"ITD",Input!$A$2,A41)</f>
        <v>ITD-SHR-X40</v>
      </c>
      <c r="C41" s="2" t="str" cm="1">
        <f t="array" ref="C41">IFERROR(_xlfn.LET(
_xlpm.CSVVal,_xlfn.XLOOKUP($A41,CSV!$A:$A,CSV!B:B,""),
_xlpm.MacVal,_xlfn.XLOOKUP($A41,Output_Mac!$A:$A,Output_Mac!B:B,""),
_xlpm.MyAuditVal,_xlfn.XLOOKUP($A41,My_Audit!$A:$A,My_Audit!B:B,""),
_xlfn.IFS(_xlpm.MyAuditVal&lt;&gt;"",UPPER(_xlpm.MyAuditVal),_xlpm.MacVal&lt;&gt;"",_xlpm.MacVal,_xlpm.CSVVal&lt;&gt;"",_xlpm.CSVVal
)),"")</f>
        <v/>
      </c>
      <c r="D41" s="2" t="str" cm="1">
        <f t="array" ref="D41">IFERROR(_xlfn.LET(
_xlpm.CSVVal,_xlfn.XLOOKUP($A41,CSV!$A:$A,CSV!D:D,""),
_xlpm.MacVal,_xlfn.XLOOKUP($A41,Output_Mac!$A:$A,Output_Mac!C:C,""),
_xlpm.MyAuditVal,_xlfn.XLOOKUP($A41,My_Audit!$A:$A,My_Audit!C:C,""),
_xlfn.IFS(_xlpm.MyAuditVal&lt;&gt;"",_xlpm.MyAuditVal,_xlpm.MacVal&lt;&gt;"",_xlpm.MacVal,_xlpm.CSVVal&lt;&gt;"",_xlpm.CSVVal
)),"")</f>
        <v/>
      </c>
      <c r="E41" s="2">
        <f>_xlfn.XLOOKUP(A41,My_Audit!A:A,My_Audit!D:D,"")</f>
        <v>0</v>
      </c>
      <c r="F41" s="2" t="str" cm="1">
        <f t="array" ref="F41">IFERROR(_xlfn.LET(
_xlpm.CSVVal,_xlfn.XLOOKUP($A41,CSV!$A:$A,CSV!F:F,""),
_xlpm.MacVal,_xlfn.XLOOKUP($A41,Output_Mac!$A:$A,Output_Mac!E:E,""),
_xlpm.MyAuditVal,_xlfn.XLOOKUP($A41,My_Audit!$A:$A,My_Audit!E:E,""),
_xlfn.IFS(_xlpm.MyAuditVal&lt;&gt;"",_xlpm.MyAuditVal,_xlpm.MacVal&lt;&gt;"",_xlpm.MacVal,_xlpm.CSVVal&lt;&gt;"",_xlpm.CSVVal
)),"")</f>
        <v/>
      </c>
      <c r="G41" s="2" t="str" cm="1">
        <f t="array" ref="G41">IFERROR(_xlfn.LET(
_xlpm.CSVVal,_xlfn.XLOOKUP($A41,CSV!$A:$A,CSV!G:G,""),
_xlpm.MacVal,_xlfn.XLOOKUP($A41,Output_Mac!$A:$A,Output_Mac!F:F,""),
_xlpm.MyAuditVal,_xlfn.XLOOKUP($A41,My_Audit!$A:$A,My_Audit!F:F,""),
_xlfn.IFS(_xlpm.MyAuditVal&lt;&gt;"",_xlpm.MyAuditVal,_xlpm.MacVal&lt;&gt;"",_xlpm.MacVal,_xlpm.CSVVal&lt;&gt;"",PROPER(_xlpm.CSVVal)
)),"")</f>
        <v/>
      </c>
      <c r="H41" s="2" t="str" cm="1">
        <f t="array" ref="H41">IFERROR(_xlfn.LET(
_xlpm.CSVVal,_xlfn.XLOOKUP($A41,CSV!$A:$A,CSV!H:H,""),
_xlpm.MacVal,_xlfn.XLOOKUP($A41,Output_Mac!$A:$A,Output_Mac!H:H,""),
_xlpm.MyAuditVal,_xlfn.XLOOKUP($A41,My_Audit!$A:$A,My_Audit!G:G,""),
_xlfn.IFS(_xlpm.MyAuditVal&lt;&gt;"",_xlpm.MyAuditVal,_xlpm.MacVal&lt;&gt;"",_xlpm.MacVal,_xlpm.CSVVal&lt;&gt;"",_xlpm.CSVVal
)),"")</f>
        <v/>
      </c>
      <c r="I41" s="2" t="str">
        <f>_xlfn.XLOOKUP(A41,Output_Mac!A:A,Output_Mac!I:I,"")</f>
        <v/>
      </c>
      <c r="J41" s="2" t="str" cm="1">
        <f t="array" ref="J41">IFERROR(_xlfn.LET(
_xlpm.CSVVal,_xlfn.XLOOKUP($A41,CSV!$A:$A,CSV!I:I,""),
_xlpm.MacVal,_xlfn.XLOOKUP($A41,Output_Mac!$A:$A,Output_Mac!J:J,""),
_xlpm.MyAuditVal,_xlfn.XLOOKUP($A41,My_Audit!$A:$A,My_Audit!I:I,""),
_xlfn.IFS(_xlpm.MyAuditVal&lt;&gt;"",UPPER(_xlpm.MyAuditVal),_xlpm.MacVal&lt;&gt;"",_xlpm.MacVal,_xlpm.CSVVal&lt;&gt;"",_xlpm.CSVVal
)),"")</f>
        <v/>
      </c>
      <c r="K41" s="2" t="str" cm="1">
        <f t="array" ref="K41">IFERROR(_xlfn.LET(
_xlpm.CSVVal,_xlfn.XLOOKUP($A41,CSV!$A:$A,CSV!K:K,""),
_xlpm.MacVal,_xlfn.XLOOKUP($A41,Output_Mac!$A:$A,Output_Mac!K:K,""),
_xlpm.MyAuditVal,_xlfn.XLOOKUP($A41,My_Audit!$A:$A,My_Audit!J:J,""),
_xlfn.IFS(_xlpm.MyAuditVal&lt;&gt;"",UPPER(_xlpm.MyAuditVal),_xlpm.MacVal&lt;&gt;"",_xlpm.MacVal,_xlpm.CSVVal&lt;&gt;"",_xlpm.CSVVal
)),"")</f>
        <v/>
      </c>
      <c r="L41" s="2" t="str" cm="1">
        <f t="array" ref="L41">IFERROR(_xlfn.LET(
_xlpm.CSVVal,_xlfn.XLOOKUP($A41,CSV!$A:$A,CSV!P:P,""),
_xlpm.MacVal,_xlfn.XLOOKUP($A41,Output_Mac!$A:$A,Output_Mac!L:L,""),
_xlpm.MyAuditVal,_xlfn.XLOOKUP($A41,My_Audit!$A:$A,My_Audit!K:K,""),
_xlfn.IFS(_xlpm.MyAuditVal&lt;&gt;"",UPPER(_xlpm.MyAuditVal),_xlpm.MacVal&lt;&gt;"",_xlpm.MacVal,_xlpm.CSVVal&lt;&gt;"",_xlpm.CSVVal
)),"")</f>
        <v/>
      </c>
      <c r="M41" s="2" t="str" cm="1">
        <f t="array" ref="M41">IFERROR(_xlfn.LET(
_xlpm.CSVVal,_xlfn.XLOOKUP($A41,CSV!$A:$A,CSV!Q:Q,""),
_xlpm.MacVal,_xlfn.XLOOKUP($A41,Output_Mac!$A:$A,Output_Mac!M:M,""),
_xlpm.MyAuditVal,_xlfn.XLOOKUP($A41,My_Audit!$A:$A,My_Audit!L:L,""),
_xlfn.IFS(_xlpm.MyAuditVal&lt;&gt;"",UPPER(_xlpm.MyAuditVal),_xlpm.MacVal&lt;&gt;"",_xlpm.MacVal,_xlpm.CSVVal&lt;&gt;"",_xlpm.CSVVal
)),"")</f>
        <v/>
      </c>
      <c r="O41" s="2" t="str">
        <f>_xlfn.LET(
    _xlpm.CSVVal, _xlfn.XLOOKUP($A41, CSV!$A:$A, CSV!AA:AA, ""),
    _xlpm.MacVal, _xlfn.XLOOKUP($A41, Output_Mac!$A:$A, Output_Mac!S:S, ""),
    _xlpm.MyAuditVal, _xlfn.XLOOKUP($A41, My_Audit!$A:$A, My_Audit!P:P, ""),
    _xlfn.TEXTJOIN(", ", TRUE, _xlpm.MyAuditVal, _xlpm.MacVal, _xlpm.CSVVal)
)</f>
        <v/>
      </c>
      <c r="P41" s="2" t="str" cm="1">
        <f t="array" ref="P41">IFERROR(_xlfn.LET(
_xlpm.CSVVal,_xlfn.XLOOKUP($A41,CSV!$A:$A,CSV!AB:AB,""),
_xlpm.MacVal,_xlfn.XLOOKUP($A41,Output_Mac!$A:$A,Output_Mac!T:T,""),
_xlpm.MyAuditVal,_xlfn.XLOOKUP($A41,My_Audit!$A:$A,My_Audit!Q:Q,""),
_xlfn.IFS(_xlpm.MyAuditVal&lt;&gt;"",UPPER(_xlpm.MyAuditVal),_xlpm.MacVal&lt;&gt;"",_xlpm.MacVal,_xlpm.CSVVal&lt;&gt;"",_xlpm.CSVVal
)),"No")</f>
        <v>No</v>
      </c>
      <c r="Q41" s="2" t="str" cm="1">
        <f t="array" ref="Q41">IFERROR(_xlfn.LET(
_xlpm.CSVVal,_xlfn.XLOOKUP($A41,CSV!$A:$A,CSV!AC:AC,""),
_xlpm.MacVal,_xlfn.XLOOKUP($A41,Output_Mac!$A:$A,Output_Mac!U:U,""),
_xlpm.MyAuditVal,_xlfn.XLOOKUP($A41,My_Audit!$A:$A,My_Audit!R:R,""),
_xlfn.IFS(_xlpm.MyAuditVal&lt;&gt;"",UPPER(_xlpm.MyAuditVal),_xlpm.MacVal&lt;&gt;"",_xlpm.MacVal,_xlpm.CSVVal&lt;&gt;"",_xlpm.CSVVal
)),"")</f>
        <v/>
      </c>
      <c r="X41" t="str">
        <f>_xlfn.LET(
    _xlpm.MacVal, _xlfn.XLOOKUP($A41, Output_Mac!$A:$A, Output_Mac!AB:AB, ""),
    _xlpm.MyAuditVal, _xlfn.XLOOKUP($A41, My_Audit!$A:$A, My_Audit!N:N, ""),
    _xlfn.TEXTJOIN(", ", TRUE, _xlpm.MyAuditVal, _xlpm.MacVal)
)</f>
        <v/>
      </c>
    </row>
    <row r="42" spans="1:24">
      <c r="A42" s="2" t="str">
        <f>_xlfn.TEXTJOIN("",TRUE,Input!$B$2,ROW(My_Audit!A41))</f>
        <v>X41</v>
      </c>
      <c r="B42" s="2" t="str">
        <f>_xlfn.TEXTJOIN("-",TRUE,"ITD",Input!$A$2,A42)</f>
        <v>ITD-SHR-X41</v>
      </c>
      <c r="C42" s="2" t="str" cm="1">
        <f t="array" ref="C42">IFERROR(_xlfn.LET(
_xlpm.CSVVal,_xlfn.XLOOKUP($A42,CSV!$A:$A,CSV!B:B,""),
_xlpm.MacVal,_xlfn.XLOOKUP($A42,Output_Mac!$A:$A,Output_Mac!B:B,""),
_xlpm.MyAuditVal,_xlfn.XLOOKUP($A42,My_Audit!$A:$A,My_Audit!B:B,""),
_xlfn.IFS(_xlpm.MyAuditVal&lt;&gt;"",UPPER(_xlpm.MyAuditVal),_xlpm.MacVal&lt;&gt;"",_xlpm.MacVal,_xlpm.CSVVal&lt;&gt;"",_xlpm.CSVVal
)),"")</f>
        <v/>
      </c>
      <c r="D42" s="2" t="str" cm="1">
        <f t="array" ref="D42">IFERROR(_xlfn.LET(
_xlpm.CSVVal,_xlfn.XLOOKUP($A42,CSV!$A:$A,CSV!D:D,""),
_xlpm.MacVal,_xlfn.XLOOKUP($A42,Output_Mac!$A:$A,Output_Mac!C:C,""),
_xlpm.MyAuditVal,_xlfn.XLOOKUP($A42,My_Audit!$A:$A,My_Audit!C:C,""),
_xlfn.IFS(_xlpm.MyAuditVal&lt;&gt;"",_xlpm.MyAuditVal,_xlpm.MacVal&lt;&gt;"",_xlpm.MacVal,_xlpm.CSVVal&lt;&gt;"",_xlpm.CSVVal
)),"")</f>
        <v/>
      </c>
      <c r="E42" s="2">
        <f>_xlfn.XLOOKUP(A42,My_Audit!A:A,My_Audit!D:D,"")</f>
        <v>0</v>
      </c>
      <c r="F42" s="2" t="str" cm="1">
        <f t="array" ref="F42">IFERROR(_xlfn.LET(
_xlpm.CSVVal,_xlfn.XLOOKUP($A42,CSV!$A:$A,CSV!F:F,""),
_xlpm.MacVal,_xlfn.XLOOKUP($A42,Output_Mac!$A:$A,Output_Mac!E:E,""),
_xlpm.MyAuditVal,_xlfn.XLOOKUP($A42,My_Audit!$A:$A,My_Audit!E:E,""),
_xlfn.IFS(_xlpm.MyAuditVal&lt;&gt;"",_xlpm.MyAuditVal,_xlpm.MacVal&lt;&gt;"",_xlpm.MacVal,_xlpm.CSVVal&lt;&gt;"",_xlpm.CSVVal
)),"")</f>
        <v/>
      </c>
      <c r="G42" s="2" t="str" cm="1">
        <f t="array" ref="G42">IFERROR(_xlfn.LET(
_xlpm.CSVVal,_xlfn.XLOOKUP($A42,CSV!$A:$A,CSV!G:G,""),
_xlpm.MacVal,_xlfn.XLOOKUP($A42,Output_Mac!$A:$A,Output_Mac!F:F,""),
_xlpm.MyAuditVal,_xlfn.XLOOKUP($A42,My_Audit!$A:$A,My_Audit!F:F,""),
_xlfn.IFS(_xlpm.MyAuditVal&lt;&gt;"",_xlpm.MyAuditVal,_xlpm.MacVal&lt;&gt;"",_xlpm.MacVal,_xlpm.CSVVal&lt;&gt;"",PROPER(_xlpm.CSVVal)
)),"")</f>
        <v/>
      </c>
      <c r="H42" s="2" t="str" cm="1">
        <f t="array" ref="H42">IFERROR(_xlfn.LET(
_xlpm.CSVVal,_xlfn.XLOOKUP($A42,CSV!$A:$A,CSV!H:H,""),
_xlpm.MacVal,_xlfn.XLOOKUP($A42,Output_Mac!$A:$A,Output_Mac!H:H,""),
_xlpm.MyAuditVal,_xlfn.XLOOKUP($A42,My_Audit!$A:$A,My_Audit!G:G,""),
_xlfn.IFS(_xlpm.MyAuditVal&lt;&gt;"",_xlpm.MyAuditVal,_xlpm.MacVal&lt;&gt;"",_xlpm.MacVal,_xlpm.CSVVal&lt;&gt;"",_xlpm.CSVVal
)),"")</f>
        <v/>
      </c>
      <c r="I42" s="2" t="str">
        <f>_xlfn.XLOOKUP(A42,Output_Mac!A:A,Output_Mac!I:I,"")</f>
        <v/>
      </c>
      <c r="J42" s="2" t="str" cm="1">
        <f t="array" ref="J42">IFERROR(_xlfn.LET(
_xlpm.CSVVal,_xlfn.XLOOKUP($A42,CSV!$A:$A,CSV!I:I,""),
_xlpm.MacVal,_xlfn.XLOOKUP($A42,Output_Mac!$A:$A,Output_Mac!J:J,""),
_xlpm.MyAuditVal,_xlfn.XLOOKUP($A42,My_Audit!$A:$A,My_Audit!I:I,""),
_xlfn.IFS(_xlpm.MyAuditVal&lt;&gt;"",UPPER(_xlpm.MyAuditVal),_xlpm.MacVal&lt;&gt;"",_xlpm.MacVal,_xlpm.CSVVal&lt;&gt;"",_xlpm.CSVVal
)),"")</f>
        <v/>
      </c>
      <c r="K42" s="2" t="str" cm="1">
        <f t="array" ref="K42">IFERROR(_xlfn.LET(
_xlpm.CSVVal,_xlfn.XLOOKUP($A42,CSV!$A:$A,CSV!K:K,""),
_xlpm.MacVal,_xlfn.XLOOKUP($A42,Output_Mac!$A:$A,Output_Mac!K:K,""),
_xlpm.MyAuditVal,_xlfn.XLOOKUP($A42,My_Audit!$A:$A,My_Audit!J:J,""),
_xlfn.IFS(_xlpm.MyAuditVal&lt;&gt;"",UPPER(_xlpm.MyAuditVal),_xlpm.MacVal&lt;&gt;"",_xlpm.MacVal,_xlpm.CSVVal&lt;&gt;"",_xlpm.CSVVal
)),"")</f>
        <v/>
      </c>
      <c r="L42" s="2" t="str" cm="1">
        <f t="array" ref="L42">IFERROR(_xlfn.LET(
_xlpm.CSVVal,_xlfn.XLOOKUP($A42,CSV!$A:$A,CSV!P:P,""),
_xlpm.MacVal,_xlfn.XLOOKUP($A42,Output_Mac!$A:$A,Output_Mac!L:L,""),
_xlpm.MyAuditVal,_xlfn.XLOOKUP($A42,My_Audit!$A:$A,My_Audit!K:K,""),
_xlfn.IFS(_xlpm.MyAuditVal&lt;&gt;"",UPPER(_xlpm.MyAuditVal),_xlpm.MacVal&lt;&gt;"",_xlpm.MacVal,_xlpm.CSVVal&lt;&gt;"",_xlpm.CSVVal
)),"")</f>
        <v/>
      </c>
      <c r="M42" s="2" t="str" cm="1">
        <f t="array" ref="M42">IFERROR(_xlfn.LET(
_xlpm.CSVVal,_xlfn.XLOOKUP($A42,CSV!$A:$A,CSV!Q:Q,""),
_xlpm.MacVal,_xlfn.XLOOKUP($A42,Output_Mac!$A:$A,Output_Mac!M:M,""),
_xlpm.MyAuditVal,_xlfn.XLOOKUP($A42,My_Audit!$A:$A,My_Audit!L:L,""),
_xlfn.IFS(_xlpm.MyAuditVal&lt;&gt;"",UPPER(_xlpm.MyAuditVal),_xlpm.MacVal&lt;&gt;"",_xlpm.MacVal,_xlpm.CSVVal&lt;&gt;"",_xlpm.CSVVal
)),"")</f>
        <v/>
      </c>
      <c r="O42" s="2" t="str">
        <f>_xlfn.LET(
    _xlpm.CSVVal, _xlfn.XLOOKUP($A42, CSV!$A:$A, CSV!AA:AA, ""),
    _xlpm.MacVal, _xlfn.XLOOKUP($A42, Output_Mac!$A:$A, Output_Mac!S:S, ""),
    _xlpm.MyAuditVal, _xlfn.XLOOKUP($A42, My_Audit!$A:$A, My_Audit!P:P, ""),
    _xlfn.TEXTJOIN(", ", TRUE, _xlpm.MyAuditVal, _xlpm.MacVal, _xlpm.CSVVal)
)</f>
        <v/>
      </c>
      <c r="P42" s="2" t="str" cm="1">
        <f t="array" ref="P42">IFERROR(_xlfn.LET(
_xlpm.CSVVal,_xlfn.XLOOKUP($A42,CSV!$A:$A,CSV!AB:AB,""),
_xlpm.MacVal,_xlfn.XLOOKUP($A42,Output_Mac!$A:$A,Output_Mac!T:T,""),
_xlpm.MyAuditVal,_xlfn.XLOOKUP($A42,My_Audit!$A:$A,My_Audit!Q:Q,""),
_xlfn.IFS(_xlpm.MyAuditVal&lt;&gt;"",UPPER(_xlpm.MyAuditVal),_xlpm.MacVal&lt;&gt;"",_xlpm.MacVal,_xlpm.CSVVal&lt;&gt;"",_xlpm.CSVVal
)),"No")</f>
        <v>No</v>
      </c>
      <c r="Q42" s="2" t="str" cm="1">
        <f t="array" ref="Q42">IFERROR(_xlfn.LET(
_xlpm.CSVVal,_xlfn.XLOOKUP($A42,CSV!$A:$A,CSV!AC:AC,""),
_xlpm.MacVal,_xlfn.XLOOKUP($A42,Output_Mac!$A:$A,Output_Mac!U:U,""),
_xlpm.MyAuditVal,_xlfn.XLOOKUP($A42,My_Audit!$A:$A,My_Audit!R:R,""),
_xlfn.IFS(_xlpm.MyAuditVal&lt;&gt;"",UPPER(_xlpm.MyAuditVal),_xlpm.MacVal&lt;&gt;"",_xlpm.MacVal,_xlpm.CSVVal&lt;&gt;"",_xlpm.CSVVal
)),"")</f>
        <v/>
      </c>
      <c r="X42" t="str">
        <f>_xlfn.LET(
    _xlpm.MacVal, _xlfn.XLOOKUP($A42, Output_Mac!$A:$A, Output_Mac!AB:AB, ""),
    _xlpm.MyAuditVal, _xlfn.XLOOKUP($A42, My_Audit!$A:$A, My_Audit!N:N, ""),
    _xlfn.TEXTJOIN(", ", TRUE, _xlpm.MyAuditVal, _xlpm.MacVal)
)</f>
        <v/>
      </c>
    </row>
    <row r="43" spans="1:24">
      <c r="A43" s="2" t="str">
        <f>_xlfn.TEXTJOIN("",TRUE,Input!$B$2,ROW(My_Audit!A42))</f>
        <v>X42</v>
      </c>
      <c r="B43" s="2" t="str">
        <f>_xlfn.TEXTJOIN("-",TRUE,"ITD",Input!$A$2,A43)</f>
        <v>ITD-SHR-X42</v>
      </c>
      <c r="C43" s="2" t="str" cm="1">
        <f t="array" ref="C43">IFERROR(_xlfn.LET(
_xlpm.CSVVal,_xlfn.XLOOKUP($A43,CSV!$A:$A,CSV!B:B,""),
_xlpm.MacVal,_xlfn.XLOOKUP($A43,Output_Mac!$A:$A,Output_Mac!B:B,""),
_xlpm.MyAuditVal,_xlfn.XLOOKUP($A43,My_Audit!$A:$A,My_Audit!B:B,""),
_xlfn.IFS(_xlpm.MyAuditVal&lt;&gt;"",UPPER(_xlpm.MyAuditVal),_xlpm.MacVal&lt;&gt;"",_xlpm.MacVal,_xlpm.CSVVal&lt;&gt;"",_xlpm.CSVVal
)),"")</f>
        <v/>
      </c>
      <c r="D43" s="2" t="str" cm="1">
        <f t="array" ref="D43">IFERROR(_xlfn.LET(
_xlpm.CSVVal,_xlfn.XLOOKUP($A43,CSV!$A:$A,CSV!D:D,""),
_xlpm.MacVal,_xlfn.XLOOKUP($A43,Output_Mac!$A:$A,Output_Mac!C:C,""),
_xlpm.MyAuditVal,_xlfn.XLOOKUP($A43,My_Audit!$A:$A,My_Audit!C:C,""),
_xlfn.IFS(_xlpm.MyAuditVal&lt;&gt;"",_xlpm.MyAuditVal,_xlpm.MacVal&lt;&gt;"",_xlpm.MacVal,_xlpm.CSVVal&lt;&gt;"",_xlpm.CSVVal
)),"")</f>
        <v/>
      </c>
      <c r="E43" s="2">
        <f>_xlfn.XLOOKUP(A43,My_Audit!A:A,My_Audit!D:D,"")</f>
        <v>0</v>
      </c>
      <c r="F43" s="2" t="str" cm="1">
        <f t="array" ref="F43">IFERROR(_xlfn.LET(
_xlpm.CSVVal,_xlfn.XLOOKUP($A43,CSV!$A:$A,CSV!F:F,""),
_xlpm.MacVal,_xlfn.XLOOKUP($A43,Output_Mac!$A:$A,Output_Mac!E:E,""),
_xlpm.MyAuditVal,_xlfn.XLOOKUP($A43,My_Audit!$A:$A,My_Audit!E:E,""),
_xlfn.IFS(_xlpm.MyAuditVal&lt;&gt;"",_xlpm.MyAuditVal,_xlpm.MacVal&lt;&gt;"",_xlpm.MacVal,_xlpm.CSVVal&lt;&gt;"",_xlpm.CSVVal
)),"")</f>
        <v/>
      </c>
      <c r="G43" s="2" t="str" cm="1">
        <f t="array" ref="G43">IFERROR(_xlfn.LET(
_xlpm.CSVVal,_xlfn.XLOOKUP($A43,CSV!$A:$A,CSV!G:G,""),
_xlpm.MacVal,_xlfn.XLOOKUP($A43,Output_Mac!$A:$A,Output_Mac!F:F,""),
_xlpm.MyAuditVal,_xlfn.XLOOKUP($A43,My_Audit!$A:$A,My_Audit!F:F,""),
_xlfn.IFS(_xlpm.MyAuditVal&lt;&gt;"",_xlpm.MyAuditVal,_xlpm.MacVal&lt;&gt;"",_xlpm.MacVal,_xlpm.CSVVal&lt;&gt;"",PROPER(_xlpm.CSVVal)
)),"")</f>
        <v/>
      </c>
      <c r="H43" s="2" t="str" cm="1">
        <f t="array" ref="H43">IFERROR(_xlfn.LET(
_xlpm.CSVVal,_xlfn.XLOOKUP($A43,CSV!$A:$A,CSV!H:H,""),
_xlpm.MacVal,_xlfn.XLOOKUP($A43,Output_Mac!$A:$A,Output_Mac!H:H,""),
_xlpm.MyAuditVal,_xlfn.XLOOKUP($A43,My_Audit!$A:$A,My_Audit!G:G,""),
_xlfn.IFS(_xlpm.MyAuditVal&lt;&gt;"",_xlpm.MyAuditVal,_xlpm.MacVal&lt;&gt;"",_xlpm.MacVal,_xlpm.CSVVal&lt;&gt;"",_xlpm.CSVVal
)),"")</f>
        <v/>
      </c>
      <c r="I43" s="2" t="str">
        <f>_xlfn.XLOOKUP(A43,Output_Mac!A:A,Output_Mac!I:I,"")</f>
        <v/>
      </c>
      <c r="J43" s="2" t="str" cm="1">
        <f t="array" ref="J43">IFERROR(_xlfn.LET(
_xlpm.CSVVal,_xlfn.XLOOKUP($A43,CSV!$A:$A,CSV!I:I,""),
_xlpm.MacVal,_xlfn.XLOOKUP($A43,Output_Mac!$A:$A,Output_Mac!J:J,""),
_xlpm.MyAuditVal,_xlfn.XLOOKUP($A43,My_Audit!$A:$A,My_Audit!I:I,""),
_xlfn.IFS(_xlpm.MyAuditVal&lt;&gt;"",UPPER(_xlpm.MyAuditVal),_xlpm.MacVal&lt;&gt;"",_xlpm.MacVal,_xlpm.CSVVal&lt;&gt;"",_xlpm.CSVVal
)),"")</f>
        <v/>
      </c>
      <c r="K43" s="2" t="str" cm="1">
        <f t="array" ref="K43">IFERROR(_xlfn.LET(
_xlpm.CSVVal,_xlfn.XLOOKUP($A43,CSV!$A:$A,CSV!K:K,""),
_xlpm.MacVal,_xlfn.XLOOKUP($A43,Output_Mac!$A:$A,Output_Mac!K:K,""),
_xlpm.MyAuditVal,_xlfn.XLOOKUP($A43,My_Audit!$A:$A,My_Audit!J:J,""),
_xlfn.IFS(_xlpm.MyAuditVal&lt;&gt;"",UPPER(_xlpm.MyAuditVal),_xlpm.MacVal&lt;&gt;"",_xlpm.MacVal,_xlpm.CSVVal&lt;&gt;"",_xlpm.CSVVal
)),"")</f>
        <v/>
      </c>
      <c r="L43" s="2" t="str" cm="1">
        <f t="array" ref="L43">IFERROR(_xlfn.LET(
_xlpm.CSVVal,_xlfn.XLOOKUP($A43,CSV!$A:$A,CSV!P:P,""),
_xlpm.MacVal,_xlfn.XLOOKUP($A43,Output_Mac!$A:$A,Output_Mac!L:L,""),
_xlpm.MyAuditVal,_xlfn.XLOOKUP($A43,My_Audit!$A:$A,My_Audit!K:K,""),
_xlfn.IFS(_xlpm.MyAuditVal&lt;&gt;"",UPPER(_xlpm.MyAuditVal),_xlpm.MacVal&lt;&gt;"",_xlpm.MacVal,_xlpm.CSVVal&lt;&gt;"",_xlpm.CSVVal
)),"")</f>
        <v/>
      </c>
      <c r="M43" s="2" t="str" cm="1">
        <f t="array" ref="M43">IFERROR(_xlfn.LET(
_xlpm.CSVVal,_xlfn.XLOOKUP($A43,CSV!$A:$A,CSV!Q:Q,""),
_xlpm.MacVal,_xlfn.XLOOKUP($A43,Output_Mac!$A:$A,Output_Mac!M:M,""),
_xlpm.MyAuditVal,_xlfn.XLOOKUP($A43,My_Audit!$A:$A,My_Audit!L:L,""),
_xlfn.IFS(_xlpm.MyAuditVal&lt;&gt;"",UPPER(_xlpm.MyAuditVal),_xlpm.MacVal&lt;&gt;"",_xlpm.MacVal,_xlpm.CSVVal&lt;&gt;"",_xlpm.CSVVal
)),"")</f>
        <v/>
      </c>
      <c r="O43" s="2" t="str">
        <f>_xlfn.LET(
    _xlpm.CSVVal, _xlfn.XLOOKUP($A43, CSV!$A:$A, CSV!AA:AA, ""),
    _xlpm.MacVal, _xlfn.XLOOKUP($A43, Output_Mac!$A:$A, Output_Mac!S:S, ""),
    _xlpm.MyAuditVal, _xlfn.XLOOKUP($A43, My_Audit!$A:$A, My_Audit!P:P, ""),
    _xlfn.TEXTJOIN(", ", TRUE, _xlpm.MyAuditVal, _xlpm.MacVal, _xlpm.CSVVal)
)</f>
        <v/>
      </c>
      <c r="P43" s="2" t="str" cm="1">
        <f t="array" ref="P43">IFERROR(_xlfn.LET(
_xlpm.CSVVal,_xlfn.XLOOKUP($A43,CSV!$A:$A,CSV!AB:AB,""),
_xlpm.MacVal,_xlfn.XLOOKUP($A43,Output_Mac!$A:$A,Output_Mac!T:T,""),
_xlpm.MyAuditVal,_xlfn.XLOOKUP($A43,My_Audit!$A:$A,My_Audit!Q:Q,""),
_xlfn.IFS(_xlpm.MyAuditVal&lt;&gt;"",UPPER(_xlpm.MyAuditVal),_xlpm.MacVal&lt;&gt;"",_xlpm.MacVal,_xlpm.CSVVal&lt;&gt;"",_xlpm.CSVVal
)),"No")</f>
        <v>No</v>
      </c>
      <c r="Q43" s="2" t="str" cm="1">
        <f t="array" ref="Q43">IFERROR(_xlfn.LET(
_xlpm.CSVVal,_xlfn.XLOOKUP($A43,CSV!$A:$A,CSV!AC:AC,""),
_xlpm.MacVal,_xlfn.XLOOKUP($A43,Output_Mac!$A:$A,Output_Mac!U:U,""),
_xlpm.MyAuditVal,_xlfn.XLOOKUP($A43,My_Audit!$A:$A,My_Audit!R:R,""),
_xlfn.IFS(_xlpm.MyAuditVal&lt;&gt;"",UPPER(_xlpm.MyAuditVal),_xlpm.MacVal&lt;&gt;"",_xlpm.MacVal,_xlpm.CSVVal&lt;&gt;"",_xlpm.CSVVal
)),"")</f>
        <v/>
      </c>
      <c r="X43" t="str">
        <f>_xlfn.LET(
    _xlpm.MacVal, _xlfn.XLOOKUP($A43, Output_Mac!$A:$A, Output_Mac!AB:AB, ""),
    _xlpm.MyAuditVal, _xlfn.XLOOKUP($A43, My_Audit!$A:$A, My_Audit!N:N, ""),
    _xlfn.TEXTJOIN(", ", TRUE, _xlpm.MyAuditVal, _xlpm.MacVal)
)</f>
        <v/>
      </c>
    </row>
    <row r="44" spans="1:24">
      <c r="A44" s="2" t="str">
        <f>_xlfn.TEXTJOIN("",TRUE,Input!$B$2,ROW(My_Audit!A43))</f>
        <v>X43</v>
      </c>
      <c r="B44" s="2" t="str">
        <f>_xlfn.TEXTJOIN("-",TRUE,"ITD",Input!$A$2,A44)</f>
        <v>ITD-SHR-X43</v>
      </c>
      <c r="C44" s="2" t="str" cm="1">
        <f t="array" ref="C44">IFERROR(_xlfn.LET(
_xlpm.CSVVal,_xlfn.XLOOKUP($A44,CSV!$A:$A,CSV!B:B,""),
_xlpm.MacVal,_xlfn.XLOOKUP($A44,Output_Mac!$A:$A,Output_Mac!B:B,""),
_xlpm.MyAuditVal,_xlfn.XLOOKUP($A44,My_Audit!$A:$A,My_Audit!B:B,""),
_xlfn.IFS(_xlpm.MyAuditVal&lt;&gt;"",UPPER(_xlpm.MyAuditVal),_xlpm.MacVal&lt;&gt;"",_xlpm.MacVal,_xlpm.CSVVal&lt;&gt;"",_xlpm.CSVVal
)),"")</f>
        <v/>
      </c>
      <c r="D44" s="2" t="str" cm="1">
        <f t="array" ref="D44">IFERROR(_xlfn.LET(
_xlpm.CSVVal,_xlfn.XLOOKUP($A44,CSV!$A:$A,CSV!D:D,""),
_xlpm.MacVal,_xlfn.XLOOKUP($A44,Output_Mac!$A:$A,Output_Mac!C:C,""),
_xlpm.MyAuditVal,_xlfn.XLOOKUP($A44,My_Audit!$A:$A,My_Audit!C:C,""),
_xlfn.IFS(_xlpm.MyAuditVal&lt;&gt;"",_xlpm.MyAuditVal,_xlpm.MacVal&lt;&gt;"",_xlpm.MacVal,_xlpm.CSVVal&lt;&gt;"",_xlpm.CSVVal
)),"")</f>
        <v/>
      </c>
      <c r="E44" s="2">
        <f>_xlfn.XLOOKUP(A44,My_Audit!A:A,My_Audit!D:D,"")</f>
        <v>0</v>
      </c>
      <c r="F44" s="2" t="str" cm="1">
        <f t="array" ref="F44">IFERROR(_xlfn.LET(
_xlpm.CSVVal,_xlfn.XLOOKUP($A44,CSV!$A:$A,CSV!F:F,""),
_xlpm.MacVal,_xlfn.XLOOKUP($A44,Output_Mac!$A:$A,Output_Mac!E:E,""),
_xlpm.MyAuditVal,_xlfn.XLOOKUP($A44,My_Audit!$A:$A,My_Audit!E:E,""),
_xlfn.IFS(_xlpm.MyAuditVal&lt;&gt;"",_xlpm.MyAuditVal,_xlpm.MacVal&lt;&gt;"",_xlpm.MacVal,_xlpm.CSVVal&lt;&gt;"",_xlpm.CSVVal
)),"")</f>
        <v/>
      </c>
      <c r="G44" s="2" t="str" cm="1">
        <f t="array" ref="G44">IFERROR(_xlfn.LET(
_xlpm.CSVVal,_xlfn.XLOOKUP($A44,CSV!$A:$A,CSV!G:G,""),
_xlpm.MacVal,_xlfn.XLOOKUP($A44,Output_Mac!$A:$A,Output_Mac!F:F,""),
_xlpm.MyAuditVal,_xlfn.XLOOKUP($A44,My_Audit!$A:$A,My_Audit!F:F,""),
_xlfn.IFS(_xlpm.MyAuditVal&lt;&gt;"",_xlpm.MyAuditVal,_xlpm.MacVal&lt;&gt;"",_xlpm.MacVal,_xlpm.CSVVal&lt;&gt;"",PROPER(_xlpm.CSVVal)
)),"")</f>
        <v/>
      </c>
      <c r="H44" s="2" t="str" cm="1">
        <f t="array" ref="H44">IFERROR(_xlfn.LET(
_xlpm.CSVVal,_xlfn.XLOOKUP($A44,CSV!$A:$A,CSV!H:H,""),
_xlpm.MacVal,_xlfn.XLOOKUP($A44,Output_Mac!$A:$A,Output_Mac!H:H,""),
_xlpm.MyAuditVal,_xlfn.XLOOKUP($A44,My_Audit!$A:$A,My_Audit!G:G,""),
_xlfn.IFS(_xlpm.MyAuditVal&lt;&gt;"",_xlpm.MyAuditVal,_xlpm.MacVal&lt;&gt;"",_xlpm.MacVal,_xlpm.CSVVal&lt;&gt;"",_xlpm.CSVVal
)),"")</f>
        <v/>
      </c>
      <c r="I44" s="2" t="str">
        <f>_xlfn.XLOOKUP(A44,Output_Mac!A:A,Output_Mac!I:I,"")</f>
        <v/>
      </c>
      <c r="J44" s="2" t="str" cm="1">
        <f t="array" ref="J44">IFERROR(_xlfn.LET(
_xlpm.CSVVal,_xlfn.XLOOKUP($A44,CSV!$A:$A,CSV!I:I,""),
_xlpm.MacVal,_xlfn.XLOOKUP($A44,Output_Mac!$A:$A,Output_Mac!J:J,""),
_xlpm.MyAuditVal,_xlfn.XLOOKUP($A44,My_Audit!$A:$A,My_Audit!I:I,""),
_xlfn.IFS(_xlpm.MyAuditVal&lt;&gt;"",UPPER(_xlpm.MyAuditVal),_xlpm.MacVal&lt;&gt;"",_xlpm.MacVal,_xlpm.CSVVal&lt;&gt;"",_xlpm.CSVVal
)),"")</f>
        <v/>
      </c>
      <c r="K44" s="2" t="str" cm="1">
        <f t="array" ref="K44">IFERROR(_xlfn.LET(
_xlpm.CSVVal,_xlfn.XLOOKUP($A44,CSV!$A:$A,CSV!K:K,""),
_xlpm.MacVal,_xlfn.XLOOKUP($A44,Output_Mac!$A:$A,Output_Mac!K:K,""),
_xlpm.MyAuditVal,_xlfn.XLOOKUP($A44,My_Audit!$A:$A,My_Audit!J:J,""),
_xlfn.IFS(_xlpm.MyAuditVal&lt;&gt;"",UPPER(_xlpm.MyAuditVal),_xlpm.MacVal&lt;&gt;"",_xlpm.MacVal,_xlpm.CSVVal&lt;&gt;"",_xlpm.CSVVal
)),"")</f>
        <v/>
      </c>
      <c r="L44" s="2" t="str" cm="1">
        <f t="array" ref="L44">IFERROR(_xlfn.LET(
_xlpm.CSVVal,_xlfn.XLOOKUP($A44,CSV!$A:$A,CSV!P:P,""),
_xlpm.MacVal,_xlfn.XLOOKUP($A44,Output_Mac!$A:$A,Output_Mac!L:L,""),
_xlpm.MyAuditVal,_xlfn.XLOOKUP($A44,My_Audit!$A:$A,My_Audit!K:K,""),
_xlfn.IFS(_xlpm.MyAuditVal&lt;&gt;"",UPPER(_xlpm.MyAuditVal),_xlpm.MacVal&lt;&gt;"",_xlpm.MacVal,_xlpm.CSVVal&lt;&gt;"",_xlpm.CSVVal
)),"")</f>
        <v/>
      </c>
      <c r="M44" s="2" t="str" cm="1">
        <f t="array" ref="M44">IFERROR(_xlfn.LET(
_xlpm.CSVVal,_xlfn.XLOOKUP($A44,CSV!$A:$A,CSV!Q:Q,""),
_xlpm.MacVal,_xlfn.XLOOKUP($A44,Output_Mac!$A:$A,Output_Mac!M:M,""),
_xlpm.MyAuditVal,_xlfn.XLOOKUP($A44,My_Audit!$A:$A,My_Audit!L:L,""),
_xlfn.IFS(_xlpm.MyAuditVal&lt;&gt;"",UPPER(_xlpm.MyAuditVal),_xlpm.MacVal&lt;&gt;"",_xlpm.MacVal,_xlpm.CSVVal&lt;&gt;"",_xlpm.CSVVal
)),"")</f>
        <v/>
      </c>
      <c r="O44" s="2" t="str">
        <f>_xlfn.LET(
    _xlpm.CSVVal, _xlfn.XLOOKUP($A44, CSV!$A:$A, CSV!AA:AA, ""),
    _xlpm.MacVal, _xlfn.XLOOKUP($A44, Output_Mac!$A:$A, Output_Mac!S:S, ""),
    _xlpm.MyAuditVal, _xlfn.XLOOKUP($A44, My_Audit!$A:$A, My_Audit!P:P, ""),
    _xlfn.TEXTJOIN(", ", TRUE, _xlpm.MyAuditVal, _xlpm.MacVal, _xlpm.CSVVal)
)</f>
        <v/>
      </c>
      <c r="P44" s="2" t="str" cm="1">
        <f t="array" ref="P44">IFERROR(_xlfn.LET(
_xlpm.CSVVal,_xlfn.XLOOKUP($A44,CSV!$A:$A,CSV!AB:AB,""),
_xlpm.MacVal,_xlfn.XLOOKUP($A44,Output_Mac!$A:$A,Output_Mac!T:T,""),
_xlpm.MyAuditVal,_xlfn.XLOOKUP($A44,My_Audit!$A:$A,My_Audit!Q:Q,""),
_xlfn.IFS(_xlpm.MyAuditVal&lt;&gt;"",UPPER(_xlpm.MyAuditVal),_xlpm.MacVal&lt;&gt;"",_xlpm.MacVal,_xlpm.CSVVal&lt;&gt;"",_xlpm.CSVVal
)),"No")</f>
        <v>No</v>
      </c>
      <c r="Q44" s="2" t="str" cm="1">
        <f t="array" ref="Q44">IFERROR(_xlfn.LET(
_xlpm.CSVVal,_xlfn.XLOOKUP($A44,CSV!$A:$A,CSV!AC:AC,""),
_xlpm.MacVal,_xlfn.XLOOKUP($A44,Output_Mac!$A:$A,Output_Mac!U:U,""),
_xlpm.MyAuditVal,_xlfn.XLOOKUP($A44,My_Audit!$A:$A,My_Audit!R:R,""),
_xlfn.IFS(_xlpm.MyAuditVal&lt;&gt;"",UPPER(_xlpm.MyAuditVal),_xlpm.MacVal&lt;&gt;"",_xlpm.MacVal,_xlpm.CSVVal&lt;&gt;"",_xlpm.CSVVal
)),"")</f>
        <v/>
      </c>
      <c r="X44" t="str">
        <f>_xlfn.LET(
    _xlpm.MacVal, _xlfn.XLOOKUP($A44, Output_Mac!$A:$A, Output_Mac!AB:AB, ""),
    _xlpm.MyAuditVal, _xlfn.XLOOKUP($A44, My_Audit!$A:$A, My_Audit!N:N, ""),
    _xlfn.TEXTJOIN(", ", TRUE, _xlpm.MyAuditVal, _xlpm.MacVal)
)</f>
        <v/>
      </c>
    </row>
    <row r="45" spans="1:24">
      <c r="A45" s="2" t="str">
        <f>_xlfn.TEXTJOIN("",TRUE,Input!$B$2,ROW(My_Audit!A44))</f>
        <v>X44</v>
      </c>
      <c r="B45" s="2" t="str">
        <f>_xlfn.TEXTJOIN("-",TRUE,"ITD",Input!$A$2,A45)</f>
        <v>ITD-SHR-X44</v>
      </c>
      <c r="C45" s="2" t="str" cm="1">
        <f t="array" ref="C45">IFERROR(_xlfn.LET(
_xlpm.CSVVal,_xlfn.XLOOKUP($A45,CSV!$A:$A,CSV!B:B,""),
_xlpm.MacVal,_xlfn.XLOOKUP($A45,Output_Mac!$A:$A,Output_Mac!B:B,""),
_xlpm.MyAuditVal,_xlfn.XLOOKUP($A45,My_Audit!$A:$A,My_Audit!B:B,""),
_xlfn.IFS(_xlpm.MyAuditVal&lt;&gt;"",UPPER(_xlpm.MyAuditVal),_xlpm.MacVal&lt;&gt;"",_xlpm.MacVal,_xlpm.CSVVal&lt;&gt;"",_xlpm.CSVVal
)),"")</f>
        <v/>
      </c>
      <c r="D45" s="2" t="str" cm="1">
        <f t="array" ref="D45">IFERROR(_xlfn.LET(
_xlpm.CSVVal,_xlfn.XLOOKUP($A45,CSV!$A:$A,CSV!D:D,""),
_xlpm.MacVal,_xlfn.XLOOKUP($A45,Output_Mac!$A:$A,Output_Mac!C:C,""),
_xlpm.MyAuditVal,_xlfn.XLOOKUP($A45,My_Audit!$A:$A,My_Audit!C:C,""),
_xlfn.IFS(_xlpm.MyAuditVal&lt;&gt;"",_xlpm.MyAuditVal,_xlpm.MacVal&lt;&gt;"",_xlpm.MacVal,_xlpm.CSVVal&lt;&gt;"",_xlpm.CSVVal
)),"")</f>
        <v/>
      </c>
      <c r="E45" s="2">
        <f>_xlfn.XLOOKUP(A45,My_Audit!A:A,My_Audit!D:D,"")</f>
        <v>0</v>
      </c>
      <c r="F45" s="2" t="str" cm="1">
        <f t="array" ref="F45">IFERROR(_xlfn.LET(
_xlpm.CSVVal,_xlfn.XLOOKUP($A45,CSV!$A:$A,CSV!F:F,""),
_xlpm.MacVal,_xlfn.XLOOKUP($A45,Output_Mac!$A:$A,Output_Mac!E:E,""),
_xlpm.MyAuditVal,_xlfn.XLOOKUP($A45,My_Audit!$A:$A,My_Audit!E:E,""),
_xlfn.IFS(_xlpm.MyAuditVal&lt;&gt;"",_xlpm.MyAuditVal,_xlpm.MacVal&lt;&gt;"",_xlpm.MacVal,_xlpm.CSVVal&lt;&gt;"",_xlpm.CSVVal
)),"")</f>
        <v/>
      </c>
      <c r="G45" s="2" t="str" cm="1">
        <f t="array" ref="G45">IFERROR(_xlfn.LET(
_xlpm.CSVVal,_xlfn.XLOOKUP($A45,CSV!$A:$A,CSV!G:G,""),
_xlpm.MacVal,_xlfn.XLOOKUP($A45,Output_Mac!$A:$A,Output_Mac!F:F,""),
_xlpm.MyAuditVal,_xlfn.XLOOKUP($A45,My_Audit!$A:$A,My_Audit!F:F,""),
_xlfn.IFS(_xlpm.MyAuditVal&lt;&gt;"",_xlpm.MyAuditVal,_xlpm.MacVal&lt;&gt;"",_xlpm.MacVal,_xlpm.CSVVal&lt;&gt;"",PROPER(_xlpm.CSVVal)
)),"")</f>
        <v/>
      </c>
      <c r="H45" s="2" t="str" cm="1">
        <f t="array" ref="H45">IFERROR(_xlfn.LET(
_xlpm.CSVVal,_xlfn.XLOOKUP($A45,CSV!$A:$A,CSV!H:H,""),
_xlpm.MacVal,_xlfn.XLOOKUP($A45,Output_Mac!$A:$A,Output_Mac!H:H,""),
_xlpm.MyAuditVal,_xlfn.XLOOKUP($A45,My_Audit!$A:$A,My_Audit!G:G,""),
_xlfn.IFS(_xlpm.MyAuditVal&lt;&gt;"",_xlpm.MyAuditVal,_xlpm.MacVal&lt;&gt;"",_xlpm.MacVal,_xlpm.CSVVal&lt;&gt;"",_xlpm.CSVVal
)),"")</f>
        <v/>
      </c>
      <c r="I45" s="2" t="str">
        <f>_xlfn.XLOOKUP(A45,Output_Mac!A:A,Output_Mac!I:I,"")</f>
        <v/>
      </c>
      <c r="J45" s="2" t="str" cm="1">
        <f t="array" ref="J45">IFERROR(_xlfn.LET(
_xlpm.CSVVal,_xlfn.XLOOKUP($A45,CSV!$A:$A,CSV!I:I,""),
_xlpm.MacVal,_xlfn.XLOOKUP($A45,Output_Mac!$A:$A,Output_Mac!J:J,""),
_xlpm.MyAuditVal,_xlfn.XLOOKUP($A45,My_Audit!$A:$A,My_Audit!I:I,""),
_xlfn.IFS(_xlpm.MyAuditVal&lt;&gt;"",UPPER(_xlpm.MyAuditVal),_xlpm.MacVal&lt;&gt;"",_xlpm.MacVal,_xlpm.CSVVal&lt;&gt;"",_xlpm.CSVVal
)),"")</f>
        <v/>
      </c>
      <c r="K45" s="2" t="str" cm="1">
        <f t="array" ref="K45">IFERROR(_xlfn.LET(
_xlpm.CSVVal,_xlfn.XLOOKUP($A45,CSV!$A:$A,CSV!K:K,""),
_xlpm.MacVal,_xlfn.XLOOKUP($A45,Output_Mac!$A:$A,Output_Mac!K:K,""),
_xlpm.MyAuditVal,_xlfn.XLOOKUP($A45,My_Audit!$A:$A,My_Audit!J:J,""),
_xlfn.IFS(_xlpm.MyAuditVal&lt;&gt;"",UPPER(_xlpm.MyAuditVal),_xlpm.MacVal&lt;&gt;"",_xlpm.MacVal,_xlpm.CSVVal&lt;&gt;"",_xlpm.CSVVal
)),"")</f>
        <v/>
      </c>
      <c r="L45" s="2" t="str" cm="1">
        <f t="array" ref="L45">IFERROR(_xlfn.LET(
_xlpm.CSVVal,_xlfn.XLOOKUP($A45,CSV!$A:$A,CSV!P:P,""),
_xlpm.MacVal,_xlfn.XLOOKUP($A45,Output_Mac!$A:$A,Output_Mac!L:L,""),
_xlpm.MyAuditVal,_xlfn.XLOOKUP($A45,My_Audit!$A:$A,My_Audit!K:K,""),
_xlfn.IFS(_xlpm.MyAuditVal&lt;&gt;"",UPPER(_xlpm.MyAuditVal),_xlpm.MacVal&lt;&gt;"",_xlpm.MacVal,_xlpm.CSVVal&lt;&gt;"",_xlpm.CSVVal
)),"")</f>
        <v/>
      </c>
      <c r="M45" s="2" t="str" cm="1">
        <f t="array" ref="M45">IFERROR(_xlfn.LET(
_xlpm.CSVVal,_xlfn.XLOOKUP($A45,CSV!$A:$A,CSV!Q:Q,""),
_xlpm.MacVal,_xlfn.XLOOKUP($A45,Output_Mac!$A:$A,Output_Mac!M:M,""),
_xlpm.MyAuditVal,_xlfn.XLOOKUP($A45,My_Audit!$A:$A,My_Audit!L:L,""),
_xlfn.IFS(_xlpm.MyAuditVal&lt;&gt;"",UPPER(_xlpm.MyAuditVal),_xlpm.MacVal&lt;&gt;"",_xlpm.MacVal,_xlpm.CSVVal&lt;&gt;"",_xlpm.CSVVal
)),"")</f>
        <v/>
      </c>
      <c r="O45" s="2" t="str">
        <f>_xlfn.LET(
    _xlpm.CSVVal, _xlfn.XLOOKUP($A45, CSV!$A:$A, CSV!AA:AA, ""),
    _xlpm.MacVal, _xlfn.XLOOKUP($A45, Output_Mac!$A:$A, Output_Mac!S:S, ""),
    _xlpm.MyAuditVal, _xlfn.XLOOKUP($A45, My_Audit!$A:$A, My_Audit!P:P, ""),
    _xlfn.TEXTJOIN(", ", TRUE, _xlpm.MyAuditVal, _xlpm.MacVal, _xlpm.CSVVal)
)</f>
        <v/>
      </c>
      <c r="P45" s="2" t="str" cm="1">
        <f t="array" ref="P45">IFERROR(_xlfn.LET(
_xlpm.CSVVal,_xlfn.XLOOKUP($A45,CSV!$A:$A,CSV!AB:AB,""),
_xlpm.MacVal,_xlfn.XLOOKUP($A45,Output_Mac!$A:$A,Output_Mac!T:T,""),
_xlpm.MyAuditVal,_xlfn.XLOOKUP($A45,My_Audit!$A:$A,My_Audit!Q:Q,""),
_xlfn.IFS(_xlpm.MyAuditVal&lt;&gt;"",UPPER(_xlpm.MyAuditVal),_xlpm.MacVal&lt;&gt;"",_xlpm.MacVal,_xlpm.CSVVal&lt;&gt;"",_xlpm.CSVVal
)),"No")</f>
        <v>No</v>
      </c>
      <c r="Q45" s="2" t="str" cm="1">
        <f t="array" ref="Q45">IFERROR(_xlfn.LET(
_xlpm.CSVVal,_xlfn.XLOOKUP($A45,CSV!$A:$A,CSV!AC:AC,""),
_xlpm.MacVal,_xlfn.XLOOKUP($A45,Output_Mac!$A:$A,Output_Mac!U:U,""),
_xlpm.MyAuditVal,_xlfn.XLOOKUP($A45,My_Audit!$A:$A,My_Audit!R:R,""),
_xlfn.IFS(_xlpm.MyAuditVal&lt;&gt;"",UPPER(_xlpm.MyAuditVal),_xlpm.MacVal&lt;&gt;"",_xlpm.MacVal,_xlpm.CSVVal&lt;&gt;"",_xlpm.CSVVal
)),"")</f>
        <v/>
      </c>
      <c r="X45" t="str">
        <f>_xlfn.LET(
    _xlpm.MacVal, _xlfn.XLOOKUP($A45, Output_Mac!$A:$A, Output_Mac!AB:AB, ""),
    _xlpm.MyAuditVal, _xlfn.XLOOKUP($A45, My_Audit!$A:$A, My_Audit!N:N, ""),
    _xlfn.TEXTJOIN(", ", TRUE, _xlpm.MyAuditVal, _xlpm.MacVal)
)</f>
        <v/>
      </c>
    </row>
    <row r="46" spans="1:24">
      <c r="A46" s="2" t="str">
        <f>_xlfn.TEXTJOIN("",TRUE,Input!$B$2,ROW(My_Audit!A45))</f>
        <v>X45</v>
      </c>
      <c r="B46" s="2" t="str">
        <f>_xlfn.TEXTJOIN("-",TRUE,"ITD",Input!$A$2,A46)</f>
        <v>ITD-SHR-X45</v>
      </c>
      <c r="C46" s="2" t="str" cm="1">
        <f t="array" ref="C46">IFERROR(_xlfn.LET(
_xlpm.CSVVal,_xlfn.XLOOKUP($A46,CSV!$A:$A,CSV!B:B,""),
_xlpm.MacVal,_xlfn.XLOOKUP($A46,Output_Mac!$A:$A,Output_Mac!B:B,""),
_xlpm.MyAuditVal,_xlfn.XLOOKUP($A46,My_Audit!$A:$A,My_Audit!B:B,""),
_xlfn.IFS(_xlpm.MyAuditVal&lt;&gt;"",UPPER(_xlpm.MyAuditVal),_xlpm.MacVal&lt;&gt;"",_xlpm.MacVal,_xlpm.CSVVal&lt;&gt;"",_xlpm.CSVVal
)),"")</f>
        <v/>
      </c>
      <c r="D46" s="2" t="str" cm="1">
        <f t="array" ref="D46">IFERROR(_xlfn.LET(
_xlpm.CSVVal,_xlfn.XLOOKUP($A46,CSV!$A:$A,CSV!D:D,""),
_xlpm.MacVal,_xlfn.XLOOKUP($A46,Output_Mac!$A:$A,Output_Mac!C:C,""),
_xlpm.MyAuditVal,_xlfn.XLOOKUP($A46,My_Audit!$A:$A,My_Audit!C:C,""),
_xlfn.IFS(_xlpm.MyAuditVal&lt;&gt;"",_xlpm.MyAuditVal,_xlpm.MacVal&lt;&gt;"",_xlpm.MacVal,_xlpm.CSVVal&lt;&gt;"",_xlpm.CSVVal
)),"")</f>
        <v/>
      </c>
      <c r="E46" s="2">
        <f>_xlfn.XLOOKUP(A46,My_Audit!A:A,My_Audit!D:D,"")</f>
        <v>0</v>
      </c>
      <c r="F46" s="2" t="str" cm="1">
        <f t="array" ref="F46">IFERROR(_xlfn.LET(
_xlpm.CSVVal,_xlfn.XLOOKUP($A46,CSV!$A:$A,CSV!F:F,""),
_xlpm.MacVal,_xlfn.XLOOKUP($A46,Output_Mac!$A:$A,Output_Mac!E:E,""),
_xlpm.MyAuditVal,_xlfn.XLOOKUP($A46,My_Audit!$A:$A,My_Audit!E:E,""),
_xlfn.IFS(_xlpm.MyAuditVal&lt;&gt;"",_xlpm.MyAuditVal,_xlpm.MacVal&lt;&gt;"",_xlpm.MacVal,_xlpm.CSVVal&lt;&gt;"",_xlpm.CSVVal
)),"")</f>
        <v/>
      </c>
      <c r="G46" s="2" t="str" cm="1">
        <f t="array" ref="G46">IFERROR(_xlfn.LET(
_xlpm.CSVVal,_xlfn.XLOOKUP($A46,CSV!$A:$A,CSV!G:G,""),
_xlpm.MacVal,_xlfn.XLOOKUP($A46,Output_Mac!$A:$A,Output_Mac!F:F,""),
_xlpm.MyAuditVal,_xlfn.XLOOKUP($A46,My_Audit!$A:$A,My_Audit!F:F,""),
_xlfn.IFS(_xlpm.MyAuditVal&lt;&gt;"",_xlpm.MyAuditVal,_xlpm.MacVal&lt;&gt;"",_xlpm.MacVal,_xlpm.CSVVal&lt;&gt;"",PROPER(_xlpm.CSVVal)
)),"")</f>
        <v/>
      </c>
      <c r="H46" s="2" t="str" cm="1">
        <f t="array" ref="H46">IFERROR(_xlfn.LET(
_xlpm.CSVVal,_xlfn.XLOOKUP($A46,CSV!$A:$A,CSV!H:H,""),
_xlpm.MacVal,_xlfn.XLOOKUP($A46,Output_Mac!$A:$A,Output_Mac!H:H,""),
_xlpm.MyAuditVal,_xlfn.XLOOKUP($A46,My_Audit!$A:$A,My_Audit!G:G,""),
_xlfn.IFS(_xlpm.MyAuditVal&lt;&gt;"",_xlpm.MyAuditVal,_xlpm.MacVal&lt;&gt;"",_xlpm.MacVal,_xlpm.CSVVal&lt;&gt;"",_xlpm.CSVVal
)),"")</f>
        <v/>
      </c>
      <c r="I46" s="2" t="str">
        <f>_xlfn.XLOOKUP(A46,Output_Mac!A:A,Output_Mac!I:I,"")</f>
        <v/>
      </c>
      <c r="J46" s="2" t="str" cm="1">
        <f t="array" ref="J46">IFERROR(_xlfn.LET(
_xlpm.CSVVal,_xlfn.XLOOKUP($A46,CSV!$A:$A,CSV!I:I,""),
_xlpm.MacVal,_xlfn.XLOOKUP($A46,Output_Mac!$A:$A,Output_Mac!J:J,""),
_xlpm.MyAuditVal,_xlfn.XLOOKUP($A46,My_Audit!$A:$A,My_Audit!I:I,""),
_xlfn.IFS(_xlpm.MyAuditVal&lt;&gt;"",UPPER(_xlpm.MyAuditVal),_xlpm.MacVal&lt;&gt;"",_xlpm.MacVal,_xlpm.CSVVal&lt;&gt;"",_xlpm.CSVVal
)),"")</f>
        <v/>
      </c>
      <c r="K46" s="2" t="str" cm="1">
        <f t="array" ref="K46">IFERROR(_xlfn.LET(
_xlpm.CSVVal,_xlfn.XLOOKUP($A46,CSV!$A:$A,CSV!K:K,""),
_xlpm.MacVal,_xlfn.XLOOKUP($A46,Output_Mac!$A:$A,Output_Mac!K:K,""),
_xlpm.MyAuditVal,_xlfn.XLOOKUP($A46,My_Audit!$A:$A,My_Audit!J:J,""),
_xlfn.IFS(_xlpm.MyAuditVal&lt;&gt;"",UPPER(_xlpm.MyAuditVal),_xlpm.MacVal&lt;&gt;"",_xlpm.MacVal,_xlpm.CSVVal&lt;&gt;"",_xlpm.CSVVal
)),"")</f>
        <v/>
      </c>
      <c r="L46" s="2" t="str" cm="1">
        <f t="array" ref="L46">IFERROR(_xlfn.LET(
_xlpm.CSVVal,_xlfn.XLOOKUP($A46,CSV!$A:$A,CSV!P:P,""),
_xlpm.MacVal,_xlfn.XLOOKUP($A46,Output_Mac!$A:$A,Output_Mac!L:L,""),
_xlpm.MyAuditVal,_xlfn.XLOOKUP($A46,My_Audit!$A:$A,My_Audit!K:K,""),
_xlfn.IFS(_xlpm.MyAuditVal&lt;&gt;"",UPPER(_xlpm.MyAuditVal),_xlpm.MacVal&lt;&gt;"",_xlpm.MacVal,_xlpm.CSVVal&lt;&gt;"",_xlpm.CSVVal
)),"")</f>
        <v/>
      </c>
      <c r="M46" s="2" t="str" cm="1">
        <f t="array" ref="M46">IFERROR(_xlfn.LET(
_xlpm.CSVVal,_xlfn.XLOOKUP($A46,CSV!$A:$A,CSV!Q:Q,""),
_xlpm.MacVal,_xlfn.XLOOKUP($A46,Output_Mac!$A:$A,Output_Mac!M:M,""),
_xlpm.MyAuditVal,_xlfn.XLOOKUP($A46,My_Audit!$A:$A,My_Audit!L:L,""),
_xlfn.IFS(_xlpm.MyAuditVal&lt;&gt;"",UPPER(_xlpm.MyAuditVal),_xlpm.MacVal&lt;&gt;"",_xlpm.MacVal,_xlpm.CSVVal&lt;&gt;"",_xlpm.CSVVal
)),"")</f>
        <v/>
      </c>
      <c r="O46" s="2" t="str">
        <f>_xlfn.LET(
    _xlpm.CSVVal, _xlfn.XLOOKUP($A46, CSV!$A:$A, CSV!AA:AA, ""),
    _xlpm.MacVal, _xlfn.XLOOKUP($A46, Output_Mac!$A:$A, Output_Mac!S:S, ""),
    _xlpm.MyAuditVal, _xlfn.XLOOKUP($A46, My_Audit!$A:$A, My_Audit!P:P, ""),
    _xlfn.TEXTJOIN(", ", TRUE, _xlpm.MyAuditVal, _xlpm.MacVal, _xlpm.CSVVal)
)</f>
        <v/>
      </c>
      <c r="P46" s="2" t="str" cm="1">
        <f t="array" ref="P46">IFERROR(_xlfn.LET(
_xlpm.CSVVal,_xlfn.XLOOKUP($A46,CSV!$A:$A,CSV!AB:AB,""),
_xlpm.MacVal,_xlfn.XLOOKUP($A46,Output_Mac!$A:$A,Output_Mac!T:T,""),
_xlpm.MyAuditVal,_xlfn.XLOOKUP($A46,My_Audit!$A:$A,My_Audit!Q:Q,""),
_xlfn.IFS(_xlpm.MyAuditVal&lt;&gt;"",UPPER(_xlpm.MyAuditVal),_xlpm.MacVal&lt;&gt;"",_xlpm.MacVal,_xlpm.CSVVal&lt;&gt;"",_xlpm.CSVVal
)),"No")</f>
        <v>No</v>
      </c>
      <c r="Q46" s="2" t="str" cm="1">
        <f t="array" ref="Q46">IFERROR(_xlfn.LET(
_xlpm.CSVVal,_xlfn.XLOOKUP($A46,CSV!$A:$A,CSV!AC:AC,""),
_xlpm.MacVal,_xlfn.XLOOKUP($A46,Output_Mac!$A:$A,Output_Mac!U:U,""),
_xlpm.MyAuditVal,_xlfn.XLOOKUP($A46,My_Audit!$A:$A,My_Audit!R:R,""),
_xlfn.IFS(_xlpm.MyAuditVal&lt;&gt;"",UPPER(_xlpm.MyAuditVal),_xlpm.MacVal&lt;&gt;"",_xlpm.MacVal,_xlpm.CSVVal&lt;&gt;"",_xlpm.CSVVal
)),"")</f>
        <v/>
      </c>
      <c r="X46" t="str">
        <f>_xlfn.LET(
    _xlpm.MacVal, _xlfn.XLOOKUP($A46, Output_Mac!$A:$A, Output_Mac!AB:AB, ""),
    _xlpm.MyAuditVal, _xlfn.XLOOKUP($A46, My_Audit!$A:$A, My_Audit!N:N, ""),
    _xlfn.TEXTJOIN(", ", TRUE, _xlpm.MyAuditVal, _xlpm.MacVal)
)</f>
        <v/>
      </c>
    </row>
    <row r="47" spans="1:24">
      <c r="A47" s="2" t="str">
        <f>_xlfn.TEXTJOIN("",TRUE,Input!$B$2,ROW(My_Audit!A46))</f>
        <v>X46</v>
      </c>
      <c r="B47" s="2" t="str">
        <f>_xlfn.TEXTJOIN("-",TRUE,"ITD",Input!$A$2,A47)</f>
        <v>ITD-SHR-X46</v>
      </c>
      <c r="C47" s="2" t="str" cm="1">
        <f t="array" ref="C47">IFERROR(_xlfn.LET(
_xlpm.CSVVal,_xlfn.XLOOKUP($A47,CSV!$A:$A,CSV!B:B,""),
_xlpm.MacVal,_xlfn.XLOOKUP($A47,Output_Mac!$A:$A,Output_Mac!B:B,""),
_xlpm.MyAuditVal,_xlfn.XLOOKUP($A47,My_Audit!$A:$A,My_Audit!B:B,""),
_xlfn.IFS(_xlpm.MyAuditVal&lt;&gt;"",UPPER(_xlpm.MyAuditVal),_xlpm.MacVal&lt;&gt;"",_xlpm.MacVal,_xlpm.CSVVal&lt;&gt;"",_xlpm.CSVVal
)),"")</f>
        <v/>
      </c>
      <c r="D47" s="2" t="str" cm="1">
        <f t="array" ref="D47">IFERROR(_xlfn.LET(
_xlpm.CSVVal,_xlfn.XLOOKUP($A47,CSV!$A:$A,CSV!D:D,""),
_xlpm.MacVal,_xlfn.XLOOKUP($A47,Output_Mac!$A:$A,Output_Mac!C:C,""),
_xlpm.MyAuditVal,_xlfn.XLOOKUP($A47,My_Audit!$A:$A,My_Audit!C:C,""),
_xlfn.IFS(_xlpm.MyAuditVal&lt;&gt;"",_xlpm.MyAuditVal,_xlpm.MacVal&lt;&gt;"",_xlpm.MacVal,_xlpm.CSVVal&lt;&gt;"",_xlpm.CSVVal
)),"")</f>
        <v/>
      </c>
      <c r="E47" s="2">
        <f>_xlfn.XLOOKUP(A47,My_Audit!A:A,My_Audit!D:D,"")</f>
        <v>0</v>
      </c>
      <c r="F47" s="2" t="str" cm="1">
        <f t="array" ref="F47">IFERROR(_xlfn.LET(
_xlpm.CSVVal,_xlfn.XLOOKUP($A47,CSV!$A:$A,CSV!F:F,""),
_xlpm.MacVal,_xlfn.XLOOKUP($A47,Output_Mac!$A:$A,Output_Mac!E:E,""),
_xlpm.MyAuditVal,_xlfn.XLOOKUP($A47,My_Audit!$A:$A,My_Audit!E:E,""),
_xlfn.IFS(_xlpm.MyAuditVal&lt;&gt;"",_xlpm.MyAuditVal,_xlpm.MacVal&lt;&gt;"",_xlpm.MacVal,_xlpm.CSVVal&lt;&gt;"",_xlpm.CSVVal
)),"")</f>
        <v/>
      </c>
      <c r="G47" s="2" t="str" cm="1">
        <f t="array" ref="G47">IFERROR(_xlfn.LET(
_xlpm.CSVVal,_xlfn.XLOOKUP($A47,CSV!$A:$A,CSV!G:G,""),
_xlpm.MacVal,_xlfn.XLOOKUP($A47,Output_Mac!$A:$A,Output_Mac!F:F,""),
_xlpm.MyAuditVal,_xlfn.XLOOKUP($A47,My_Audit!$A:$A,My_Audit!F:F,""),
_xlfn.IFS(_xlpm.MyAuditVal&lt;&gt;"",_xlpm.MyAuditVal,_xlpm.MacVal&lt;&gt;"",_xlpm.MacVal,_xlpm.CSVVal&lt;&gt;"",PROPER(_xlpm.CSVVal)
)),"")</f>
        <v/>
      </c>
      <c r="H47" s="2" t="str" cm="1">
        <f t="array" ref="H47">IFERROR(_xlfn.LET(
_xlpm.CSVVal,_xlfn.XLOOKUP($A47,CSV!$A:$A,CSV!H:H,""),
_xlpm.MacVal,_xlfn.XLOOKUP($A47,Output_Mac!$A:$A,Output_Mac!H:H,""),
_xlpm.MyAuditVal,_xlfn.XLOOKUP($A47,My_Audit!$A:$A,My_Audit!G:G,""),
_xlfn.IFS(_xlpm.MyAuditVal&lt;&gt;"",_xlpm.MyAuditVal,_xlpm.MacVal&lt;&gt;"",_xlpm.MacVal,_xlpm.CSVVal&lt;&gt;"",_xlpm.CSVVal
)),"")</f>
        <v/>
      </c>
      <c r="I47" s="2" t="str">
        <f>_xlfn.XLOOKUP(A47,Output_Mac!A:A,Output_Mac!I:I,"")</f>
        <v/>
      </c>
      <c r="J47" s="2" t="str" cm="1">
        <f t="array" ref="J47">IFERROR(_xlfn.LET(
_xlpm.CSVVal,_xlfn.XLOOKUP($A47,CSV!$A:$A,CSV!I:I,""),
_xlpm.MacVal,_xlfn.XLOOKUP($A47,Output_Mac!$A:$A,Output_Mac!J:J,""),
_xlpm.MyAuditVal,_xlfn.XLOOKUP($A47,My_Audit!$A:$A,My_Audit!I:I,""),
_xlfn.IFS(_xlpm.MyAuditVal&lt;&gt;"",UPPER(_xlpm.MyAuditVal),_xlpm.MacVal&lt;&gt;"",_xlpm.MacVal,_xlpm.CSVVal&lt;&gt;"",_xlpm.CSVVal
)),"")</f>
        <v/>
      </c>
      <c r="K47" s="2" t="str" cm="1">
        <f t="array" ref="K47">IFERROR(_xlfn.LET(
_xlpm.CSVVal,_xlfn.XLOOKUP($A47,CSV!$A:$A,CSV!K:K,""),
_xlpm.MacVal,_xlfn.XLOOKUP($A47,Output_Mac!$A:$A,Output_Mac!K:K,""),
_xlpm.MyAuditVal,_xlfn.XLOOKUP($A47,My_Audit!$A:$A,My_Audit!J:J,""),
_xlfn.IFS(_xlpm.MyAuditVal&lt;&gt;"",UPPER(_xlpm.MyAuditVal),_xlpm.MacVal&lt;&gt;"",_xlpm.MacVal,_xlpm.CSVVal&lt;&gt;"",_xlpm.CSVVal
)),"")</f>
        <v/>
      </c>
      <c r="L47" s="2" t="str" cm="1">
        <f t="array" ref="L47">IFERROR(_xlfn.LET(
_xlpm.CSVVal,_xlfn.XLOOKUP($A47,CSV!$A:$A,CSV!P:P,""),
_xlpm.MacVal,_xlfn.XLOOKUP($A47,Output_Mac!$A:$A,Output_Mac!L:L,""),
_xlpm.MyAuditVal,_xlfn.XLOOKUP($A47,My_Audit!$A:$A,My_Audit!K:K,""),
_xlfn.IFS(_xlpm.MyAuditVal&lt;&gt;"",UPPER(_xlpm.MyAuditVal),_xlpm.MacVal&lt;&gt;"",_xlpm.MacVal,_xlpm.CSVVal&lt;&gt;"",_xlpm.CSVVal
)),"")</f>
        <v/>
      </c>
      <c r="M47" s="2" t="str" cm="1">
        <f t="array" ref="M47">IFERROR(_xlfn.LET(
_xlpm.CSVVal,_xlfn.XLOOKUP($A47,CSV!$A:$A,CSV!Q:Q,""),
_xlpm.MacVal,_xlfn.XLOOKUP($A47,Output_Mac!$A:$A,Output_Mac!M:M,""),
_xlpm.MyAuditVal,_xlfn.XLOOKUP($A47,My_Audit!$A:$A,My_Audit!L:L,""),
_xlfn.IFS(_xlpm.MyAuditVal&lt;&gt;"",UPPER(_xlpm.MyAuditVal),_xlpm.MacVal&lt;&gt;"",_xlpm.MacVal,_xlpm.CSVVal&lt;&gt;"",_xlpm.CSVVal
)),"")</f>
        <v/>
      </c>
      <c r="O47" s="2" t="str">
        <f>_xlfn.LET(
    _xlpm.CSVVal, _xlfn.XLOOKUP($A47, CSV!$A:$A, CSV!AA:AA, ""),
    _xlpm.MacVal, _xlfn.XLOOKUP($A47, Output_Mac!$A:$A, Output_Mac!S:S, ""),
    _xlpm.MyAuditVal, _xlfn.XLOOKUP($A47, My_Audit!$A:$A, My_Audit!P:P, ""),
    _xlfn.TEXTJOIN(", ", TRUE, _xlpm.MyAuditVal, _xlpm.MacVal, _xlpm.CSVVal)
)</f>
        <v/>
      </c>
      <c r="P47" s="2" t="str" cm="1">
        <f t="array" ref="P47">IFERROR(_xlfn.LET(
_xlpm.CSVVal,_xlfn.XLOOKUP($A47,CSV!$A:$A,CSV!AB:AB,""),
_xlpm.MacVal,_xlfn.XLOOKUP($A47,Output_Mac!$A:$A,Output_Mac!T:T,""),
_xlpm.MyAuditVal,_xlfn.XLOOKUP($A47,My_Audit!$A:$A,My_Audit!Q:Q,""),
_xlfn.IFS(_xlpm.MyAuditVal&lt;&gt;"",UPPER(_xlpm.MyAuditVal),_xlpm.MacVal&lt;&gt;"",_xlpm.MacVal,_xlpm.CSVVal&lt;&gt;"",_xlpm.CSVVal
)),"No")</f>
        <v>No</v>
      </c>
      <c r="Q47" s="2" t="str" cm="1">
        <f t="array" ref="Q47">IFERROR(_xlfn.LET(
_xlpm.CSVVal,_xlfn.XLOOKUP($A47,CSV!$A:$A,CSV!AC:AC,""),
_xlpm.MacVal,_xlfn.XLOOKUP($A47,Output_Mac!$A:$A,Output_Mac!U:U,""),
_xlpm.MyAuditVal,_xlfn.XLOOKUP($A47,My_Audit!$A:$A,My_Audit!R:R,""),
_xlfn.IFS(_xlpm.MyAuditVal&lt;&gt;"",UPPER(_xlpm.MyAuditVal),_xlpm.MacVal&lt;&gt;"",_xlpm.MacVal,_xlpm.CSVVal&lt;&gt;"",_xlpm.CSVVal
)),"")</f>
        <v/>
      </c>
      <c r="X47" t="str">
        <f>_xlfn.LET(
    _xlpm.MacVal, _xlfn.XLOOKUP($A47, Output_Mac!$A:$A, Output_Mac!AB:AB, ""),
    _xlpm.MyAuditVal, _xlfn.XLOOKUP($A47, My_Audit!$A:$A, My_Audit!N:N, ""),
    _xlfn.TEXTJOIN(", ", TRUE, _xlpm.MyAuditVal, _xlpm.MacVal)
)</f>
        <v/>
      </c>
    </row>
    <row r="48" spans="1:24">
      <c r="A48" s="2" t="str">
        <f>_xlfn.TEXTJOIN("",TRUE,Input!$B$2,ROW(My_Audit!A47))</f>
        <v>X47</v>
      </c>
      <c r="B48" s="2" t="str">
        <f>_xlfn.TEXTJOIN("-",TRUE,"ITD",Input!$A$2,A48)</f>
        <v>ITD-SHR-X47</v>
      </c>
      <c r="C48" s="2" t="str" cm="1">
        <f t="array" ref="C48">IFERROR(_xlfn.LET(
_xlpm.CSVVal,_xlfn.XLOOKUP($A48,CSV!$A:$A,CSV!B:B,""),
_xlpm.MacVal,_xlfn.XLOOKUP($A48,Output_Mac!$A:$A,Output_Mac!B:B,""),
_xlpm.MyAuditVal,_xlfn.XLOOKUP($A48,My_Audit!$A:$A,My_Audit!B:B,""),
_xlfn.IFS(_xlpm.MyAuditVal&lt;&gt;"",UPPER(_xlpm.MyAuditVal),_xlpm.MacVal&lt;&gt;"",_xlpm.MacVal,_xlpm.CSVVal&lt;&gt;"",_xlpm.CSVVal
)),"")</f>
        <v/>
      </c>
      <c r="D48" s="2" t="str" cm="1">
        <f t="array" ref="D48">IFERROR(_xlfn.LET(
_xlpm.CSVVal,_xlfn.XLOOKUP($A48,CSV!$A:$A,CSV!D:D,""),
_xlpm.MacVal,_xlfn.XLOOKUP($A48,Output_Mac!$A:$A,Output_Mac!C:C,""),
_xlpm.MyAuditVal,_xlfn.XLOOKUP($A48,My_Audit!$A:$A,My_Audit!C:C,""),
_xlfn.IFS(_xlpm.MyAuditVal&lt;&gt;"",_xlpm.MyAuditVal,_xlpm.MacVal&lt;&gt;"",_xlpm.MacVal,_xlpm.CSVVal&lt;&gt;"",_xlpm.CSVVal
)),"")</f>
        <v/>
      </c>
      <c r="E48" s="2">
        <f>_xlfn.XLOOKUP(A48,My_Audit!A:A,My_Audit!D:D,"")</f>
        <v>0</v>
      </c>
      <c r="F48" s="2" t="str" cm="1">
        <f t="array" ref="F48">IFERROR(_xlfn.LET(
_xlpm.CSVVal,_xlfn.XLOOKUP($A48,CSV!$A:$A,CSV!F:F,""),
_xlpm.MacVal,_xlfn.XLOOKUP($A48,Output_Mac!$A:$A,Output_Mac!E:E,""),
_xlpm.MyAuditVal,_xlfn.XLOOKUP($A48,My_Audit!$A:$A,My_Audit!E:E,""),
_xlfn.IFS(_xlpm.MyAuditVal&lt;&gt;"",_xlpm.MyAuditVal,_xlpm.MacVal&lt;&gt;"",_xlpm.MacVal,_xlpm.CSVVal&lt;&gt;"",_xlpm.CSVVal
)),"")</f>
        <v/>
      </c>
      <c r="G48" s="2" t="str" cm="1">
        <f t="array" ref="G48">IFERROR(_xlfn.LET(
_xlpm.CSVVal,_xlfn.XLOOKUP($A48,CSV!$A:$A,CSV!G:G,""),
_xlpm.MacVal,_xlfn.XLOOKUP($A48,Output_Mac!$A:$A,Output_Mac!F:F,""),
_xlpm.MyAuditVal,_xlfn.XLOOKUP($A48,My_Audit!$A:$A,My_Audit!F:F,""),
_xlfn.IFS(_xlpm.MyAuditVal&lt;&gt;"",_xlpm.MyAuditVal,_xlpm.MacVal&lt;&gt;"",_xlpm.MacVal,_xlpm.CSVVal&lt;&gt;"",PROPER(_xlpm.CSVVal)
)),"")</f>
        <v/>
      </c>
      <c r="H48" s="2" t="str" cm="1">
        <f t="array" ref="H48">IFERROR(_xlfn.LET(
_xlpm.CSVVal,_xlfn.XLOOKUP($A48,CSV!$A:$A,CSV!H:H,""),
_xlpm.MacVal,_xlfn.XLOOKUP($A48,Output_Mac!$A:$A,Output_Mac!H:H,""),
_xlpm.MyAuditVal,_xlfn.XLOOKUP($A48,My_Audit!$A:$A,My_Audit!G:G,""),
_xlfn.IFS(_xlpm.MyAuditVal&lt;&gt;"",_xlpm.MyAuditVal,_xlpm.MacVal&lt;&gt;"",_xlpm.MacVal,_xlpm.CSVVal&lt;&gt;"",_xlpm.CSVVal
)),"")</f>
        <v/>
      </c>
      <c r="I48" s="2" t="str">
        <f>_xlfn.XLOOKUP(A48,Output_Mac!A:A,Output_Mac!I:I,"")</f>
        <v/>
      </c>
      <c r="J48" s="2" t="str" cm="1">
        <f t="array" ref="J48">IFERROR(_xlfn.LET(
_xlpm.CSVVal,_xlfn.XLOOKUP($A48,CSV!$A:$A,CSV!I:I,""),
_xlpm.MacVal,_xlfn.XLOOKUP($A48,Output_Mac!$A:$A,Output_Mac!J:J,""),
_xlpm.MyAuditVal,_xlfn.XLOOKUP($A48,My_Audit!$A:$A,My_Audit!I:I,""),
_xlfn.IFS(_xlpm.MyAuditVal&lt;&gt;"",UPPER(_xlpm.MyAuditVal),_xlpm.MacVal&lt;&gt;"",_xlpm.MacVal,_xlpm.CSVVal&lt;&gt;"",_xlpm.CSVVal
)),"")</f>
        <v/>
      </c>
      <c r="K48" s="2" t="str" cm="1">
        <f t="array" ref="K48">IFERROR(_xlfn.LET(
_xlpm.CSVVal,_xlfn.XLOOKUP($A48,CSV!$A:$A,CSV!K:K,""),
_xlpm.MacVal,_xlfn.XLOOKUP($A48,Output_Mac!$A:$A,Output_Mac!K:K,""),
_xlpm.MyAuditVal,_xlfn.XLOOKUP($A48,My_Audit!$A:$A,My_Audit!J:J,""),
_xlfn.IFS(_xlpm.MyAuditVal&lt;&gt;"",UPPER(_xlpm.MyAuditVal),_xlpm.MacVal&lt;&gt;"",_xlpm.MacVal,_xlpm.CSVVal&lt;&gt;"",_xlpm.CSVVal
)),"")</f>
        <v/>
      </c>
      <c r="L48" s="2" t="str" cm="1">
        <f t="array" ref="L48">IFERROR(_xlfn.LET(
_xlpm.CSVVal,_xlfn.XLOOKUP($A48,CSV!$A:$A,CSV!P:P,""),
_xlpm.MacVal,_xlfn.XLOOKUP($A48,Output_Mac!$A:$A,Output_Mac!L:L,""),
_xlpm.MyAuditVal,_xlfn.XLOOKUP($A48,My_Audit!$A:$A,My_Audit!K:K,""),
_xlfn.IFS(_xlpm.MyAuditVal&lt;&gt;"",UPPER(_xlpm.MyAuditVal),_xlpm.MacVal&lt;&gt;"",_xlpm.MacVal,_xlpm.CSVVal&lt;&gt;"",_xlpm.CSVVal
)),"")</f>
        <v/>
      </c>
      <c r="M48" s="2" t="str" cm="1">
        <f t="array" ref="M48">IFERROR(_xlfn.LET(
_xlpm.CSVVal,_xlfn.XLOOKUP($A48,CSV!$A:$A,CSV!Q:Q,""),
_xlpm.MacVal,_xlfn.XLOOKUP($A48,Output_Mac!$A:$A,Output_Mac!M:M,""),
_xlpm.MyAuditVal,_xlfn.XLOOKUP($A48,My_Audit!$A:$A,My_Audit!L:L,""),
_xlfn.IFS(_xlpm.MyAuditVal&lt;&gt;"",UPPER(_xlpm.MyAuditVal),_xlpm.MacVal&lt;&gt;"",_xlpm.MacVal,_xlpm.CSVVal&lt;&gt;"",_xlpm.CSVVal
)),"")</f>
        <v/>
      </c>
      <c r="O48" s="2" t="str">
        <f>_xlfn.LET(
    _xlpm.CSVVal, _xlfn.XLOOKUP($A48, CSV!$A:$A, CSV!AA:AA, ""),
    _xlpm.MacVal, _xlfn.XLOOKUP($A48, Output_Mac!$A:$A, Output_Mac!S:S, ""),
    _xlpm.MyAuditVal, _xlfn.XLOOKUP($A48, My_Audit!$A:$A, My_Audit!P:P, ""),
    _xlfn.TEXTJOIN(", ", TRUE, _xlpm.MyAuditVal, _xlpm.MacVal, _xlpm.CSVVal)
)</f>
        <v/>
      </c>
      <c r="P48" s="2" t="str" cm="1">
        <f t="array" ref="P48">IFERROR(_xlfn.LET(
_xlpm.CSVVal,_xlfn.XLOOKUP($A48,CSV!$A:$A,CSV!AB:AB,""),
_xlpm.MacVal,_xlfn.XLOOKUP($A48,Output_Mac!$A:$A,Output_Mac!T:T,""),
_xlpm.MyAuditVal,_xlfn.XLOOKUP($A48,My_Audit!$A:$A,My_Audit!Q:Q,""),
_xlfn.IFS(_xlpm.MyAuditVal&lt;&gt;"",UPPER(_xlpm.MyAuditVal),_xlpm.MacVal&lt;&gt;"",_xlpm.MacVal,_xlpm.CSVVal&lt;&gt;"",_xlpm.CSVVal
)),"No")</f>
        <v>No</v>
      </c>
      <c r="Q48" s="2" t="str" cm="1">
        <f t="array" ref="Q48">IFERROR(_xlfn.LET(
_xlpm.CSVVal,_xlfn.XLOOKUP($A48,CSV!$A:$A,CSV!AC:AC,""),
_xlpm.MacVal,_xlfn.XLOOKUP($A48,Output_Mac!$A:$A,Output_Mac!U:U,""),
_xlpm.MyAuditVal,_xlfn.XLOOKUP($A48,My_Audit!$A:$A,My_Audit!R:R,""),
_xlfn.IFS(_xlpm.MyAuditVal&lt;&gt;"",UPPER(_xlpm.MyAuditVal),_xlpm.MacVal&lt;&gt;"",_xlpm.MacVal,_xlpm.CSVVal&lt;&gt;"",_xlpm.CSVVal
)),"")</f>
        <v/>
      </c>
      <c r="X48" t="str">
        <f>_xlfn.LET(
    _xlpm.MacVal, _xlfn.XLOOKUP($A48, Output_Mac!$A:$A, Output_Mac!AB:AB, ""),
    _xlpm.MyAuditVal, _xlfn.XLOOKUP($A48, My_Audit!$A:$A, My_Audit!N:N, ""),
    _xlfn.TEXTJOIN(", ", TRUE, _xlpm.MyAuditVal, _xlpm.MacVal)
)</f>
        <v/>
      </c>
    </row>
    <row r="49" spans="1:24">
      <c r="A49" s="2" t="str">
        <f>_xlfn.TEXTJOIN("",TRUE,Input!$B$2,ROW(My_Audit!A48))</f>
        <v>X48</v>
      </c>
      <c r="B49" s="2" t="str">
        <f>_xlfn.TEXTJOIN("-",TRUE,"ITD",Input!$A$2,A49)</f>
        <v>ITD-SHR-X48</v>
      </c>
      <c r="C49" s="2" t="str" cm="1">
        <f t="array" ref="C49">IFERROR(_xlfn.LET(
_xlpm.CSVVal,_xlfn.XLOOKUP($A49,CSV!$A:$A,CSV!B:B,""),
_xlpm.MacVal,_xlfn.XLOOKUP($A49,Output_Mac!$A:$A,Output_Mac!B:B,""),
_xlpm.MyAuditVal,_xlfn.XLOOKUP($A49,My_Audit!$A:$A,My_Audit!B:B,""),
_xlfn.IFS(_xlpm.MyAuditVal&lt;&gt;"",UPPER(_xlpm.MyAuditVal),_xlpm.MacVal&lt;&gt;"",_xlpm.MacVal,_xlpm.CSVVal&lt;&gt;"",_xlpm.CSVVal
)),"")</f>
        <v/>
      </c>
      <c r="D49" s="2" t="str" cm="1">
        <f t="array" ref="D49">IFERROR(_xlfn.LET(
_xlpm.CSVVal,_xlfn.XLOOKUP($A49,CSV!$A:$A,CSV!D:D,""),
_xlpm.MacVal,_xlfn.XLOOKUP($A49,Output_Mac!$A:$A,Output_Mac!C:C,""),
_xlpm.MyAuditVal,_xlfn.XLOOKUP($A49,My_Audit!$A:$A,My_Audit!C:C,""),
_xlfn.IFS(_xlpm.MyAuditVal&lt;&gt;"",_xlpm.MyAuditVal,_xlpm.MacVal&lt;&gt;"",_xlpm.MacVal,_xlpm.CSVVal&lt;&gt;"",_xlpm.CSVVal
)),"")</f>
        <v/>
      </c>
      <c r="E49" s="2">
        <f>_xlfn.XLOOKUP(A49,My_Audit!A:A,My_Audit!D:D,"")</f>
        <v>0</v>
      </c>
      <c r="F49" s="2" t="str" cm="1">
        <f t="array" ref="F49">IFERROR(_xlfn.LET(
_xlpm.CSVVal,_xlfn.XLOOKUP($A49,CSV!$A:$A,CSV!F:F,""),
_xlpm.MacVal,_xlfn.XLOOKUP($A49,Output_Mac!$A:$A,Output_Mac!E:E,""),
_xlpm.MyAuditVal,_xlfn.XLOOKUP($A49,My_Audit!$A:$A,My_Audit!E:E,""),
_xlfn.IFS(_xlpm.MyAuditVal&lt;&gt;"",_xlpm.MyAuditVal,_xlpm.MacVal&lt;&gt;"",_xlpm.MacVal,_xlpm.CSVVal&lt;&gt;"",_xlpm.CSVVal
)),"")</f>
        <v/>
      </c>
      <c r="G49" s="2" t="str" cm="1">
        <f t="array" ref="G49">IFERROR(_xlfn.LET(
_xlpm.CSVVal,_xlfn.XLOOKUP($A49,CSV!$A:$A,CSV!G:G,""),
_xlpm.MacVal,_xlfn.XLOOKUP($A49,Output_Mac!$A:$A,Output_Mac!F:F,""),
_xlpm.MyAuditVal,_xlfn.XLOOKUP($A49,My_Audit!$A:$A,My_Audit!F:F,""),
_xlfn.IFS(_xlpm.MyAuditVal&lt;&gt;"",_xlpm.MyAuditVal,_xlpm.MacVal&lt;&gt;"",_xlpm.MacVal,_xlpm.CSVVal&lt;&gt;"",PROPER(_xlpm.CSVVal)
)),"")</f>
        <v/>
      </c>
      <c r="H49" s="2" t="str" cm="1">
        <f t="array" ref="H49">IFERROR(_xlfn.LET(
_xlpm.CSVVal,_xlfn.XLOOKUP($A49,CSV!$A:$A,CSV!H:H,""),
_xlpm.MacVal,_xlfn.XLOOKUP($A49,Output_Mac!$A:$A,Output_Mac!H:H,""),
_xlpm.MyAuditVal,_xlfn.XLOOKUP($A49,My_Audit!$A:$A,My_Audit!G:G,""),
_xlfn.IFS(_xlpm.MyAuditVal&lt;&gt;"",_xlpm.MyAuditVal,_xlpm.MacVal&lt;&gt;"",_xlpm.MacVal,_xlpm.CSVVal&lt;&gt;"",_xlpm.CSVVal
)),"")</f>
        <v/>
      </c>
      <c r="I49" s="2" t="str">
        <f>_xlfn.XLOOKUP(A49,Output_Mac!A:A,Output_Mac!I:I,"")</f>
        <v/>
      </c>
      <c r="J49" s="2" t="str" cm="1">
        <f t="array" ref="J49">IFERROR(_xlfn.LET(
_xlpm.CSVVal,_xlfn.XLOOKUP($A49,CSV!$A:$A,CSV!I:I,""),
_xlpm.MacVal,_xlfn.XLOOKUP($A49,Output_Mac!$A:$A,Output_Mac!J:J,""),
_xlpm.MyAuditVal,_xlfn.XLOOKUP($A49,My_Audit!$A:$A,My_Audit!I:I,""),
_xlfn.IFS(_xlpm.MyAuditVal&lt;&gt;"",UPPER(_xlpm.MyAuditVal),_xlpm.MacVal&lt;&gt;"",_xlpm.MacVal,_xlpm.CSVVal&lt;&gt;"",_xlpm.CSVVal
)),"")</f>
        <v/>
      </c>
      <c r="K49" s="2" t="str" cm="1">
        <f t="array" ref="K49">IFERROR(_xlfn.LET(
_xlpm.CSVVal,_xlfn.XLOOKUP($A49,CSV!$A:$A,CSV!K:K,""),
_xlpm.MacVal,_xlfn.XLOOKUP($A49,Output_Mac!$A:$A,Output_Mac!K:K,""),
_xlpm.MyAuditVal,_xlfn.XLOOKUP($A49,My_Audit!$A:$A,My_Audit!J:J,""),
_xlfn.IFS(_xlpm.MyAuditVal&lt;&gt;"",UPPER(_xlpm.MyAuditVal),_xlpm.MacVal&lt;&gt;"",_xlpm.MacVal,_xlpm.CSVVal&lt;&gt;"",_xlpm.CSVVal
)),"")</f>
        <v/>
      </c>
      <c r="L49" s="2" t="str" cm="1">
        <f t="array" ref="L49">IFERROR(_xlfn.LET(
_xlpm.CSVVal,_xlfn.XLOOKUP($A49,CSV!$A:$A,CSV!P:P,""),
_xlpm.MacVal,_xlfn.XLOOKUP($A49,Output_Mac!$A:$A,Output_Mac!L:L,""),
_xlpm.MyAuditVal,_xlfn.XLOOKUP($A49,My_Audit!$A:$A,My_Audit!K:K,""),
_xlfn.IFS(_xlpm.MyAuditVal&lt;&gt;"",UPPER(_xlpm.MyAuditVal),_xlpm.MacVal&lt;&gt;"",_xlpm.MacVal,_xlpm.CSVVal&lt;&gt;"",_xlpm.CSVVal
)),"")</f>
        <v/>
      </c>
      <c r="M49" s="2" t="str" cm="1">
        <f t="array" ref="M49">IFERROR(_xlfn.LET(
_xlpm.CSVVal,_xlfn.XLOOKUP($A49,CSV!$A:$A,CSV!Q:Q,""),
_xlpm.MacVal,_xlfn.XLOOKUP($A49,Output_Mac!$A:$A,Output_Mac!M:M,""),
_xlpm.MyAuditVal,_xlfn.XLOOKUP($A49,My_Audit!$A:$A,My_Audit!L:L,""),
_xlfn.IFS(_xlpm.MyAuditVal&lt;&gt;"",UPPER(_xlpm.MyAuditVal),_xlpm.MacVal&lt;&gt;"",_xlpm.MacVal,_xlpm.CSVVal&lt;&gt;"",_xlpm.CSVVal
)),"")</f>
        <v/>
      </c>
      <c r="O49" s="2" t="str">
        <f>_xlfn.LET(
    _xlpm.CSVVal, _xlfn.XLOOKUP($A49, CSV!$A:$A, CSV!AA:AA, ""),
    _xlpm.MacVal, _xlfn.XLOOKUP($A49, Output_Mac!$A:$A, Output_Mac!S:S, ""),
    _xlpm.MyAuditVal, _xlfn.XLOOKUP($A49, My_Audit!$A:$A, My_Audit!P:P, ""),
    _xlfn.TEXTJOIN(", ", TRUE, _xlpm.MyAuditVal, _xlpm.MacVal, _xlpm.CSVVal)
)</f>
        <v/>
      </c>
      <c r="P49" s="2" t="str" cm="1">
        <f t="array" ref="P49">IFERROR(_xlfn.LET(
_xlpm.CSVVal,_xlfn.XLOOKUP($A49,CSV!$A:$A,CSV!AB:AB,""),
_xlpm.MacVal,_xlfn.XLOOKUP($A49,Output_Mac!$A:$A,Output_Mac!T:T,""),
_xlpm.MyAuditVal,_xlfn.XLOOKUP($A49,My_Audit!$A:$A,My_Audit!Q:Q,""),
_xlfn.IFS(_xlpm.MyAuditVal&lt;&gt;"",UPPER(_xlpm.MyAuditVal),_xlpm.MacVal&lt;&gt;"",_xlpm.MacVal,_xlpm.CSVVal&lt;&gt;"",_xlpm.CSVVal
)),"No")</f>
        <v>No</v>
      </c>
      <c r="Q49" s="2" t="str" cm="1">
        <f t="array" ref="Q49">IFERROR(_xlfn.LET(
_xlpm.CSVVal,_xlfn.XLOOKUP($A49,CSV!$A:$A,CSV!AC:AC,""),
_xlpm.MacVal,_xlfn.XLOOKUP($A49,Output_Mac!$A:$A,Output_Mac!U:U,""),
_xlpm.MyAuditVal,_xlfn.XLOOKUP($A49,My_Audit!$A:$A,My_Audit!R:R,""),
_xlfn.IFS(_xlpm.MyAuditVal&lt;&gt;"",UPPER(_xlpm.MyAuditVal),_xlpm.MacVal&lt;&gt;"",_xlpm.MacVal,_xlpm.CSVVal&lt;&gt;"",_xlpm.CSVVal
)),"")</f>
        <v/>
      </c>
      <c r="X49" t="str">
        <f>_xlfn.LET(
    _xlpm.MacVal, _xlfn.XLOOKUP($A49, Output_Mac!$A:$A, Output_Mac!AB:AB, ""),
    _xlpm.MyAuditVal, _xlfn.XLOOKUP($A49, My_Audit!$A:$A, My_Audit!N:N, ""),
    _xlfn.TEXTJOIN(", ", TRUE, _xlpm.MyAuditVal, _xlpm.MacVal)
)</f>
        <v/>
      </c>
    </row>
    <row r="50" spans="1:24">
      <c r="A50" s="2" t="str">
        <f>_xlfn.TEXTJOIN("",TRUE,Input!$B$2,ROW(My_Audit!A49))</f>
        <v>X49</v>
      </c>
      <c r="B50" s="2" t="str">
        <f>_xlfn.TEXTJOIN("-",TRUE,"ITD",Input!$A$2,A50)</f>
        <v>ITD-SHR-X49</v>
      </c>
      <c r="C50" s="2" t="str" cm="1">
        <f t="array" ref="C50">IFERROR(_xlfn.LET(
_xlpm.CSVVal,_xlfn.XLOOKUP($A50,CSV!$A:$A,CSV!B:B,""),
_xlpm.MacVal,_xlfn.XLOOKUP($A50,Output_Mac!$A:$A,Output_Mac!B:B,""),
_xlpm.MyAuditVal,_xlfn.XLOOKUP($A50,My_Audit!$A:$A,My_Audit!B:B,""),
_xlfn.IFS(_xlpm.MyAuditVal&lt;&gt;"",UPPER(_xlpm.MyAuditVal),_xlpm.MacVal&lt;&gt;"",_xlpm.MacVal,_xlpm.CSVVal&lt;&gt;"",_xlpm.CSVVal
)),"")</f>
        <v/>
      </c>
      <c r="D50" s="2" t="str" cm="1">
        <f t="array" ref="D50">IFERROR(_xlfn.LET(
_xlpm.CSVVal,_xlfn.XLOOKUP($A50,CSV!$A:$A,CSV!D:D,""),
_xlpm.MacVal,_xlfn.XLOOKUP($A50,Output_Mac!$A:$A,Output_Mac!C:C,""),
_xlpm.MyAuditVal,_xlfn.XLOOKUP($A50,My_Audit!$A:$A,My_Audit!C:C,""),
_xlfn.IFS(_xlpm.MyAuditVal&lt;&gt;"",_xlpm.MyAuditVal,_xlpm.MacVal&lt;&gt;"",_xlpm.MacVal,_xlpm.CSVVal&lt;&gt;"",_xlpm.CSVVal
)),"")</f>
        <v/>
      </c>
      <c r="E50" s="2">
        <f>_xlfn.XLOOKUP(A50,My_Audit!A:A,My_Audit!D:D,"")</f>
        <v>0</v>
      </c>
      <c r="F50" s="2" t="str" cm="1">
        <f t="array" ref="F50">IFERROR(_xlfn.LET(
_xlpm.CSVVal,_xlfn.XLOOKUP($A50,CSV!$A:$A,CSV!F:F,""),
_xlpm.MacVal,_xlfn.XLOOKUP($A50,Output_Mac!$A:$A,Output_Mac!E:E,""),
_xlpm.MyAuditVal,_xlfn.XLOOKUP($A50,My_Audit!$A:$A,My_Audit!E:E,""),
_xlfn.IFS(_xlpm.MyAuditVal&lt;&gt;"",_xlpm.MyAuditVal,_xlpm.MacVal&lt;&gt;"",_xlpm.MacVal,_xlpm.CSVVal&lt;&gt;"",_xlpm.CSVVal
)),"")</f>
        <v/>
      </c>
      <c r="G50" s="2" t="str" cm="1">
        <f t="array" ref="G50">IFERROR(_xlfn.LET(
_xlpm.CSVVal,_xlfn.XLOOKUP($A50,CSV!$A:$A,CSV!G:G,""),
_xlpm.MacVal,_xlfn.XLOOKUP($A50,Output_Mac!$A:$A,Output_Mac!F:F,""),
_xlpm.MyAuditVal,_xlfn.XLOOKUP($A50,My_Audit!$A:$A,My_Audit!F:F,""),
_xlfn.IFS(_xlpm.MyAuditVal&lt;&gt;"",_xlpm.MyAuditVal,_xlpm.MacVal&lt;&gt;"",_xlpm.MacVal,_xlpm.CSVVal&lt;&gt;"",PROPER(_xlpm.CSVVal)
)),"")</f>
        <v/>
      </c>
      <c r="H50" s="2" t="str" cm="1">
        <f t="array" ref="H50">IFERROR(_xlfn.LET(
_xlpm.CSVVal,_xlfn.XLOOKUP($A50,CSV!$A:$A,CSV!H:H,""),
_xlpm.MacVal,_xlfn.XLOOKUP($A50,Output_Mac!$A:$A,Output_Mac!H:H,""),
_xlpm.MyAuditVal,_xlfn.XLOOKUP($A50,My_Audit!$A:$A,My_Audit!G:G,""),
_xlfn.IFS(_xlpm.MyAuditVal&lt;&gt;"",_xlpm.MyAuditVal,_xlpm.MacVal&lt;&gt;"",_xlpm.MacVal,_xlpm.CSVVal&lt;&gt;"",_xlpm.CSVVal
)),"")</f>
        <v/>
      </c>
      <c r="I50" s="2" t="str">
        <f>_xlfn.XLOOKUP(A50,Output_Mac!A:A,Output_Mac!I:I,"")</f>
        <v/>
      </c>
      <c r="J50" s="2" t="str" cm="1">
        <f t="array" ref="J50">IFERROR(_xlfn.LET(
_xlpm.CSVVal,_xlfn.XLOOKUP($A50,CSV!$A:$A,CSV!I:I,""),
_xlpm.MacVal,_xlfn.XLOOKUP($A50,Output_Mac!$A:$A,Output_Mac!J:J,""),
_xlpm.MyAuditVal,_xlfn.XLOOKUP($A50,My_Audit!$A:$A,My_Audit!I:I,""),
_xlfn.IFS(_xlpm.MyAuditVal&lt;&gt;"",UPPER(_xlpm.MyAuditVal),_xlpm.MacVal&lt;&gt;"",_xlpm.MacVal,_xlpm.CSVVal&lt;&gt;"",_xlpm.CSVVal
)),"")</f>
        <v/>
      </c>
      <c r="K50" s="2" t="str" cm="1">
        <f t="array" ref="K50">IFERROR(_xlfn.LET(
_xlpm.CSVVal,_xlfn.XLOOKUP($A50,CSV!$A:$A,CSV!K:K,""),
_xlpm.MacVal,_xlfn.XLOOKUP($A50,Output_Mac!$A:$A,Output_Mac!K:K,""),
_xlpm.MyAuditVal,_xlfn.XLOOKUP($A50,My_Audit!$A:$A,My_Audit!J:J,""),
_xlfn.IFS(_xlpm.MyAuditVal&lt;&gt;"",UPPER(_xlpm.MyAuditVal),_xlpm.MacVal&lt;&gt;"",_xlpm.MacVal,_xlpm.CSVVal&lt;&gt;"",_xlpm.CSVVal
)),"")</f>
        <v/>
      </c>
      <c r="L50" s="2" t="str" cm="1">
        <f t="array" ref="L50">IFERROR(_xlfn.LET(
_xlpm.CSVVal,_xlfn.XLOOKUP($A50,CSV!$A:$A,CSV!P:P,""),
_xlpm.MacVal,_xlfn.XLOOKUP($A50,Output_Mac!$A:$A,Output_Mac!L:L,""),
_xlpm.MyAuditVal,_xlfn.XLOOKUP($A50,My_Audit!$A:$A,My_Audit!K:K,""),
_xlfn.IFS(_xlpm.MyAuditVal&lt;&gt;"",UPPER(_xlpm.MyAuditVal),_xlpm.MacVal&lt;&gt;"",_xlpm.MacVal,_xlpm.CSVVal&lt;&gt;"",_xlpm.CSVVal
)),"")</f>
        <v/>
      </c>
      <c r="M50" s="2" t="str" cm="1">
        <f t="array" ref="M50">IFERROR(_xlfn.LET(
_xlpm.CSVVal,_xlfn.XLOOKUP($A50,CSV!$A:$A,CSV!Q:Q,""),
_xlpm.MacVal,_xlfn.XLOOKUP($A50,Output_Mac!$A:$A,Output_Mac!M:M,""),
_xlpm.MyAuditVal,_xlfn.XLOOKUP($A50,My_Audit!$A:$A,My_Audit!L:L,""),
_xlfn.IFS(_xlpm.MyAuditVal&lt;&gt;"",UPPER(_xlpm.MyAuditVal),_xlpm.MacVal&lt;&gt;"",_xlpm.MacVal,_xlpm.CSVVal&lt;&gt;"",_xlpm.CSVVal
)),"")</f>
        <v/>
      </c>
      <c r="O50" s="2" t="str">
        <f>_xlfn.LET(
    _xlpm.CSVVal, _xlfn.XLOOKUP($A50, CSV!$A:$A, CSV!AA:AA, ""),
    _xlpm.MacVal, _xlfn.XLOOKUP($A50, Output_Mac!$A:$A, Output_Mac!S:S, ""),
    _xlpm.MyAuditVal, _xlfn.XLOOKUP($A50, My_Audit!$A:$A, My_Audit!P:P, ""),
    _xlfn.TEXTJOIN(", ", TRUE, _xlpm.MyAuditVal, _xlpm.MacVal, _xlpm.CSVVal)
)</f>
        <v/>
      </c>
      <c r="P50" s="2" t="str" cm="1">
        <f t="array" ref="P50">IFERROR(_xlfn.LET(
_xlpm.CSVVal,_xlfn.XLOOKUP($A50,CSV!$A:$A,CSV!AB:AB,""),
_xlpm.MacVal,_xlfn.XLOOKUP($A50,Output_Mac!$A:$A,Output_Mac!T:T,""),
_xlpm.MyAuditVal,_xlfn.XLOOKUP($A50,My_Audit!$A:$A,My_Audit!Q:Q,""),
_xlfn.IFS(_xlpm.MyAuditVal&lt;&gt;"",UPPER(_xlpm.MyAuditVal),_xlpm.MacVal&lt;&gt;"",_xlpm.MacVal,_xlpm.CSVVal&lt;&gt;"",_xlpm.CSVVal
)),"No")</f>
        <v>No</v>
      </c>
      <c r="Q50" s="2" t="str" cm="1">
        <f t="array" ref="Q50">IFERROR(_xlfn.LET(
_xlpm.CSVVal,_xlfn.XLOOKUP($A50,CSV!$A:$A,CSV!AC:AC,""),
_xlpm.MacVal,_xlfn.XLOOKUP($A50,Output_Mac!$A:$A,Output_Mac!U:U,""),
_xlpm.MyAuditVal,_xlfn.XLOOKUP($A50,My_Audit!$A:$A,My_Audit!R:R,""),
_xlfn.IFS(_xlpm.MyAuditVal&lt;&gt;"",UPPER(_xlpm.MyAuditVal),_xlpm.MacVal&lt;&gt;"",_xlpm.MacVal,_xlpm.CSVVal&lt;&gt;"",_xlpm.CSVVal
)),"")</f>
        <v/>
      </c>
      <c r="X50" t="str">
        <f>_xlfn.LET(
    _xlpm.MacVal, _xlfn.XLOOKUP($A50, Output_Mac!$A:$A, Output_Mac!AB:AB, ""),
    _xlpm.MyAuditVal, _xlfn.XLOOKUP($A50, My_Audit!$A:$A, My_Audit!N:N, ""),
    _xlfn.TEXTJOIN(", ", TRUE, _xlpm.MyAuditVal, _xlpm.MacVal)
)</f>
        <v/>
      </c>
    </row>
    <row r="51" spans="1:24">
      <c r="A51" s="2" t="str">
        <f>_xlfn.TEXTJOIN("",TRUE,Input!$B$2,ROW(My_Audit!A50))</f>
        <v>X50</v>
      </c>
      <c r="B51" s="2" t="str">
        <f>_xlfn.TEXTJOIN("-",TRUE,"ITD",Input!$A$2,A51)</f>
        <v>ITD-SHR-X50</v>
      </c>
      <c r="C51" s="2" t="str" cm="1">
        <f t="array" ref="C51">IFERROR(_xlfn.LET(
_xlpm.CSVVal,_xlfn.XLOOKUP($A51,CSV!$A:$A,CSV!B:B,""),
_xlpm.MacVal,_xlfn.XLOOKUP($A51,Output_Mac!$A:$A,Output_Mac!B:B,""),
_xlpm.MyAuditVal,_xlfn.XLOOKUP($A51,My_Audit!$A:$A,My_Audit!B:B,""),
_xlfn.IFS(_xlpm.MyAuditVal&lt;&gt;"",UPPER(_xlpm.MyAuditVal),_xlpm.MacVal&lt;&gt;"",_xlpm.MacVal,_xlpm.CSVVal&lt;&gt;"",_xlpm.CSVVal
)),"")</f>
        <v/>
      </c>
      <c r="D51" s="2" t="str" cm="1">
        <f t="array" ref="D51">IFERROR(_xlfn.LET(
_xlpm.CSVVal,_xlfn.XLOOKUP($A51,CSV!$A:$A,CSV!D:D,""),
_xlpm.MacVal,_xlfn.XLOOKUP($A51,Output_Mac!$A:$A,Output_Mac!C:C,""),
_xlpm.MyAuditVal,_xlfn.XLOOKUP($A51,My_Audit!$A:$A,My_Audit!C:C,""),
_xlfn.IFS(_xlpm.MyAuditVal&lt;&gt;"",_xlpm.MyAuditVal,_xlpm.MacVal&lt;&gt;"",_xlpm.MacVal,_xlpm.CSVVal&lt;&gt;"",_xlpm.CSVVal
)),"")</f>
        <v/>
      </c>
      <c r="E51" s="2">
        <f>_xlfn.XLOOKUP(A51,My_Audit!A:A,My_Audit!D:D,"")</f>
        <v>0</v>
      </c>
      <c r="F51" s="2" t="str" cm="1">
        <f t="array" ref="F51">IFERROR(_xlfn.LET(
_xlpm.CSVVal,_xlfn.XLOOKUP($A51,CSV!$A:$A,CSV!F:F,""),
_xlpm.MacVal,_xlfn.XLOOKUP($A51,Output_Mac!$A:$A,Output_Mac!E:E,""),
_xlpm.MyAuditVal,_xlfn.XLOOKUP($A51,My_Audit!$A:$A,My_Audit!E:E,""),
_xlfn.IFS(_xlpm.MyAuditVal&lt;&gt;"",_xlpm.MyAuditVal,_xlpm.MacVal&lt;&gt;"",_xlpm.MacVal,_xlpm.CSVVal&lt;&gt;"",_xlpm.CSVVal
)),"")</f>
        <v/>
      </c>
      <c r="G51" s="2" t="str" cm="1">
        <f t="array" ref="G51">IFERROR(_xlfn.LET(
_xlpm.CSVVal,_xlfn.XLOOKUP($A51,CSV!$A:$A,CSV!G:G,""),
_xlpm.MacVal,_xlfn.XLOOKUP($A51,Output_Mac!$A:$A,Output_Mac!F:F,""),
_xlpm.MyAuditVal,_xlfn.XLOOKUP($A51,My_Audit!$A:$A,My_Audit!F:F,""),
_xlfn.IFS(_xlpm.MyAuditVal&lt;&gt;"",_xlpm.MyAuditVal,_xlpm.MacVal&lt;&gt;"",_xlpm.MacVal,_xlpm.CSVVal&lt;&gt;"",PROPER(_xlpm.CSVVal)
)),"")</f>
        <v/>
      </c>
      <c r="H51" s="2" t="str" cm="1">
        <f t="array" ref="H51">IFERROR(_xlfn.LET(
_xlpm.CSVVal,_xlfn.XLOOKUP($A51,CSV!$A:$A,CSV!H:H,""),
_xlpm.MacVal,_xlfn.XLOOKUP($A51,Output_Mac!$A:$A,Output_Mac!H:H,""),
_xlpm.MyAuditVal,_xlfn.XLOOKUP($A51,My_Audit!$A:$A,My_Audit!G:G,""),
_xlfn.IFS(_xlpm.MyAuditVal&lt;&gt;"",_xlpm.MyAuditVal,_xlpm.MacVal&lt;&gt;"",_xlpm.MacVal,_xlpm.CSVVal&lt;&gt;"",_xlpm.CSVVal
)),"")</f>
        <v/>
      </c>
      <c r="I51" s="2" t="str">
        <f>_xlfn.XLOOKUP(A51,Output_Mac!A:A,Output_Mac!I:I,"")</f>
        <v/>
      </c>
      <c r="J51" s="2" t="str" cm="1">
        <f t="array" ref="J51">IFERROR(_xlfn.LET(
_xlpm.CSVVal,_xlfn.XLOOKUP($A51,CSV!$A:$A,CSV!I:I,""),
_xlpm.MacVal,_xlfn.XLOOKUP($A51,Output_Mac!$A:$A,Output_Mac!J:J,""),
_xlpm.MyAuditVal,_xlfn.XLOOKUP($A51,My_Audit!$A:$A,My_Audit!I:I,""),
_xlfn.IFS(_xlpm.MyAuditVal&lt;&gt;"",UPPER(_xlpm.MyAuditVal),_xlpm.MacVal&lt;&gt;"",_xlpm.MacVal,_xlpm.CSVVal&lt;&gt;"",_xlpm.CSVVal
)),"")</f>
        <v/>
      </c>
      <c r="K51" s="2" t="str" cm="1">
        <f t="array" ref="K51">IFERROR(_xlfn.LET(
_xlpm.CSVVal,_xlfn.XLOOKUP($A51,CSV!$A:$A,CSV!K:K,""),
_xlpm.MacVal,_xlfn.XLOOKUP($A51,Output_Mac!$A:$A,Output_Mac!K:K,""),
_xlpm.MyAuditVal,_xlfn.XLOOKUP($A51,My_Audit!$A:$A,My_Audit!J:J,""),
_xlfn.IFS(_xlpm.MyAuditVal&lt;&gt;"",UPPER(_xlpm.MyAuditVal),_xlpm.MacVal&lt;&gt;"",_xlpm.MacVal,_xlpm.CSVVal&lt;&gt;"",_xlpm.CSVVal
)),"")</f>
        <v/>
      </c>
      <c r="L51" s="2" t="str" cm="1">
        <f t="array" ref="L51">IFERROR(_xlfn.LET(
_xlpm.CSVVal,_xlfn.XLOOKUP($A51,CSV!$A:$A,CSV!P:P,""),
_xlpm.MacVal,_xlfn.XLOOKUP($A51,Output_Mac!$A:$A,Output_Mac!L:L,""),
_xlpm.MyAuditVal,_xlfn.XLOOKUP($A51,My_Audit!$A:$A,My_Audit!K:K,""),
_xlfn.IFS(_xlpm.MyAuditVal&lt;&gt;"",UPPER(_xlpm.MyAuditVal),_xlpm.MacVal&lt;&gt;"",_xlpm.MacVal,_xlpm.CSVVal&lt;&gt;"",_xlpm.CSVVal
)),"")</f>
        <v/>
      </c>
      <c r="M51" s="2" t="str" cm="1">
        <f t="array" ref="M51">IFERROR(_xlfn.LET(
_xlpm.CSVVal,_xlfn.XLOOKUP($A51,CSV!$A:$A,CSV!Q:Q,""),
_xlpm.MacVal,_xlfn.XLOOKUP($A51,Output_Mac!$A:$A,Output_Mac!M:M,""),
_xlpm.MyAuditVal,_xlfn.XLOOKUP($A51,My_Audit!$A:$A,My_Audit!L:L,""),
_xlfn.IFS(_xlpm.MyAuditVal&lt;&gt;"",UPPER(_xlpm.MyAuditVal),_xlpm.MacVal&lt;&gt;"",_xlpm.MacVal,_xlpm.CSVVal&lt;&gt;"",_xlpm.CSVVal
)),"")</f>
        <v/>
      </c>
      <c r="O51" s="2" t="str">
        <f>_xlfn.LET(
    _xlpm.CSVVal, _xlfn.XLOOKUP($A51, CSV!$A:$A, CSV!AA:AA, ""),
    _xlpm.MacVal, _xlfn.XLOOKUP($A51, Output_Mac!$A:$A, Output_Mac!S:S, ""),
    _xlpm.MyAuditVal, _xlfn.XLOOKUP($A51, My_Audit!$A:$A, My_Audit!P:P, ""),
    _xlfn.TEXTJOIN(", ", TRUE, _xlpm.MyAuditVal, _xlpm.MacVal, _xlpm.CSVVal)
)</f>
        <v/>
      </c>
      <c r="P51" s="2" t="str" cm="1">
        <f t="array" ref="P51">IFERROR(_xlfn.LET(
_xlpm.CSVVal,_xlfn.XLOOKUP($A51,CSV!$A:$A,CSV!AB:AB,""),
_xlpm.MacVal,_xlfn.XLOOKUP($A51,Output_Mac!$A:$A,Output_Mac!T:T,""),
_xlpm.MyAuditVal,_xlfn.XLOOKUP($A51,My_Audit!$A:$A,My_Audit!Q:Q,""),
_xlfn.IFS(_xlpm.MyAuditVal&lt;&gt;"",UPPER(_xlpm.MyAuditVal),_xlpm.MacVal&lt;&gt;"",_xlpm.MacVal,_xlpm.CSVVal&lt;&gt;"",_xlpm.CSVVal
)),"No")</f>
        <v>No</v>
      </c>
      <c r="Q51" s="2" t="str" cm="1">
        <f t="array" ref="Q51">IFERROR(_xlfn.LET(
_xlpm.CSVVal,_xlfn.XLOOKUP($A51,CSV!$A:$A,CSV!AC:AC,""),
_xlpm.MacVal,_xlfn.XLOOKUP($A51,Output_Mac!$A:$A,Output_Mac!U:U,""),
_xlpm.MyAuditVal,_xlfn.XLOOKUP($A51,My_Audit!$A:$A,My_Audit!R:R,""),
_xlfn.IFS(_xlpm.MyAuditVal&lt;&gt;"",UPPER(_xlpm.MyAuditVal),_xlpm.MacVal&lt;&gt;"",_xlpm.MacVal,_xlpm.CSVVal&lt;&gt;"",_xlpm.CSVVal
)),"")</f>
        <v/>
      </c>
      <c r="X51" t="str">
        <f>_xlfn.LET(
    _xlpm.MacVal, _xlfn.XLOOKUP($A51, Output_Mac!$A:$A, Output_Mac!AB:AB, ""),
    _xlpm.MyAuditVal, _xlfn.XLOOKUP($A51, My_Audit!$A:$A, My_Audit!N:N, ""),
    _xlfn.TEXTJOIN(", ", TRUE, _xlpm.MyAuditVal, _xlpm.MacVal)
)</f>
        <v/>
      </c>
    </row>
    <row r="52" spans="1:24">
      <c r="A52" s="2" t="str">
        <f>_xlfn.TEXTJOIN("",TRUE,Input!$B$2,ROW(My_Audit!A51))</f>
        <v>X51</v>
      </c>
      <c r="B52" s="2" t="str">
        <f>_xlfn.TEXTJOIN("-",TRUE,"ITD",Input!$A$2,A52)</f>
        <v>ITD-SHR-X51</v>
      </c>
      <c r="C52" s="2" t="str" cm="1">
        <f t="array" ref="C52">IFERROR(_xlfn.LET(
_xlpm.CSVVal,_xlfn.XLOOKUP($A52,CSV!$A:$A,CSV!B:B,""),
_xlpm.MacVal,_xlfn.XLOOKUP($A52,Output_Mac!$A:$A,Output_Mac!B:B,""),
_xlpm.MyAuditVal,_xlfn.XLOOKUP($A52,My_Audit!$A:$A,My_Audit!B:B,""),
_xlfn.IFS(_xlpm.MyAuditVal&lt;&gt;"",UPPER(_xlpm.MyAuditVal),_xlpm.MacVal&lt;&gt;"",_xlpm.MacVal,_xlpm.CSVVal&lt;&gt;"",_xlpm.CSVVal
)),"")</f>
        <v/>
      </c>
      <c r="D52" s="2" t="str" cm="1">
        <f t="array" ref="D52">IFERROR(_xlfn.LET(
_xlpm.CSVVal,_xlfn.XLOOKUP($A52,CSV!$A:$A,CSV!D:D,""),
_xlpm.MacVal,_xlfn.XLOOKUP($A52,Output_Mac!$A:$A,Output_Mac!C:C,""),
_xlpm.MyAuditVal,_xlfn.XLOOKUP($A52,My_Audit!$A:$A,My_Audit!C:C,""),
_xlfn.IFS(_xlpm.MyAuditVal&lt;&gt;"",_xlpm.MyAuditVal,_xlpm.MacVal&lt;&gt;"",_xlpm.MacVal,_xlpm.CSVVal&lt;&gt;"",_xlpm.CSVVal
)),"")</f>
        <v/>
      </c>
      <c r="E52" s="2">
        <f>_xlfn.XLOOKUP(A52,My_Audit!A:A,My_Audit!D:D,"")</f>
        <v>0</v>
      </c>
      <c r="F52" s="2" t="str" cm="1">
        <f t="array" ref="F52">IFERROR(_xlfn.LET(
_xlpm.CSVVal,_xlfn.XLOOKUP($A52,CSV!$A:$A,CSV!F:F,""),
_xlpm.MacVal,_xlfn.XLOOKUP($A52,Output_Mac!$A:$A,Output_Mac!E:E,""),
_xlpm.MyAuditVal,_xlfn.XLOOKUP($A52,My_Audit!$A:$A,My_Audit!E:E,""),
_xlfn.IFS(_xlpm.MyAuditVal&lt;&gt;"",_xlpm.MyAuditVal,_xlpm.MacVal&lt;&gt;"",_xlpm.MacVal,_xlpm.CSVVal&lt;&gt;"",_xlpm.CSVVal
)),"")</f>
        <v/>
      </c>
      <c r="G52" s="2" t="str" cm="1">
        <f t="array" ref="G52">IFERROR(_xlfn.LET(
_xlpm.CSVVal,_xlfn.XLOOKUP($A52,CSV!$A:$A,CSV!G:G,""),
_xlpm.MacVal,_xlfn.XLOOKUP($A52,Output_Mac!$A:$A,Output_Mac!F:F,""),
_xlpm.MyAuditVal,_xlfn.XLOOKUP($A52,My_Audit!$A:$A,My_Audit!F:F,""),
_xlfn.IFS(_xlpm.MyAuditVal&lt;&gt;"",_xlpm.MyAuditVal,_xlpm.MacVal&lt;&gt;"",_xlpm.MacVal,_xlpm.CSVVal&lt;&gt;"",PROPER(_xlpm.CSVVal)
)),"")</f>
        <v/>
      </c>
      <c r="H52" s="2" t="str" cm="1">
        <f t="array" ref="H52">IFERROR(_xlfn.LET(
_xlpm.CSVVal,_xlfn.XLOOKUP($A52,CSV!$A:$A,CSV!H:H,""),
_xlpm.MacVal,_xlfn.XLOOKUP($A52,Output_Mac!$A:$A,Output_Mac!H:H,""),
_xlpm.MyAuditVal,_xlfn.XLOOKUP($A52,My_Audit!$A:$A,My_Audit!G:G,""),
_xlfn.IFS(_xlpm.MyAuditVal&lt;&gt;"",_xlpm.MyAuditVal,_xlpm.MacVal&lt;&gt;"",_xlpm.MacVal,_xlpm.CSVVal&lt;&gt;"",_xlpm.CSVVal
)),"")</f>
        <v/>
      </c>
      <c r="I52" s="2" t="str">
        <f>_xlfn.XLOOKUP(A52,Output_Mac!A:A,Output_Mac!I:I,"")</f>
        <v/>
      </c>
      <c r="J52" s="2" t="str" cm="1">
        <f t="array" ref="J52">IFERROR(_xlfn.LET(
_xlpm.CSVVal,_xlfn.XLOOKUP($A52,CSV!$A:$A,CSV!I:I,""),
_xlpm.MacVal,_xlfn.XLOOKUP($A52,Output_Mac!$A:$A,Output_Mac!J:J,""),
_xlpm.MyAuditVal,_xlfn.XLOOKUP($A52,My_Audit!$A:$A,My_Audit!I:I,""),
_xlfn.IFS(_xlpm.MyAuditVal&lt;&gt;"",UPPER(_xlpm.MyAuditVal),_xlpm.MacVal&lt;&gt;"",_xlpm.MacVal,_xlpm.CSVVal&lt;&gt;"",_xlpm.CSVVal
)),"")</f>
        <v/>
      </c>
      <c r="K52" s="2" t="str" cm="1">
        <f t="array" ref="K52">IFERROR(_xlfn.LET(
_xlpm.CSVVal,_xlfn.XLOOKUP($A52,CSV!$A:$A,CSV!K:K,""),
_xlpm.MacVal,_xlfn.XLOOKUP($A52,Output_Mac!$A:$A,Output_Mac!K:K,""),
_xlpm.MyAuditVal,_xlfn.XLOOKUP($A52,My_Audit!$A:$A,My_Audit!J:J,""),
_xlfn.IFS(_xlpm.MyAuditVal&lt;&gt;"",UPPER(_xlpm.MyAuditVal),_xlpm.MacVal&lt;&gt;"",_xlpm.MacVal,_xlpm.CSVVal&lt;&gt;"",_xlpm.CSVVal
)),"")</f>
        <v/>
      </c>
      <c r="L52" s="2" t="str" cm="1">
        <f t="array" ref="L52">IFERROR(_xlfn.LET(
_xlpm.CSVVal,_xlfn.XLOOKUP($A52,CSV!$A:$A,CSV!P:P,""),
_xlpm.MacVal,_xlfn.XLOOKUP($A52,Output_Mac!$A:$A,Output_Mac!L:L,""),
_xlpm.MyAuditVal,_xlfn.XLOOKUP($A52,My_Audit!$A:$A,My_Audit!K:K,""),
_xlfn.IFS(_xlpm.MyAuditVal&lt;&gt;"",UPPER(_xlpm.MyAuditVal),_xlpm.MacVal&lt;&gt;"",_xlpm.MacVal,_xlpm.CSVVal&lt;&gt;"",_xlpm.CSVVal
)),"")</f>
        <v/>
      </c>
      <c r="M52" s="2" t="str" cm="1">
        <f t="array" ref="M52">IFERROR(_xlfn.LET(
_xlpm.CSVVal,_xlfn.XLOOKUP($A52,CSV!$A:$A,CSV!Q:Q,""),
_xlpm.MacVal,_xlfn.XLOOKUP($A52,Output_Mac!$A:$A,Output_Mac!M:M,""),
_xlpm.MyAuditVal,_xlfn.XLOOKUP($A52,My_Audit!$A:$A,My_Audit!L:L,""),
_xlfn.IFS(_xlpm.MyAuditVal&lt;&gt;"",UPPER(_xlpm.MyAuditVal),_xlpm.MacVal&lt;&gt;"",_xlpm.MacVal,_xlpm.CSVVal&lt;&gt;"",_xlpm.CSVVal
)),"")</f>
        <v/>
      </c>
      <c r="O52" s="2" t="str">
        <f>_xlfn.LET(
    _xlpm.CSVVal, _xlfn.XLOOKUP($A52, CSV!$A:$A, CSV!AA:AA, ""),
    _xlpm.MacVal, _xlfn.XLOOKUP($A52, Output_Mac!$A:$A, Output_Mac!S:S, ""),
    _xlpm.MyAuditVal, _xlfn.XLOOKUP($A52, My_Audit!$A:$A, My_Audit!P:P, ""),
    _xlfn.TEXTJOIN(", ", TRUE, _xlpm.MyAuditVal, _xlpm.MacVal, _xlpm.CSVVal)
)</f>
        <v/>
      </c>
      <c r="P52" s="2" t="str" cm="1">
        <f t="array" ref="P52">IFERROR(_xlfn.LET(
_xlpm.CSVVal,_xlfn.XLOOKUP($A52,CSV!$A:$A,CSV!AB:AB,""),
_xlpm.MacVal,_xlfn.XLOOKUP($A52,Output_Mac!$A:$A,Output_Mac!T:T,""),
_xlpm.MyAuditVal,_xlfn.XLOOKUP($A52,My_Audit!$A:$A,My_Audit!Q:Q,""),
_xlfn.IFS(_xlpm.MyAuditVal&lt;&gt;"",UPPER(_xlpm.MyAuditVal),_xlpm.MacVal&lt;&gt;"",_xlpm.MacVal,_xlpm.CSVVal&lt;&gt;"",_xlpm.CSVVal
)),"No")</f>
        <v>No</v>
      </c>
      <c r="Q52" s="2" t="str" cm="1">
        <f t="array" ref="Q52">IFERROR(_xlfn.LET(
_xlpm.CSVVal,_xlfn.XLOOKUP($A52,CSV!$A:$A,CSV!AC:AC,""),
_xlpm.MacVal,_xlfn.XLOOKUP($A52,Output_Mac!$A:$A,Output_Mac!U:U,""),
_xlpm.MyAuditVal,_xlfn.XLOOKUP($A52,My_Audit!$A:$A,My_Audit!R:R,""),
_xlfn.IFS(_xlpm.MyAuditVal&lt;&gt;"",UPPER(_xlpm.MyAuditVal),_xlpm.MacVal&lt;&gt;"",_xlpm.MacVal,_xlpm.CSVVal&lt;&gt;"",_xlpm.CSVVal
)),"")</f>
        <v/>
      </c>
      <c r="X52" t="str">
        <f>_xlfn.LET(
    _xlpm.MacVal, _xlfn.XLOOKUP($A52, Output_Mac!$A:$A, Output_Mac!AB:AB, ""),
    _xlpm.MyAuditVal, _xlfn.XLOOKUP($A52, My_Audit!$A:$A, My_Audit!N:N, ""),
    _xlfn.TEXTJOIN(", ", TRUE, _xlpm.MyAuditVal, _xlpm.MacVal)
)</f>
        <v/>
      </c>
    </row>
    <row r="53" spans="1:24">
      <c r="A53" s="2" t="str">
        <f>_xlfn.TEXTJOIN("",TRUE,Input!$B$2,ROW(My_Audit!A52))</f>
        <v>X52</v>
      </c>
      <c r="B53" s="2" t="str">
        <f>_xlfn.TEXTJOIN("-",TRUE,"ITD",Input!$A$2,A53)</f>
        <v>ITD-SHR-X52</v>
      </c>
      <c r="C53" s="2" t="str" cm="1">
        <f t="array" ref="C53">IFERROR(_xlfn.LET(
_xlpm.CSVVal,_xlfn.XLOOKUP($A53,CSV!$A:$A,CSV!B:B,""),
_xlpm.MacVal,_xlfn.XLOOKUP($A53,Output_Mac!$A:$A,Output_Mac!B:B,""),
_xlpm.MyAuditVal,_xlfn.XLOOKUP($A53,My_Audit!$A:$A,My_Audit!B:B,""),
_xlfn.IFS(_xlpm.MyAuditVal&lt;&gt;"",UPPER(_xlpm.MyAuditVal),_xlpm.MacVal&lt;&gt;"",_xlpm.MacVal,_xlpm.CSVVal&lt;&gt;"",_xlpm.CSVVal
)),"")</f>
        <v/>
      </c>
      <c r="D53" s="2" t="str" cm="1">
        <f t="array" ref="D53">IFERROR(_xlfn.LET(
_xlpm.CSVVal,_xlfn.XLOOKUP($A53,CSV!$A:$A,CSV!D:D,""),
_xlpm.MacVal,_xlfn.XLOOKUP($A53,Output_Mac!$A:$A,Output_Mac!C:C,""),
_xlpm.MyAuditVal,_xlfn.XLOOKUP($A53,My_Audit!$A:$A,My_Audit!C:C,""),
_xlfn.IFS(_xlpm.MyAuditVal&lt;&gt;"",_xlpm.MyAuditVal,_xlpm.MacVal&lt;&gt;"",_xlpm.MacVal,_xlpm.CSVVal&lt;&gt;"",_xlpm.CSVVal
)),"")</f>
        <v/>
      </c>
      <c r="E53" s="2">
        <f>_xlfn.XLOOKUP(A53,My_Audit!A:A,My_Audit!D:D,"")</f>
        <v>0</v>
      </c>
      <c r="F53" s="2" t="str" cm="1">
        <f t="array" ref="F53">IFERROR(_xlfn.LET(
_xlpm.CSVVal,_xlfn.XLOOKUP($A53,CSV!$A:$A,CSV!F:F,""),
_xlpm.MacVal,_xlfn.XLOOKUP($A53,Output_Mac!$A:$A,Output_Mac!E:E,""),
_xlpm.MyAuditVal,_xlfn.XLOOKUP($A53,My_Audit!$A:$A,My_Audit!E:E,""),
_xlfn.IFS(_xlpm.MyAuditVal&lt;&gt;"",_xlpm.MyAuditVal,_xlpm.MacVal&lt;&gt;"",_xlpm.MacVal,_xlpm.CSVVal&lt;&gt;"",_xlpm.CSVVal
)),"")</f>
        <v/>
      </c>
      <c r="G53" s="2" t="str" cm="1">
        <f t="array" ref="G53">IFERROR(_xlfn.LET(
_xlpm.CSVVal,_xlfn.XLOOKUP($A53,CSV!$A:$A,CSV!G:G,""),
_xlpm.MacVal,_xlfn.XLOOKUP($A53,Output_Mac!$A:$A,Output_Mac!F:F,""),
_xlpm.MyAuditVal,_xlfn.XLOOKUP($A53,My_Audit!$A:$A,My_Audit!F:F,""),
_xlfn.IFS(_xlpm.MyAuditVal&lt;&gt;"",_xlpm.MyAuditVal,_xlpm.MacVal&lt;&gt;"",_xlpm.MacVal,_xlpm.CSVVal&lt;&gt;"",PROPER(_xlpm.CSVVal)
)),"")</f>
        <v/>
      </c>
      <c r="H53" s="2" t="str" cm="1">
        <f t="array" ref="H53">IFERROR(_xlfn.LET(
_xlpm.CSVVal,_xlfn.XLOOKUP($A53,CSV!$A:$A,CSV!H:H,""),
_xlpm.MacVal,_xlfn.XLOOKUP($A53,Output_Mac!$A:$A,Output_Mac!H:H,""),
_xlpm.MyAuditVal,_xlfn.XLOOKUP($A53,My_Audit!$A:$A,My_Audit!G:G,""),
_xlfn.IFS(_xlpm.MyAuditVal&lt;&gt;"",_xlpm.MyAuditVal,_xlpm.MacVal&lt;&gt;"",_xlpm.MacVal,_xlpm.CSVVal&lt;&gt;"",_xlpm.CSVVal
)),"")</f>
        <v/>
      </c>
      <c r="I53" s="2" t="str">
        <f>_xlfn.XLOOKUP(A53,Output_Mac!A:A,Output_Mac!I:I,"")</f>
        <v/>
      </c>
      <c r="J53" s="2" t="str" cm="1">
        <f t="array" ref="J53">IFERROR(_xlfn.LET(
_xlpm.CSVVal,_xlfn.XLOOKUP($A53,CSV!$A:$A,CSV!I:I,""),
_xlpm.MacVal,_xlfn.XLOOKUP($A53,Output_Mac!$A:$A,Output_Mac!J:J,""),
_xlpm.MyAuditVal,_xlfn.XLOOKUP($A53,My_Audit!$A:$A,My_Audit!I:I,""),
_xlfn.IFS(_xlpm.MyAuditVal&lt;&gt;"",UPPER(_xlpm.MyAuditVal),_xlpm.MacVal&lt;&gt;"",_xlpm.MacVal,_xlpm.CSVVal&lt;&gt;"",_xlpm.CSVVal
)),"")</f>
        <v/>
      </c>
      <c r="K53" s="2" t="str" cm="1">
        <f t="array" ref="K53">IFERROR(_xlfn.LET(
_xlpm.CSVVal,_xlfn.XLOOKUP($A53,CSV!$A:$A,CSV!K:K,""),
_xlpm.MacVal,_xlfn.XLOOKUP($A53,Output_Mac!$A:$A,Output_Mac!K:K,""),
_xlpm.MyAuditVal,_xlfn.XLOOKUP($A53,My_Audit!$A:$A,My_Audit!J:J,""),
_xlfn.IFS(_xlpm.MyAuditVal&lt;&gt;"",UPPER(_xlpm.MyAuditVal),_xlpm.MacVal&lt;&gt;"",_xlpm.MacVal,_xlpm.CSVVal&lt;&gt;"",_xlpm.CSVVal
)),"")</f>
        <v/>
      </c>
      <c r="L53" s="2" t="str" cm="1">
        <f t="array" ref="L53">IFERROR(_xlfn.LET(
_xlpm.CSVVal,_xlfn.XLOOKUP($A53,CSV!$A:$A,CSV!P:P,""),
_xlpm.MacVal,_xlfn.XLOOKUP($A53,Output_Mac!$A:$A,Output_Mac!L:L,""),
_xlpm.MyAuditVal,_xlfn.XLOOKUP($A53,My_Audit!$A:$A,My_Audit!K:K,""),
_xlfn.IFS(_xlpm.MyAuditVal&lt;&gt;"",UPPER(_xlpm.MyAuditVal),_xlpm.MacVal&lt;&gt;"",_xlpm.MacVal,_xlpm.CSVVal&lt;&gt;"",_xlpm.CSVVal
)),"")</f>
        <v/>
      </c>
      <c r="M53" s="2" t="str" cm="1">
        <f t="array" ref="M53">IFERROR(_xlfn.LET(
_xlpm.CSVVal,_xlfn.XLOOKUP($A53,CSV!$A:$A,CSV!Q:Q,""),
_xlpm.MacVal,_xlfn.XLOOKUP($A53,Output_Mac!$A:$A,Output_Mac!M:M,""),
_xlpm.MyAuditVal,_xlfn.XLOOKUP($A53,My_Audit!$A:$A,My_Audit!L:L,""),
_xlfn.IFS(_xlpm.MyAuditVal&lt;&gt;"",UPPER(_xlpm.MyAuditVal),_xlpm.MacVal&lt;&gt;"",_xlpm.MacVal,_xlpm.CSVVal&lt;&gt;"",_xlpm.CSVVal
)),"")</f>
        <v/>
      </c>
      <c r="O53" s="2" t="str">
        <f>_xlfn.LET(
    _xlpm.CSVVal, _xlfn.XLOOKUP($A53, CSV!$A:$A, CSV!AA:AA, ""),
    _xlpm.MacVal, _xlfn.XLOOKUP($A53, Output_Mac!$A:$A, Output_Mac!S:S, ""),
    _xlpm.MyAuditVal, _xlfn.XLOOKUP($A53, My_Audit!$A:$A, My_Audit!P:P, ""),
    _xlfn.TEXTJOIN(", ", TRUE, _xlpm.MyAuditVal, _xlpm.MacVal, _xlpm.CSVVal)
)</f>
        <v/>
      </c>
      <c r="P53" s="2" t="str" cm="1">
        <f t="array" ref="P53">IFERROR(_xlfn.LET(
_xlpm.CSVVal,_xlfn.XLOOKUP($A53,CSV!$A:$A,CSV!AB:AB,""),
_xlpm.MacVal,_xlfn.XLOOKUP($A53,Output_Mac!$A:$A,Output_Mac!T:T,""),
_xlpm.MyAuditVal,_xlfn.XLOOKUP($A53,My_Audit!$A:$A,My_Audit!Q:Q,""),
_xlfn.IFS(_xlpm.MyAuditVal&lt;&gt;"",UPPER(_xlpm.MyAuditVal),_xlpm.MacVal&lt;&gt;"",_xlpm.MacVal,_xlpm.CSVVal&lt;&gt;"",_xlpm.CSVVal
)),"No")</f>
        <v>No</v>
      </c>
      <c r="Q53" s="2" t="str" cm="1">
        <f t="array" ref="Q53">IFERROR(_xlfn.LET(
_xlpm.CSVVal,_xlfn.XLOOKUP($A53,CSV!$A:$A,CSV!AC:AC,""),
_xlpm.MacVal,_xlfn.XLOOKUP($A53,Output_Mac!$A:$A,Output_Mac!U:U,""),
_xlpm.MyAuditVal,_xlfn.XLOOKUP($A53,My_Audit!$A:$A,My_Audit!R:R,""),
_xlfn.IFS(_xlpm.MyAuditVal&lt;&gt;"",UPPER(_xlpm.MyAuditVal),_xlpm.MacVal&lt;&gt;"",_xlpm.MacVal,_xlpm.CSVVal&lt;&gt;"",_xlpm.CSVVal
)),"")</f>
        <v/>
      </c>
      <c r="X53" t="str">
        <f>_xlfn.LET(
    _xlpm.MacVal, _xlfn.XLOOKUP($A53, Output_Mac!$A:$A, Output_Mac!AB:AB, ""),
    _xlpm.MyAuditVal, _xlfn.XLOOKUP($A53, My_Audit!$A:$A, My_Audit!N:N, ""),
    _xlfn.TEXTJOIN(", ", TRUE, _xlpm.MyAuditVal, _xlpm.MacVal)
)</f>
        <v/>
      </c>
    </row>
    <row r="54" spans="1:24">
      <c r="A54" s="2" t="str">
        <f>_xlfn.TEXTJOIN("",TRUE,Input!$B$2,ROW(My_Audit!A53))</f>
        <v>X53</v>
      </c>
      <c r="B54" s="2" t="str">
        <f>_xlfn.TEXTJOIN("-",TRUE,"ITD",Input!$A$2,A54)</f>
        <v>ITD-SHR-X53</v>
      </c>
      <c r="C54" s="2" t="str" cm="1">
        <f t="array" ref="C54">IFERROR(_xlfn.LET(
_xlpm.CSVVal,_xlfn.XLOOKUP($A54,CSV!$A:$A,CSV!B:B,""),
_xlpm.MacVal,_xlfn.XLOOKUP($A54,Output_Mac!$A:$A,Output_Mac!B:B,""),
_xlpm.MyAuditVal,_xlfn.XLOOKUP($A54,My_Audit!$A:$A,My_Audit!B:B,""),
_xlfn.IFS(_xlpm.MyAuditVal&lt;&gt;"",UPPER(_xlpm.MyAuditVal),_xlpm.MacVal&lt;&gt;"",_xlpm.MacVal,_xlpm.CSVVal&lt;&gt;"",_xlpm.CSVVal
)),"")</f>
        <v/>
      </c>
      <c r="D54" s="2" t="str" cm="1">
        <f t="array" ref="D54">IFERROR(_xlfn.LET(
_xlpm.CSVVal,_xlfn.XLOOKUP($A54,CSV!$A:$A,CSV!D:D,""),
_xlpm.MacVal,_xlfn.XLOOKUP($A54,Output_Mac!$A:$A,Output_Mac!C:C,""),
_xlpm.MyAuditVal,_xlfn.XLOOKUP($A54,My_Audit!$A:$A,My_Audit!C:C,""),
_xlfn.IFS(_xlpm.MyAuditVal&lt;&gt;"",_xlpm.MyAuditVal,_xlpm.MacVal&lt;&gt;"",_xlpm.MacVal,_xlpm.CSVVal&lt;&gt;"",_xlpm.CSVVal
)),"")</f>
        <v/>
      </c>
      <c r="E54" s="2">
        <f>_xlfn.XLOOKUP(A54,My_Audit!A:A,My_Audit!D:D,"")</f>
        <v>0</v>
      </c>
      <c r="F54" s="2" t="str" cm="1">
        <f t="array" ref="F54">IFERROR(_xlfn.LET(
_xlpm.CSVVal,_xlfn.XLOOKUP($A54,CSV!$A:$A,CSV!F:F,""),
_xlpm.MacVal,_xlfn.XLOOKUP($A54,Output_Mac!$A:$A,Output_Mac!E:E,""),
_xlpm.MyAuditVal,_xlfn.XLOOKUP($A54,My_Audit!$A:$A,My_Audit!E:E,""),
_xlfn.IFS(_xlpm.MyAuditVal&lt;&gt;"",_xlpm.MyAuditVal,_xlpm.MacVal&lt;&gt;"",_xlpm.MacVal,_xlpm.CSVVal&lt;&gt;"",_xlpm.CSVVal
)),"")</f>
        <v/>
      </c>
      <c r="G54" s="2" t="str" cm="1">
        <f t="array" ref="G54">IFERROR(_xlfn.LET(
_xlpm.CSVVal,_xlfn.XLOOKUP($A54,CSV!$A:$A,CSV!G:G,""),
_xlpm.MacVal,_xlfn.XLOOKUP($A54,Output_Mac!$A:$A,Output_Mac!F:F,""),
_xlpm.MyAuditVal,_xlfn.XLOOKUP($A54,My_Audit!$A:$A,My_Audit!F:F,""),
_xlfn.IFS(_xlpm.MyAuditVal&lt;&gt;"",_xlpm.MyAuditVal,_xlpm.MacVal&lt;&gt;"",_xlpm.MacVal,_xlpm.CSVVal&lt;&gt;"",PROPER(_xlpm.CSVVal)
)),"")</f>
        <v/>
      </c>
      <c r="H54" s="2" t="str" cm="1">
        <f t="array" ref="H54">IFERROR(_xlfn.LET(
_xlpm.CSVVal,_xlfn.XLOOKUP($A54,CSV!$A:$A,CSV!H:H,""),
_xlpm.MacVal,_xlfn.XLOOKUP($A54,Output_Mac!$A:$A,Output_Mac!H:H,""),
_xlpm.MyAuditVal,_xlfn.XLOOKUP($A54,My_Audit!$A:$A,My_Audit!G:G,""),
_xlfn.IFS(_xlpm.MyAuditVal&lt;&gt;"",_xlpm.MyAuditVal,_xlpm.MacVal&lt;&gt;"",_xlpm.MacVal,_xlpm.CSVVal&lt;&gt;"",_xlpm.CSVVal
)),"")</f>
        <v/>
      </c>
      <c r="I54" s="2" t="str">
        <f>_xlfn.XLOOKUP(A54,Output_Mac!A:A,Output_Mac!I:I,"")</f>
        <v/>
      </c>
      <c r="J54" s="2" t="str" cm="1">
        <f t="array" ref="J54">IFERROR(_xlfn.LET(
_xlpm.CSVVal,_xlfn.XLOOKUP($A54,CSV!$A:$A,CSV!I:I,""),
_xlpm.MacVal,_xlfn.XLOOKUP($A54,Output_Mac!$A:$A,Output_Mac!J:J,""),
_xlpm.MyAuditVal,_xlfn.XLOOKUP($A54,My_Audit!$A:$A,My_Audit!I:I,""),
_xlfn.IFS(_xlpm.MyAuditVal&lt;&gt;"",UPPER(_xlpm.MyAuditVal),_xlpm.MacVal&lt;&gt;"",_xlpm.MacVal,_xlpm.CSVVal&lt;&gt;"",_xlpm.CSVVal
)),"")</f>
        <v/>
      </c>
      <c r="K54" s="2" t="str" cm="1">
        <f t="array" ref="K54">IFERROR(_xlfn.LET(
_xlpm.CSVVal,_xlfn.XLOOKUP($A54,CSV!$A:$A,CSV!K:K,""),
_xlpm.MacVal,_xlfn.XLOOKUP($A54,Output_Mac!$A:$A,Output_Mac!K:K,""),
_xlpm.MyAuditVal,_xlfn.XLOOKUP($A54,My_Audit!$A:$A,My_Audit!J:J,""),
_xlfn.IFS(_xlpm.MyAuditVal&lt;&gt;"",UPPER(_xlpm.MyAuditVal),_xlpm.MacVal&lt;&gt;"",_xlpm.MacVal,_xlpm.CSVVal&lt;&gt;"",_xlpm.CSVVal
)),"")</f>
        <v/>
      </c>
      <c r="L54" s="2" t="str" cm="1">
        <f t="array" ref="L54">IFERROR(_xlfn.LET(
_xlpm.CSVVal,_xlfn.XLOOKUP($A54,CSV!$A:$A,CSV!P:P,""),
_xlpm.MacVal,_xlfn.XLOOKUP($A54,Output_Mac!$A:$A,Output_Mac!L:L,""),
_xlpm.MyAuditVal,_xlfn.XLOOKUP($A54,My_Audit!$A:$A,My_Audit!K:K,""),
_xlfn.IFS(_xlpm.MyAuditVal&lt;&gt;"",UPPER(_xlpm.MyAuditVal),_xlpm.MacVal&lt;&gt;"",_xlpm.MacVal,_xlpm.CSVVal&lt;&gt;"",_xlpm.CSVVal
)),"")</f>
        <v/>
      </c>
      <c r="M54" s="2" t="str" cm="1">
        <f t="array" ref="M54">IFERROR(_xlfn.LET(
_xlpm.CSVVal,_xlfn.XLOOKUP($A54,CSV!$A:$A,CSV!Q:Q,""),
_xlpm.MacVal,_xlfn.XLOOKUP($A54,Output_Mac!$A:$A,Output_Mac!M:M,""),
_xlpm.MyAuditVal,_xlfn.XLOOKUP($A54,My_Audit!$A:$A,My_Audit!L:L,""),
_xlfn.IFS(_xlpm.MyAuditVal&lt;&gt;"",UPPER(_xlpm.MyAuditVal),_xlpm.MacVal&lt;&gt;"",_xlpm.MacVal,_xlpm.CSVVal&lt;&gt;"",_xlpm.CSVVal
)),"")</f>
        <v/>
      </c>
      <c r="O54" s="2" t="str">
        <f>_xlfn.LET(
    _xlpm.CSVVal, _xlfn.XLOOKUP($A54, CSV!$A:$A, CSV!AA:AA, ""),
    _xlpm.MacVal, _xlfn.XLOOKUP($A54, Output_Mac!$A:$A, Output_Mac!S:S, ""),
    _xlpm.MyAuditVal, _xlfn.XLOOKUP($A54, My_Audit!$A:$A, My_Audit!P:P, ""),
    _xlfn.TEXTJOIN(", ", TRUE, _xlpm.MyAuditVal, _xlpm.MacVal, _xlpm.CSVVal)
)</f>
        <v/>
      </c>
      <c r="P54" s="2" t="str" cm="1">
        <f t="array" ref="P54">IFERROR(_xlfn.LET(
_xlpm.CSVVal,_xlfn.XLOOKUP($A54,CSV!$A:$A,CSV!AB:AB,""),
_xlpm.MacVal,_xlfn.XLOOKUP($A54,Output_Mac!$A:$A,Output_Mac!T:T,""),
_xlpm.MyAuditVal,_xlfn.XLOOKUP($A54,My_Audit!$A:$A,My_Audit!Q:Q,""),
_xlfn.IFS(_xlpm.MyAuditVal&lt;&gt;"",UPPER(_xlpm.MyAuditVal),_xlpm.MacVal&lt;&gt;"",_xlpm.MacVal,_xlpm.CSVVal&lt;&gt;"",_xlpm.CSVVal
)),"No")</f>
        <v>No</v>
      </c>
      <c r="Q54" s="2" t="str" cm="1">
        <f t="array" ref="Q54">IFERROR(_xlfn.LET(
_xlpm.CSVVal,_xlfn.XLOOKUP($A54,CSV!$A:$A,CSV!AC:AC,""),
_xlpm.MacVal,_xlfn.XLOOKUP($A54,Output_Mac!$A:$A,Output_Mac!U:U,""),
_xlpm.MyAuditVal,_xlfn.XLOOKUP($A54,My_Audit!$A:$A,My_Audit!R:R,""),
_xlfn.IFS(_xlpm.MyAuditVal&lt;&gt;"",UPPER(_xlpm.MyAuditVal),_xlpm.MacVal&lt;&gt;"",_xlpm.MacVal,_xlpm.CSVVal&lt;&gt;"",_xlpm.CSVVal
)),"")</f>
        <v/>
      </c>
      <c r="X54" t="str">
        <f>_xlfn.LET(
    _xlpm.MacVal, _xlfn.XLOOKUP($A54, Output_Mac!$A:$A, Output_Mac!AB:AB, ""),
    _xlpm.MyAuditVal, _xlfn.XLOOKUP($A54, My_Audit!$A:$A, My_Audit!N:N, ""),
    _xlfn.TEXTJOIN(", ", TRUE, _xlpm.MyAuditVal, _xlpm.MacVal)
)</f>
        <v/>
      </c>
    </row>
    <row r="55" spans="1:24">
      <c r="A55" s="2" t="str">
        <f>_xlfn.TEXTJOIN("",TRUE,Input!$B$2,ROW(My_Audit!A54))</f>
        <v>X54</v>
      </c>
      <c r="B55" s="2" t="str">
        <f>_xlfn.TEXTJOIN("-",TRUE,"ITD",Input!$A$2,A55)</f>
        <v>ITD-SHR-X54</v>
      </c>
      <c r="C55" s="2" t="str" cm="1">
        <f t="array" ref="C55">IFERROR(_xlfn.LET(
_xlpm.CSVVal,_xlfn.XLOOKUP($A55,CSV!$A:$A,CSV!B:B,""),
_xlpm.MacVal,_xlfn.XLOOKUP($A55,Output_Mac!$A:$A,Output_Mac!B:B,""),
_xlpm.MyAuditVal,_xlfn.XLOOKUP($A55,My_Audit!$A:$A,My_Audit!B:B,""),
_xlfn.IFS(_xlpm.MyAuditVal&lt;&gt;"",UPPER(_xlpm.MyAuditVal),_xlpm.MacVal&lt;&gt;"",_xlpm.MacVal,_xlpm.CSVVal&lt;&gt;"",_xlpm.CSVVal
)),"")</f>
        <v/>
      </c>
      <c r="D55" s="2" t="str" cm="1">
        <f t="array" ref="D55">IFERROR(_xlfn.LET(
_xlpm.CSVVal,_xlfn.XLOOKUP($A55,CSV!$A:$A,CSV!D:D,""),
_xlpm.MacVal,_xlfn.XLOOKUP($A55,Output_Mac!$A:$A,Output_Mac!C:C,""),
_xlpm.MyAuditVal,_xlfn.XLOOKUP($A55,My_Audit!$A:$A,My_Audit!C:C,""),
_xlfn.IFS(_xlpm.MyAuditVal&lt;&gt;"",_xlpm.MyAuditVal,_xlpm.MacVal&lt;&gt;"",_xlpm.MacVal,_xlpm.CSVVal&lt;&gt;"",_xlpm.CSVVal
)),"")</f>
        <v/>
      </c>
      <c r="E55" s="2">
        <f>_xlfn.XLOOKUP(A55,My_Audit!A:A,My_Audit!D:D,"")</f>
        <v>0</v>
      </c>
      <c r="F55" s="2" t="str" cm="1">
        <f t="array" ref="F55">IFERROR(_xlfn.LET(
_xlpm.CSVVal,_xlfn.XLOOKUP($A55,CSV!$A:$A,CSV!F:F,""),
_xlpm.MacVal,_xlfn.XLOOKUP($A55,Output_Mac!$A:$A,Output_Mac!E:E,""),
_xlpm.MyAuditVal,_xlfn.XLOOKUP($A55,My_Audit!$A:$A,My_Audit!E:E,""),
_xlfn.IFS(_xlpm.MyAuditVal&lt;&gt;"",_xlpm.MyAuditVal,_xlpm.MacVal&lt;&gt;"",_xlpm.MacVal,_xlpm.CSVVal&lt;&gt;"",_xlpm.CSVVal
)),"")</f>
        <v/>
      </c>
      <c r="G55" s="2" t="str" cm="1">
        <f t="array" ref="G55">IFERROR(_xlfn.LET(
_xlpm.CSVVal,_xlfn.XLOOKUP($A55,CSV!$A:$A,CSV!G:G,""),
_xlpm.MacVal,_xlfn.XLOOKUP($A55,Output_Mac!$A:$A,Output_Mac!F:F,""),
_xlpm.MyAuditVal,_xlfn.XLOOKUP($A55,My_Audit!$A:$A,My_Audit!F:F,""),
_xlfn.IFS(_xlpm.MyAuditVal&lt;&gt;"",_xlpm.MyAuditVal,_xlpm.MacVal&lt;&gt;"",_xlpm.MacVal,_xlpm.CSVVal&lt;&gt;"",PROPER(_xlpm.CSVVal)
)),"")</f>
        <v/>
      </c>
      <c r="H55" s="2" t="str" cm="1">
        <f t="array" ref="H55">IFERROR(_xlfn.LET(
_xlpm.CSVVal,_xlfn.XLOOKUP($A55,CSV!$A:$A,CSV!H:H,""),
_xlpm.MacVal,_xlfn.XLOOKUP($A55,Output_Mac!$A:$A,Output_Mac!H:H,""),
_xlpm.MyAuditVal,_xlfn.XLOOKUP($A55,My_Audit!$A:$A,My_Audit!G:G,""),
_xlfn.IFS(_xlpm.MyAuditVal&lt;&gt;"",_xlpm.MyAuditVal,_xlpm.MacVal&lt;&gt;"",_xlpm.MacVal,_xlpm.CSVVal&lt;&gt;"",_xlpm.CSVVal
)),"")</f>
        <v/>
      </c>
      <c r="I55" s="2" t="str">
        <f>_xlfn.XLOOKUP(A55,Output_Mac!A:A,Output_Mac!I:I,"")</f>
        <v/>
      </c>
      <c r="J55" s="2" t="str" cm="1">
        <f t="array" ref="J55">IFERROR(_xlfn.LET(
_xlpm.CSVVal,_xlfn.XLOOKUP($A55,CSV!$A:$A,CSV!I:I,""),
_xlpm.MacVal,_xlfn.XLOOKUP($A55,Output_Mac!$A:$A,Output_Mac!J:J,""),
_xlpm.MyAuditVal,_xlfn.XLOOKUP($A55,My_Audit!$A:$A,My_Audit!I:I,""),
_xlfn.IFS(_xlpm.MyAuditVal&lt;&gt;"",UPPER(_xlpm.MyAuditVal),_xlpm.MacVal&lt;&gt;"",_xlpm.MacVal,_xlpm.CSVVal&lt;&gt;"",_xlpm.CSVVal
)),"")</f>
        <v/>
      </c>
      <c r="K55" s="2" t="str" cm="1">
        <f t="array" ref="K55">IFERROR(_xlfn.LET(
_xlpm.CSVVal,_xlfn.XLOOKUP($A55,CSV!$A:$A,CSV!K:K,""),
_xlpm.MacVal,_xlfn.XLOOKUP($A55,Output_Mac!$A:$A,Output_Mac!K:K,""),
_xlpm.MyAuditVal,_xlfn.XLOOKUP($A55,My_Audit!$A:$A,My_Audit!J:J,""),
_xlfn.IFS(_xlpm.MyAuditVal&lt;&gt;"",UPPER(_xlpm.MyAuditVal),_xlpm.MacVal&lt;&gt;"",_xlpm.MacVal,_xlpm.CSVVal&lt;&gt;"",_xlpm.CSVVal
)),"")</f>
        <v/>
      </c>
      <c r="L55" s="2" t="str" cm="1">
        <f t="array" ref="L55">IFERROR(_xlfn.LET(
_xlpm.CSVVal,_xlfn.XLOOKUP($A55,CSV!$A:$A,CSV!P:P,""),
_xlpm.MacVal,_xlfn.XLOOKUP($A55,Output_Mac!$A:$A,Output_Mac!L:L,""),
_xlpm.MyAuditVal,_xlfn.XLOOKUP($A55,My_Audit!$A:$A,My_Audit!K:K,""),
_xlfn.IFS(_xlpm.MyAuditVal&lt;&gt;"",UPPER(_xlpm.MyAuditVal),_xlpm.MacVal&lt;&gt;"",_xlpm.MacVal,_xlpm.CSVVal&lt;&gt;"",_xlpm.CSVVal
)),"")</f>
        <v/>
      </c>
      <c r="M55" s="2" t="str" cm="1">
        <f t="array" ref="M55">IFERROR(_xlfn.LET(
_xlpm.CSVVal,_xlfn.XLOOKUP($A55,CSV!$A:$A,CSV!Q:Q,""),
_xlpm.MacVal,_xlfn.XLOOKUP($A55,Output_Mac!$A:$A,Output_Mac!M:M,""),
_xlpm.MyAuditVal,_xlfn.XLOOKUP($A55,My_Audit!$A:$A,My_Audit!L:L,""),
_xlfn.IFS(_xlpm.MyAuditVal&lt;&gt;"",UPPER(_xlpm.MyAuditVal),_xlpm.MacVal&lt;&gt;"",_xlpm.MacVal,_xlpm.CSVVal&lt;&gt;"",_xlpm.CSVVal
)),"")</f>
        <v/>
      </c>
      <c r="O55" s="2" t="str">
        <f>_xlfn.LET(
    _xlpm.CSVVal, _xlfn.XLOOKUP($A55, CSV!$A:$A, CSV!AA:AA, ""),
    _xlpm.MacVal, _xlfn.XLOOKUP($A55, Output_Mac!$A:$A, Output_Mac!S:S, ""),
    _xlpm.MyAuditVal, _xlfn.XLOOKUP($A55, My_Audit!$A:$A, My_Audit!P:P, ""),
    _xlfn.TEXTJOIN(", ", TRUE, _xlpm.MyAuditVal, _xlpm.MacVal, _xlpm.CSVVal)
)</f>
        <v/>
      </c>
      <c r="P55" s="2" t="str" cm="1">
        <f t="array" ref="P55">IFERROR(_xlfn.LET(
_xlpm.CSVVal,_xlfn.XLOOKUP($A55,CSV!$A:$A,CSV!AB:AB,""),
_xlpm.MacVal,_xlfn.XLOOKUP($A55,Output_Mac!$A:$A,Output_Mac!T:T,""),
_xlpm.MyAuditVal,_xlfn.XLOOKUP($A55,My_Audit!$A:$A,My_Audit!Q:Q,""),
_xlfn.IFS(_xlpm.MyAuditVal&lt;&gt;"",UPPER(_xlpm.MyAuditVal),_xlpm.MacVal&lt;&gt;"",_xlpm.MacVal,_xlpm.CSVVal&lt;&gt;"",_xlpm.CSVVal
)),"No")</f>
        <v>No</v>
      </c>
      <c r="Q55" s="2" t="str" cm="1">
        <f t="array" ref="Q55">IFERROR(_xlfn.LET(
_xlpm.CSVVal,_xlfn.XLOOKUP($A55,CSV!$A:$A,CSV!AC:AC,""),
_xlpm.MacVal,_xlfn.XLOOKUP($A55,Output_Mac!$A:$A,Output_Mac!U:U,""),
_xlpm.MyAuditVal,_xlfn.XLOOKUP($A55,My_Audit!$A:$A,My_Audit!R:R,""),
_xlfn.IFS(_xlpm.MyAuditVal&lt;&gt;"",UPPER(_xlpm.MyAuditVal),_xlpm.MacVal&lt;&gt;"",_xlpm.MacVal,_xlpm.CSVVal&lt;&gt;"",_xlpm.CSVVal
)),"")</f>
        <v/>
      </c>
      <c r="X55" t="str">
        <f>_xlfn.LET(
    _xlpm.MacVal, _xlfn.XLOOKUP($A55, Output_Mac!$A:$A, Output_Mac!AB:AB, ""),
    _xlpm.MyAuditVal, _xlfn.XLOOKUP($A55, My_Audit!$A:$A, My_Audit!N:N, ""),
    _xlfn.TEXTJOIN(", ", TRUE, _xlpm.MyAuditVal, _xlpm.MacVal)
)</f>
        <v/>
      </c>
    </row>
    <row r="56" spans="1:24">
      <c r="A56" s="2" t="str">
        <f>_xlfn.TEXTJOIN("",TRUE,Input!$B$2,ROW(My_Audit!A55))</f>
        <v>X55</v>
      </c>
      <c r="B56" s="2" t="str">
        <f>_xlfn.TEXTJOIN("-",TRUE,"ITD",Input!$A$2,A56)</f>
        <v>ITD-SHR-X55</v>
      </c>
      <c r="C56" s="2" t="str" cm="1">
        <f t="array" ref="C56">IFERROR(_xlfn.LET(
_xlpm.CSVVal,_xlfn.XLOOKUP($A56,CSV!$A:$A,CSV!B:B,""),
_xlpm.MacVal,_xlfn.XLOOKUP($A56,Output_Mac!$A:$A,Output_Mac!B:B,""),
_xlpm.MyAuditVal,_xlfn.XLOOKUP($A56,My_Audit!$A:$A,My_Audit!B:B,""),
_xlfn.IFS(_xlpm.MyAuditVal&lt;&gt;"",UPPER(_xlpm.MyAuditVal),_xlpm.MacVal&lt;&gt;"",_xlpm.MacVal,_xlpm.CSVVal&lt;&gt;"",_xlpm.CSVVal
)),"")</f>
        <v/>
      </c>
      <c r="D56" s="2" t="str" cm="1">
        <f t="array" ref="D56">IFERROR(_xlfn.LET(
_xlpm.CSVVal,_xlfn.XLOOKUP($A56,CSV!$A:$A,CSV!D:D,""),
_xlpm.MacVal,_xlfn.XLOOKUP($A56,Output_Mac!$A:$A,Output_Mac!C:C,""),
_xlpm.MyAuditVal,_xlfn.XLOOKUP($A56,My_Audit!$A:$A,My_Audit!C:C,""),
_xlfn.IFS(_xlpm.MyAuditVal&lt;&gt;"",_xlpm.MyAuditVal,_xlpm.MacVal&lt;&gt;"",_xlpm.MacVal,_xlpm.CSVVal&lt;&gt;"",_xlpm.CSVVal
)),"")</f>
        <v/>
      </c>
      <c r="E56" s="2">
        <f>_xlfn.XLOOKUP(A56,My_Audit!A:A,My_Audit!D:D,"")</f>
        <v>0</v>
      </c>
      <c r="F56" s="2" t="str" cm="1">
        <f t="array" ref="F56">IFERROR(_xlfn.LET(
_xlpm.CSVVal,_xlfn.XLOOKUP($A56,CSV!$A:$A,CSV!F:F,""),
_xlpm.MacVal,_xlfn.XLOOKUP($A56,Output_Mac!$A:$A,Output_Mac!E:E,""),
_xlpm.MyAuditVal,_xlfn.XLOOKUP($A56,My_Audit!$A:$A,My_Audit!E:E,""),
_xlfn.IFS(_xlpm.MyAuditVal&lt;&gt;"",_xlpm.MyAuditVal,_xlpm.MacVal&lt;&gt;"",_xlpm.MacVal,_xlpm.CSVVal&lt;&gt;"",_xlpm.CSVVal
)),"")</f>
        <v/>
      </c>
      <c r="G56" s="2" t="str" cm="1">
        <f t="array" ref="G56">IFERROR(_xlfn.LET(
_xlpm.CSVVal,_xlfn.XLOOKUP($A56,CSV!$A:$A,CSV!G:G,""),
_xlpm.MacVal,_xlfn.XLOOKUP($A56,Output_Mac!$A:$A,Output_Mac!F:F,""),
_xlpm.MyAuditVal,_xlfn.XLOOKUP($A56,My_Audit!$A:$A,My_Audit!F:F,""),
_xlfn.IFS(_xlpm.MyAuditVal&lt;&gt;"",_xlpm.MyAuditVal,_xlpm.MacVal&lt;&gt;"",_xlpm.MacVal,_xlpm.CSVVal&lt;&gt;"",PROPER(_xlpm.CSVVal)
)),"")</f>
        <v/>
      </c>
      <c r="H56" s="2" t="str" cm="1">
        <f t="array" ref="H56">IFERROR(_xlfn.LET(
_xlpm.CSVVal,_xlfn.XLOOKUP($A56,CSV!$A:$A,CSV!H:H,""),
_xlpm.MacVal,_xlfn.XLOOKUP($A56,Output_Mac!$A:$A,Output_Mac!H:H,""),
_xlpm.MyAuditVal,_xlfn.XLOOKUP($A56,My_Audit!$A:$A,My_Audit!G:G,""),
_xlfn.IFS(_xlpm.MyAuditVal&lt;&gt;"",_xlpm.MyAuditVal,_xlpm.MacVal&lt;&gt;"",_xlpm.MacVal,_xlpm.CSVVal&lt;&gt;"",_xlpm.CSVVal
)),"")</f>
        <v/>
      </c>
      <c r="I56" s="2" t="str">
        <f>_xlfn.XLOOKUP(A56,Output_Mac!A:A,Output_Mac!I:I,"")</f>
        <v/>
      </c>
      <c r="J56" s="2" t="str" cm="1">
        <f t="array" ref="J56">IFERROR(_xlfn.LET(
_xlpm.CSVVal,_xlfn.XLOOKUP($A56,CSV!$A:$A,CSV!I:I,""),
_xlpm.MacVal,_xlfn.XLOOKUP($A56,Output_Mac!$A:$A,Output_Mac!J:J,""),
_xlpm.MyAuditVal,_xlfn.XLOOKUP($A56,My_Audit!$A:$A,My_Audit!I:I,""),
_xlfn.IFS(_xlpm.MyAuditVal&lt;&gt;"",UPPER(_xlpm.MyAuditVal),_xlpm.MacVal&lt;&gt;"",_xlpm.MacVal,_xlpm.CSVVal&lt;&gt;"",_xlpm.CSVVal
)),"")</f>
        <v/>
      </c>
      <c r="K56" s="2" t="str" cm="1">
        <f t="array" ref="K56">IFERROR(_xlfn.LET(
_xlpm.CSVVal,_xlfn.XLOOKUP($A56,CSV!$A:$A,CSV!K:K,""),
_xlpm.MacVal,_xlfn.XLOOKUP($A56,Output_Mac!$A:$A,Output_Mac!K:K,""),
_xlpm.MyAuditVal,_xlfn.XLOOKUP($A56,My_Audit!$A:$A,My_Audit!J:J,""),
_xlfn.IFS(_xlpm.MyAuditVal&lt;&gt;"",UPPER(_xlpm.MyAuditVal),_xlpm.MacVal&lt;&gt;"",_xlpm.MacVal,_xlpm.CSVVal&lt;&gt;"",_xlpm.CSVVal
)),"")</f>
        <v/>
      </c>
      <c r="L56" s="2" t="str" cm="1">
        <f t="array" ref="L56">IFERROR(_xlfn.LET(
_xlpm.CSVVal,_xlfn.XLOOKUP($A56,CSV!$A:$A,CSV!P:P,""),
_xlpm.MacVal,_xlfn.XLOOKUP($A56,Output_Mac!$A:$A,Output_Mac!L:L,""),
_xlpm.MyAuditVal,_xlfn.XLOOKUP($A56,My_Audit!$A:$A,My_Audit!K:K,""),
_xlfn.IFS(_xlpm.MyAuditVal&lt;&gt;"",UPPER(_xlpm.MyAuditVal),_xlpm.MacVal&lt;&gt;"",_xlpm.MacVal,_xlpm.CSVVal&lt;&gt;"",_xlpm.CSVVal
)),"")</f>
        <v/>
      </c>
      <c r="M56" s="2" t="str" cm="1">
        <f t="array" ref="M56">IFERROR(_xlfn.LET(
_xlpm.CSVVal,_xlfn.XLOOKUP($A56,CSV!$A:$A,CSV!Q:Q,""),
_xlpm.MacVal,_xlfn.XLOOKUP($A56,Output_Mac!$A:$A,Output_Mac!M:M,""),
_xlpm.MyAuditVal,_xlfn.XLOOKUP($A56,My_Audit!$A:$A,My_Audit!L:L,""),
_xlfn.IFS(_xlpm.MyAuditVal&lt;&gt;"",UPPER(_xlpm.MyAuditVal),_xlpm.MacVal&lt;&gt;"",_xlpm.MacVal,_xlpm.CSVVal&lt;&gt;"",_xlpm.CSVVal
)),"")</f>
        <v/>
      </c>
      <c r="O56" s="2" t="str">
        <f>_xlfn.LET(
    _xlpm.CSVVal, _xlfn.XLOOKUP($A56, CSV!$A:$A, CSV!AA:AA, ""),
    _xlpm.MacVal, _xlfn.XLOOKUP($A56, Output_Mac!$A:$A, Output_Mac!S:S, ""),
    _xlpm.MyAuditVal, _xlfn.XLOOKUP($A56, My_Audit!$A:$A, My_Audit!P:P, ""),
    _xlfn.TEXTJOIN(", ", TRUE, _xlpm.MyAuditVal, _xlpm.MacVal, _xlpm.CSVVal)
)</f>
        <v/>
      </c>
      <c r="P56" s="2" t="str" cm="1">
        <f t="array" ref="P56">IFERROR(_xlfn.LET(
_xlpm.CSVVal,_xlfn.XLOOKUP($A56,CSV!$A:$A,CSV!AB:AB,""),
_xlpm.MacVal,_xlfn.XLOOKUP($A56,Output_Mac!$A:$A,Output_Mac!T:T,""),
_xlpm.MyAuditVal,_xlfn.XLOOKUP($A56,My_Audit!$A:$A,My_Audit!Q:Q,""),
_xlfn.IFS(_xlpm.MyAuditVal&lt;&gt;"",UPPER(_xlpm.MyAuditVal),_xlpm.MacVal&lt;&gt;"",_xlpm.MacVal,_xlpm.CSVVal&lt;&gt;"",_xlpm.CSVVal
)),"No")</f>
        <v>No</v>
      </c>
      <c r="Q56" s="2" t="str" cm="1">
        <f t="array" ref="Q56">IFERROR(_xlfn.LET(
_xlpm.CSVVal,_xlfn.XLOOKUP($A56,CSV!$A:$A,CSV!AC:AC,""),
_xlpm.MacVal,_xlfn.XLOOKUP($A56,Output_Mac!$A:$A,Output_Mac!U:U,""),
_xlpm.MyAuditVal,_xlfn.XLOOKUP($A56,My_Audit!$A:$A,My_Audit!R:R,""),
_xlfn.IFS(_xlpm.MyAuditVal&lt;&gt;"",UPPER(_xlpm.MyAuditVal),_xlpm.MacVal&lt;&gt;"",_xlpm.MacVal,_xlpm.CSVVal&lt;&gt;"",_xlpm.CSVVal
)),"")</f>
        <v/>
      </c>
      <c r="X56" t="str">
        <f>_xlfn.LET(
    _xlpm.MacVal, _xlfn.XLOOKUP($A56, Output_Mac!$A:$A, Output_Mac!AB:AB, ""),
    _xlpm.MyAuditVal, _xlfn.XLOOKUP($A56, My_Audit!$A:$A, My_Audit!N:N, ""),
    _xlfn.TEXTJOIN(", ", TRUE, _xlpm.MyAuditVal, _xlpm.MacVal)
)</f>
        <v/>
      </c>
    </row>
    <row r="57" spans="1:24">
      <c r="A57" s="2" t="str">
        <f>_xlfn.TEXTJOIN("",TRUE,Input!$B$2,ROW(My_Audit!A56))</f>
        <v>X56</v>
      </c>
      <c r="B57" s="2" t="str">
        <f>_xlfn.TEXTJOIN("-",TRUE,"ITD",Input!$A$2,A57)</f>
        <v>ITD-SHR-X56</v>
      </c>
      <c r="C57" s="2" t="str" cm="1">
        <f t="array" ref="C57">IFERROR(_xlfn.LET(
_xlpm.CSVVal,_xlfn.XLOOKUP($A57,CSV!$A:$A,CSV!B:B,""),
_xlpm.MacVal,_xlfn.XLOOKUP($A57,Output_Mac!$A:$A,Output_Mac!B:B,""),
_xlpm.MyAuditVal,_xlfn.XLOOKUP($A57,My_Audit!$A:$A,My_Audit!B:B,""),
_xlfn.IFS(_xlpm.MyAuditVal&lt;&gt;"",UPPER(_xlpm.MyAuditVal),_xlpm.MacVal&lt;&gt;"",_xlpm.MacVal,_xlpm.CSVVal&lt;&gt;"",_xlpm.CSVVal
)),"")</f>
        <v/>
      </c>
      <c r="D57" s="2" t="str" cm="1">
        <f t="array" ref="D57">IFERROR(_xlfn.LET(
_xlpm.CSVVal,_xlfn.XLOOKUP($A57,CSV!$A:$A,CSV!D:D,""),
_xlpm.MacVal,_xlfn.XLOOKUP($A57,Output_Mac!$A:$A,Output_Mac!C:C,""),
_xlpm.MyAuditVal,_xlfn.XLOOKUP($A57,My_Audit!$A:$A,My_Audit!C:C,""),
_xlfn.IFS(_xlpm.MyAuditVal&lt;&gt;"",_xlpm.MyAuditVal,_xlpm.MacVal&lt;&gt;"",_xlpm.MacVal,_xlpm.CSVVal&lt;&gt;"",_xlpm.CSVVal
)),"")</f>
        <v/>
      </c>
      <c r="E57" s="2">
        <f>_xlfn.XLOOKUP(A57,My_Audit!A:A,My_Audit!D:D,"")</f>
        <v>0</v>
      </c>
      <c r="F57" s="2" t="str" cm="1">
        <f t="array" ref="F57">IFERROR(_xlfn.LET(
_xlpm.CSVVal,_xlfn.XLOOKUP($A57,CSV!$A:$A,CSV!F:F,""),
_xlpm.MacVal,_xlfn.XLOOKUP($A57,Output_Mac!$A:$A,Output_Mac!E:E,""),
_xlpm.MyAuditVal,_xlfn.XLOOKUP($A57,My_Audit!$A:$A,My_Audit!E:E,""),
_xlfn.IFS(_xlpm.MyAuditVal&lt;&gt;"",_xlpm.MyAuditVal,_xlpm.MacVal&lt;&gt;"",_xlpm.MacVal,_xlpm.CSVVal&lt;&gt;"",_xlpm.CSVVal
)),"")</f>
        <v/>
      </c>
      <c r="G57" s="2" t="str" cm="1">
        <f t="array" ref="G57">IFERROR(_xlfn.LET(
_xlpm.CSVVal,_xlfn.XLOOKUP($A57,CSV!$A:$A,CSV!G:G,""),
_xlpm.MacVal,_xlfn.XLOOKUP($A57,Output_Mac!$A:$A,Output_Mac!F:F,""),
_xlpm.MyAuditVal,_xlfn.XLOOKUP($A57,My_Audit!$A:$A,My_Audit!F:F,""),
_xlfn.IFS(_xlpm.MyAuditVal&lt;&gt;"",_xlpm.MyAuditVal,_xlpm.MacVal&lt;&gt;"",_xlpm.MacVal,_xlpm.CSVVal&lt;&gt;"",PROPER(_xlpm.CSVVal)
)),"")</f>
        <v/>
      </c>
      <c r="H57" s="2" t="str" cm="1">
        <f t="array" ref="H57">IFERROR(_xlfn.LET(
_xlpm.CSVVal,_xlfn.XLOOKUP($A57,CSV!$A:$A,CSV!H:H,""),
_xlpm.MacVal,_xlfn.XLOOKUP($A57,Output_Mac!$A:$A,Output_Mac!H:H,""),
_xlpm.MyAuditVal,_xlfn.XLOOKUP($A57,My_Audit!$A:$A,My_Audit!G:G,""),
_xlfn.IFS(_xlpm.MyAuditVal&lt;&gt;"",_xlpm.MyAuditVal,_xlpm.MacVal&lt;&gt;"",_xlpm.MacVal,_xlpm.CSVVal&lt;&gt;"",_xlpm.CSVVal
)),"")</f>
        <v/>
      </c>
      <c r="I57" s="2" t="str">
        <f>_xlfn.XLOOKUP(A57,Output_Mac!A:A,Output_Mac!I:I,"")</f>
        <v/>
      </c>
      <c r="J57" s="2" t="str" cm="1">
        <f t="array" ref="J57">IFERROR(_xlfn.LET(
_xlpm.CSVVal,_xlfn.XLOOKUP($A57,CSV!$A:$A,CSV!I:I,""),
_xlpm.MacVal,_xlfn.XLOOKUP($A57,Output_Mac!$A:$A,Output_Mac!J:J,""),
_xlpm.MyAuditVal,_xlfn.XLOOKUP($A57,My_Audit!$A:$A,My_Audit!I:I,""),
_xlfn.IFS(_xlpm.MyAuditVal&lt;&gt;"",UPPER(_xlpm.MyAuditVal),_xlpm.MacVal&lt;&gt;"",_xlpm.MacVal,_xlpm.CSVVal&lt;&gt;"",_xlpm.CSVVal
)),"")</f>
        <v/>
      </c>
      <c r="K57" s="2" t="str" cm="1">
        <f t="array" ref="K57">IFERROR(_xlfn.LET(
_xlpm.CSVVal,_xlfn.XLOOKUP($A57,CSV!$A:$A,CSV!K:K,""),
_xlpm.MacVal,_xlfn.XLOOKUP($A57,Output_Mac!$A:$A,Output_Mac!K:K,""),
_xlpm.MyAuditVal,_xlfn.XLOOKUP($A57,My_Audit!$A:$A,My_Audit!J:J,""),
_xlfn.IFS(_xlpm.MyAuditVal&lt;&gt;"",UPPER(_xlpm.MyAuditVal),_xlpm.MacVal&lt;&gt;"",_xlpm.MacVal,_xlpm.CSVVal&lt;&gt;"",_xlpm.CSVVal
)),"")</f>
        <v/>
      </c>
      <c r="L57" s="2" t="str" cm="1">
        <f t="array" ref="L57">IFERROR(_xlfn.LET(
_xlpm.CSVVal,_xlfn.XLOOKUP($A57,CSV!$A:$A,CSV!P:P,""),
_xlpm.MacVal,_xlfn.XLOOKUP($A57,Output_Mac!$A:$A,Output_Mac!L:L,""),
_xlpm.MyAuditVal,_xlfn.XLOOKUP($A57,My_Audit!$A:$A,My_Audit!K:K,""),
_xlfn.IFS(_xlpm.MyAuditVal&lt;&gt;"",UPPER(_xlpm.MyAuditVal),_xlpm.MacVal&lt;&gt;"",_xlpm.MacVal,_xlpm.CSVVal&lt;&gt;"",_xlpm.CSVVal
)),"")</f>
        <v/>
      </c>
      <c r="M57" s="2" t="str" cm="1">
        <f t="array" ref="M57">IFERROR(_xlfn.LET(
_xlpm.CSVVal,_xlfn.XLOOKUP($A57,CSV!$A:$A,CSV!Q:Q,""),
_xlpm.MacVal,_xlfn.XLOOKUP($A57,Output_Mac!$A:$A,Output_Mac!M:M,""),
_xlpm.MyAuditVal,_xlfn.XLOOKUP($A57,My_Audit!$A:$A,My_Audit!L:L,""),
_xlfn.IFS(_xlpm.MyAuditVal&lt;&gt;"",UPPER(_xlpm.MyAuditVal),_xlpm.MacVal&lt;&gt;"",_xlpm.MacVal,_xlpm.CSVVal&lt;&gt;"",_xlpm.CSVVal
)),"")</f>
        <v/>
      </c>
      <c r="O57" s="2" t="str">
        <f>_xlfn.LET(
    _xlpm.CSVVal, _xlfn.XLOOKUP($A57, CSV!$A:$A, CSV!AA:AA, ""),
    _xlpm.MacVal, _xlfn.XLOOKUP($A57, Output_Mac!$A:$A, Output_Mac!S:S, ""),
    _xlpm.MyAuditVal, _xlfn.XLOOKUP($A57, My_Audit!$A:$A, My_Audit!P:P, ""),
    _xlfn.TEXTJOIN(", ", TRUE, _xlpm.MyAuditVal, _xlpm.MacVal, _xlpm.CSVVal)
)</f>
        <v/>
      </c>
      <c r="P57" s="2" t="str" cm="1">
        <f t="array" ref="P57">IFERROR(_xlfn.LET(
_xlpm.CSVVal,_xlfn.XLOOKUP($A57,CSV!$A:$A,CSV!AB:AB,""),
_xlpm.MacVal,_xlfn.XLOOKUP($A57,Output_Mac!$A:$A,Output_Mac!T:T,""),
_xlpm.MyAuditVal,_xlfn.XLOOKUP($A57,My_Audit!$A:$A,My_Audit!Q:Q,""),
_xlfn.IFS(_xlpm.MyAuditVal&lt;&gt;"",UPPER(_xlpm.MyAuditVal),_xlpm.MacVal&lt;&gt;"",_xlpm.MacVal,_xlpm.CSVVal&lt;&gt;"",_xlpm.CSVVal
)),"No")</f>
        <v>No</v>
      </c>
      <c r="Q57" s="2" t="str" cm="1">
        <f t="array" ref="Q57">IFERROR(_xlfn.LET(
_xlpm.CSVVal,_xlfn.XLOOKUP($A57,CSV!$A:$A,CSV!AC:AC,""),
_xlpm.MacVal,_xlfn.XLOOKUP($A57,Output_Mac!$A:$A,Output_Mac!U:U,""),
_xlpm.MyAuditVal,_xlfn.XLOOKUP($A57,My_Audit!$A:$A,My_Audit!R:R,""),
_xlfn.IFS(_xlpm.MyAuditVal&lt;&gt;"",UPPER(_xlpm.MyAuditVal),_xlpm.MacVal&lt;&gt;"",_xlpm.MacVal,_xlpm.CSVVal&lt;&gt;"",_xlpm.CSVVal
)),"")</f>
        <v/>
      </c>
      <c r="X57" t="str">
        <f>_xlfn.LET(
    _xlpm.MacVal, _xlfn.XLOOKUP($A57, Output_Mac!$A:$A, Output_Mac!AB:AB, ""),
    _xlpm.MyAuditVal, _xlfn.XLOOKUP($A57, My_Audit!$A:$A, My_Audit!N:N, ""),
    _xlfn.TEXTJOIN(", ", TRUE, _xlpm.MyAuditVal, _xlpm.MacVal)
)</f>
        <v/>
      </c>
    </row>
    <row r="58" spans="1:24">
      <c r="A58" s="2" t="str">
        <f>_xlfn.TEXTJOIN("",TRUE,Input!$B$2,ROW(My_Audit!A57))</f>
        <v>X57</v>
      </c>
      <c r="B58" s="2" t="str">
        <f>_xlfn.TEXTJOIN("-",TRUE,"ITD",Input!$A$2,A58)</f>
        <v>ITD-SHR-X57</v>
      </c>
      <c r="C58" s="2" t="str" cm="1">
        <f t="array" ref="C58">IFERROR(_xlfn.LET(
_xlpm.CSVVal,_xlfn.XLOOKUP($A58,CSV!$A:$A,CSV!B:B,""),
_xlpm.MacVal,_xlfn.XLOOKUP($A58,Output_Mac!$A:$A,Output_Mac!B:B,""),
_xlpm.MyAuditVal,_xlfn.XLOOKUP($A58,My_Audit!$A:$A,My_Audit!B:B,""),
_xlfn.IFS(_xlpm.MyAuditVal&lt;&gt;"",UPPER(_xlpm.MyAuditVal),_xlpm.MacVal&lt;&gt;"",_xlpm.MacVal,_xlpm.CSVVal&lt;&gt;"",_xlpm.CSVVal
)),"")</f>
        <v/>
      </c>
      <c r="D58" s="2" t="str" cm="1">
        <f t="array" ref="D58">IFERROR(_xlfn.LET(
_xlpm.CSVVal,_xlfn.XLOOKUP($A58,CSV!$A:$A,CSV!D:D,""),
_xlpm.MacVal,_xlfn.XLOOKUP($A58,Output_Mac!$A:$A,Output_Mac!C:C,""),
_xlpm.MyAuditVal,_xlfn.XLOOKUP($A58,My_Audit!$A:$A,My_Audit!C:C,""),
_xlfn.IFS(_xlpm.MyAuditVal&lt;&gt;"",_xlpm.MyAuditVal,_xlpm.MacVal&lt;&gt;"",_xlpm.MacVal,_xlpm.CSVVal&lt;&gt;"",_xlpm.CSVVal
)),"")</f>
        <v/>
      </c>
      <c r="E58" s="2">
        <f>_xlfn.XLOOKUP(A58,My_Audit!A:A,My_Audit!D:D,"")</f>
        <v>0</v>
      </c>
      <c r="F58" s="2" t="str" cm="1">
        <f t="array" ref="F58">IFERROR(_xlfn.LET(
_xlpm.CSVVal,_xlfn.XLOOKUP($A58,CSV!$A:$A,CSV!F:F,""),
_xlpm.MacVal,_xlfn.XLOOKUP($A58,Output_Mac!$A:$A,Output_Mac!E:E,""),
_xlpm.MyAuditVal,_xlfn.XLOOKUP($A58,My_Audit!$A:$A,My_Audit!E:E,""),
_xlfn.IFS(_xlpm.MyAuditVal&lt;&gt;"",_xlpm.MyAuditVal,_xlpm.MacVal&lt;&gt;"",_xlpm.MacVal,_xlpm.CSVVal&lt;&gt;"",_xlpm.CSVVal
)),"")</f>
        <v/>
      </c>
      <c r="G58" s="2" t="str" cm="1">
        <f t="array" ref="G58">IFERROR(_xlfn.LET(
_xlpm.CSVVal,_xlfn.XLOOKUP($A58,CSV!$A:$A,CSV!G:G,""),
_xlpm.MacVal,_xlfn.XLOOKUP($A58,Output_Mac!$A:$A,Output_Mac!F:F,""),
_xlpm.MyAuditVal,_xlfn.XLOOKUP($A58,My_Audit!$A:$A,My_Audit!F:F,""),
_xlfn.IFS(_xlpm.MyAuditVal&lt;&gt;"",_xlpm.MyAuditVal,_xlpm.MacVal&lt;&gt;"",_xlpm.MacVal,_xlpm.CSVVal&lt;&gt;"",PROPER(_xlpm.CSVVal)
)),"")</f>
        <v/>
      </c>
      <c r="H58" s="2" t="str" cm="1">
        <f t="array" ref="H58">IFERROR(_xlfn.LET(
_xlpm.CSVVal,_xlfn.XLOOKUP($A58,CSV!$A:$A,CSV!H:H,""),
_xlpm.MacVal,_xlfn.XLOOKUP($A58,Output_Mac!$A:$A,Output_Mac!H:H,""),
_xlpm.MyAuditVal,_xlfn.XLOOKUP($A58,My_Audit!$A:$A,My_Audit!G:G,""),
_xlfn.IFS(_xlpm.MyAuditVal&lt;&gt;"",_xlpm.MyAuditVal,_xlpm.MacVal&lt;&gt;"",_xlpm.MacVal,_xlpm.CSVVal&lt;&gt;"",_xlpm.CSVVal
)),"")</f>
        <v/>
      </c>
      <c r="I58" s="2" t="str">
        <f>_xlfn.XLOOKUP(A58,Output_Mac!A:A,Output_Mac!I:I,"")</f>
        <v/>
      </c>
      <c r="J58" s="2" t="str" cm="1">
        <f t="array" ref="J58">IFERROR(_xlfn.LET(
_xlpm.CSVVal,_xlfn.XLOOKUP($A58,CSV!$A:$A,CSV!I:I,""),
_xlpm.MacVal,_xlfn.XLOOKUP($A58,Output_Mac!$A:$A,Output_Mac!J:J,""),
_xlpm.MyAuditVal,_xlfn.XLOOKUP($A58,My_Audit!$A:$A,My_Audit!I:I,""),
_xlfn.IFS(_xlpm.MyAuditVal&lt;&gt;"",UPPER(_xlpm.MyAuditVal),_xlpm.MacVal&lt;&gt;"",_xlpm.MacVal,_xlpm.CSVVal&lt;&gt;"",_xlpm.CSVVal
)),"")</f>
        <v/>
      </c>
      <c r="K58" s="2" t="str" cm="1">
        <f t="array" ref="K58">IFERROR(_xlfn.LET(
_xlpm.CSVVal,_xlfn.XLOOKUP($A58,CSV!$A:$A,CSV!K:K,""),
_xlpm.MacVal,_xlfn.XLOOKUP($A58,Output_Mac!$A:$A,Output_Mac!K:K,""),
_xlpm.MyAuditVal,_xlfn.XLOOKUP($A58,My_Audit!$A:$A,My_Audit!J:J,""),
_xlfn.IFS(_xlpm.MyAuditVal&lt;&gt;"",UPPER(_xlpm.MyAuditVal),_xlpm.MacVal&lt;&gt;"",_xlpm.MacVal,_xlpm.CSVVal&lt;&gt;"",_xlpm.CSVVal
)),"")</f>
        <v/>
      </c>
      <c r="L58" s="2" t="str" cm="1">
        <f t="array" ref="L58">IFERROR(_xlfn.LET(
_xlpm.CSVVal,_xlfn.XLOOKUP($A58,CSV!$A:$A,CSV!P:P,""),
_xlpm.MacVal,_xlfn.XLOOKUP($A58,Output_Mac!$A:$A,Output_Mac!L:L,""),
_xlpm.MyAuditVal,_xlfn.XLOOKUP($A58,My_Audit!$A:$A,My_Audit!K:K,""),
_xlfn.IFS(_xlpm.MyAuditVal&lt;&gt;"",UPPER(_xlpm.MyAuditVal),_xlpm.MacVal&lt;&gt;"",_xlpm.MacVal,_xlpm.CSVVal&lt;&gt;"",_xlpm.CSVVal
)),"")</f>
        <v/>
      </c>
      <c r="M58" s="2" t="str" cm="1">
        <f t="array" ref="M58">IFERROR(_xlfn.LET(
_xlpm.CSVVal,_xlfn.XLOOKUP($A58,CSV!$A:$A,CSV!Q:Q,""),
_xlpm.MacVal,_xlfn.XLOOKUP($A58,Output_Mac!$A:$A,Output_Mac!M:M,""),
_xlpm.MyAuditVal,_xlfn.XLOOKUP($A58,My_Audit!$A:$A,My_Audit!L:L,""),
_xlfn.IFS(_xlpm.MyAuditVal&lt;&gt;"",UPPER(_xlpm.MyAuditVal),_xlpm.MacVal&lt;&gt;"",_xlpm.MacVal,_xlpm.CSVVal&lt;&gt;"",_xlpm.CSVVal
)),"")</f>
        <v/>
      </c>
      <c r="O58" s="2" t="str">
        <f>_xlfn.LET(
    _xlpm.CSVVal, _xlfn.XLOOKUP($A58, CSV!$A:$A, CSV!AA:AA, ""),
    _xlpm.MacVal, _xlfn.XLOOKUP($A58, Output_Mac!$A:$A, Output_Mac!S:S, ""),
    _xlpm.MyAuditVal, _xlfn.XLOOKUP($A58, My_Audit!$A:$A, My_Audit!P:P, ""),
    _xlfn.TEXTJOIN(", ", TRUE, _xlpm.MyAuditVal, _xlpm.MacVal, _xlpm.CSVVal)
)</f>
        <v/>
      </c>
      <c r="P58" s="2" t="str" cm="1">
        <f t="array" ref="P58">IFERROR(_xlfn.LET(
_xlpm.CSVVal,_xlfn.XLOOKUP($A58,CSV!$A:$A,CSV!AB:AB,""),
_xlpm.MacVal,_xlfn.XLOOKUP($A58,Output_Mac!$A:$A,Output_Mac!T:T,""),
_xlpm.MyAuditVal,_xlfn.XLOOKUP($A58,My_Audit!$A:$A,My_Audit!Q:Q,""),
_xlfn.IFS(_xlpm.MyAuditVal&lt;&gt;"",UPPER(_xlpm.MyAuditVal),_xlpm.MacVal&lt;&gt;"",_xlpm.MacVal,_xlpm.CSVVal&lt;&gt;"",_xlpm.CSVVal
)),"No")</f>
        <v>No</v>
      </c>
      <c r="Q58" s="2" t="str" cm="1">
        <f t="array" ref="Q58">IFERROR(_xlfn.LET(
_xlpm.CSVVal,_xlfn.XLOOKUP($A58,CSV!$A:$A,CSV!AC:AC,""),
_xlpm.MacVal,_xlfn.XLOOKUP($A58,Output_Mac!$A:$A,Output_Mac!U:U,""),
_xlpm.MyAuditVal,_xlfn.XLOOKUP($A58,My_Audit!$A:$A,My_Audit!R:R,""),
_xlfn.IFS(_xlpm.MyAuditVal&lt;&gt;"",UPPER(_xlpm.MyAuditVal),_xlpm.MacVal&lt;&gt;"",_xlpm.MacVal,_xlpm.CSVVal&lt;&gt;"",_xlpm.CSVVal
)),"")</f>
        <v/>
      </c>
      <c r="X58" t="str">
        <f>_xlfn.LET(
    _xlpm.MacVal, _xlfn.XLOOKUP($A58, Output_Mac!$A:$A, Output_Mac!AB:AB, ""),
    _xlpm.MyAuditVal, _xlfn.XLOOKUP($A58, My_Audit!$A:$A, My_Audit!N:N, ""),
    _xlfn.TEXTJOIN(", ", TRUE, _xlpm.MyAuditVal, _xlpm.MacVal)
)</f>
        <v/>
      </c>
    </row>
    <row r="59" spans="1:24">
      <c r="A59" s="2" t="str">
        <f>_xlfn.TEXTJOIN("",TRUE,Input!$B$2,ROW(My_Audit!A58))</f>
        <v>X58</v>
      </c>
      <c r="B59" s="2" t="str">
        <f>_xlfn.TEXTJOIN("-",TRUE,"ITD",Input!$A$2,A59)</f>
        <v>ITD-SHR-X58</v>
      </c>
      <c r="C59" s="2" t="str" cm="1">
        <f t="array" ref="C59">IFERROR(_xlfn.LET(
_xlpm.CSVVal,_xlfn.XLOOKUP($A59,CSV!$A:$A,CSV!B:B,""),
_xlpm.MacVal,_xlfn.XLOOKUP($A59,Output_Mac!$A:$A,Output_Mac!B:B,""),
_xlpm.MyAuditVal,_xlfn.XLOOKUP($A59,My_Audit!$A:$A,My_Audit!B:B,""),
_xlfn.IFS(_xlpm.MyAuditVal&lt;&gt;"",UPPER(_xlpm.MyAuditVal),_xlpm.MacVal&lt;&gt;"",_xlpm.MacVal,_xlpm.CSVVal&lt;&gt;"",_xlpm.CSVVal
)),"")</f>
        <v/>
      </c>
      <c r="D59" s="2" t="str" cm="1">
        <f t="array" ref="D59">IFERROR(_xlfn.LET(
_xlpm.CSVVal,_xlfn.XLOOKUP($A59,CSV!$A:$A,CSV!D:D,""),
_xlpm.MacVal,_xlfn.XLOOKUP($A59,Output_Mac!$A:$A,Output_Mac!C:C,""),
_xlpm.MyAuditVal,_xlfn.XLOOKUP($A59,My_Audit!$A:$A,My_Audit!C:C,""),
_xlfn.IFS(_xlpm.MyAuditVal&lt;&gt;"",_xlpm.MyAuditVal,_xlpm.MacVal&lt;&gt;"",_xlpm.MacVal,_xlpm.CSVVal&lt;&gt;"",_xlpm.CSVVal
)),"")</f>
        <v/>
      </c>
      <c r="E59" s="2">
        <f>_xlfn.XLOOKUP(A59,My_Audit!A:A,My_Audit!D:D,"")</f>
        <v>0</v>
      </c>
      <c r="F59" s="2" t="str" cm="1">
        <f t="array" ref="F59">IFERROR(_xlfn.LET(
_xlpm.CSVVal,_xlfn.XLOOKUP($A59,CSV!$A:$A,CSV!F:F,""),
_xlpm.MacVal,_xlfn.XLOOKUP($A59,Output_Mac!$A:$A,Output_Mac!E:E,""),
_xlpm.MyAuditVal,_xlfn.XLOOKUP($A59,My_Audit!$A:$A,My_Audit!E:E,""),
_xlfn.IFS(_xlpm.MyAuditVal&lt;&gt;"",_xlpm.MyAuditVal,_xlpm.MacVal&lt;&gt;"",_xlpm.MacVal,_xlpm.CSVVal&lt;&gt;"",_xlpm.CSVVal
)),"")</f>
        <v/>
      </c>
      <c r="G59" s="2" t="str" cm="1">
        <f t="array" ref="G59">IFERROR(_xlfn.LET(
_xlpm.CSVVal,_xlfn.XLOOKUP($A59,CSV!$A:$A,CSV!G:G,""),
_xlpm.MacVal,_xlfn.XLOOKUP($A59,Output_Mac!$A:$A,Output_Mac!F:F,""),
_xlpm.MyAuditVal,_xlfn.XLOOKUP($A59,My_Audit!$A:$A,My_Audit!F:F,""),
_xlfn.IFS(_xlpm.MyAuditVal&lt;&gt;"",_xlpm.MyAuditVal,_xlpm.MacVal&lt;&gt;"",_xlpm.MacVal,_xlpm.CSVVal&lt;&gt;"",PROPER(_xlpm.CSVVal)
)),"")</f>
        <v/>
      </c>
      <c r="H59" s="2" t="str" cm="1">
        <f t="array" ref="H59">IFERROR(_xlfn.LET(
_xlpm.CSVVal,_xlfn.XLOOKUP($A59,CSV!$A:$A,CSV!H:H,""),
_xlpm.MacVal,_xlfn.XLOOKUP($A59,Output_Mac!$A:$A,Output_Mac!H:H,""),
_xlpm.MyAuditVal,_xlfn.XLOOKUP($A59,My_Audit!$A:$A,My_Audit!G:G,""),
_xlfn.IFS(_xlpm.MyAuditVal&lt;&gt;"",_xlpm.MyAuditVal,_xlpm.MacVal&lt;&gt;"",_xlpm.MacVal,_xlpm.CSVVal&lt;&gt;"",_xlpm.CSVVal
)),"")</f>
        <v/>
      </c>
      <c r="I59" s="2" t="str">
        <f>_xlfn.XLOOKUP(A59,Output_Mac!A:A,Output_Mac!I:I,"")</f>
        <v/>
      </c>
      <c r="J59" s="2" t="str" cm="1">
        <f t="array" ref="J59">IFERROR(_xlfn.LET(
_xlpm.CSVVal,_xlfn.XLOOKUP($A59,CSV!$A:$A,CSV!I:I,""),
_xlpm.MacVal,_xlfn.XLOOKUP($A59,Output_Mac!$A:$A,Output_Mac!J:J,""),
_xlpm.MyAuditVal,_xlfn.XLOOKUP($A59,My_Audit!$A:$A,My_Audit!I:I,""),
_xlfn.IFS(_xlpm.MyAuditVal&lt;&gt;"",UPPER(_xlpm.MyAuditVal),_xlpm.MacVal&lt;&gt;"",_xlpm.MacVal,_xlpm.CSVVal&lt;&gt;"",_xlpm.CSVVal
)),"")</f>
        <v/>
      </c>
      <c r="K59" s="2" t="str" cm="1">
        <f t="array" ref="K59">IFERROR(_xlfn.LET(
_xlpm.CSVVal,_xlfn.XLOOKUP($A59,CSV!$A:$A,CSV!K:K,""),
_xlpm.MacVal,_xlfn.XLOOKUP($A59,Output_Mac!$A:$A,Output_Mac!K:K,""),
_xlpm.MyAuditVal,_xlfn.XLOOKUP($A59,My_Audit!$A:$A,My_Audit!J:J,""),
_xlfn.IFS(_xlpm.MyAuditVal&lt;&gt;"",UPPER(_xlpm.MyAuditVal),_xlpm.MacVal&lt;&gt;"",_xlpm.MacVal,_xlpm.CSVVal&lt;&gt;"",_xlpm.CSVVal
)),"")</f>
        <v/>
      </c>
      <c r="L59" s="2" t="str" cm="1">
        <f t="array" ref="L59">IFERROR(_xlfn.LET(
_xlpm.CSVVal,_xlfn.XLOOKUP($A59,CSV!$A:$A,CSV!P:P,""),
_xlpm.MacVal,_xlfn.XLOOKUP($A59,Output_Mac!$A:$A,Output_Mac!L:L,""),
_xlpm.MyAuditVal,_xlfn.XLOOKUP($A59,My_Audit!$A:$A,My_Audit!K:K,""),
_xlfn.IFS(_xlpm.MyAuditVal&lt;&gt;"",UPPER(_xlpm.MyAuditVal),_xlpm.MacVal&lt;&gt;"",_xlpm.MacVal,_xlpm.CSVVal&lt;&gt;"",_xlpm.CSVVal
)),"")</f>
        <v/>
      </c>
      <c r="M59" s="2" t="str" cm="1">
        <f t="array" ref="M59">IFERROR(_xlfn.LET(
_xlpm.CSVVal,_xlfn.XLOOKUP($A59,CSV!$A:$A,CSV!Q:Q,""),
_xlpm.MacVal,_xlfn.XLOOKUP($A59,Output_Mac!$A:$A,Output_Mac!M:M,""),
_xlpm.MyAuditVal,_xlfn.XLOOKUP($A59,My_Audit!$A:$A,My_Audit!L:L,""),
_xlfn.IFS(_xlpm.MyAuditVal&lt;&gt;"",UPPER(_xlpm.MyAuditVal),_xlpm.MacVal&lt;&gt;"",_xlpm.MacVal,_xlpm.CSVVal&lt;&gt;"",_xlpm.CSVVal
)),"")</f>
        <v/>
      </c>
      <c r="O59" s="2" t="str">
        <f>_xlfn.LET(
    _xlpm.CSVVal, _xlfn.XLOOKUP($A59, CSV!$A:$A, CSV!AA:AA, ""),
    _xlpm.MacVal, _xlfn.XLOOKUP($A59, Output_Mac!$A:$A, Output_Mac!S:S, ""),
    _xlpm.MyAuditVal, _xlfn.XLOOKUP($A59, My_Audit!$A:$A, My_Audit!P:P, ""),
    _xlfn.TEXTJOIN(", ", TRUE, _xlpm.MyAuditVal, _xlpm.MacVal, _xlpm.CSVVal)
)</f>
        <v/>
      </c>
      <c r="P59" s="2" t="str" cm="1">
        <f t="array" ref="P59">IFERROR(_xlfn.LET(
_xlpm.CSVVal,_xlfn.XLOOKUP($A59,CSV!$A:$A,CSV!AB:AB,""),
_xlpm.MacVal,_xlfn.XLOOKUP($A59,Output_Mac!$A:$A,Output_Mac!T:T,""),
_xlpm.MyAuditVal,_xlfn.XLOOKUP($A59,My_Audit!$A:$A,My_Audit!Q:Q,""),
_xlfn.IFS(_xlpm.MyAuditVal&lt;&gt;"",UPPER(_xlpm.MyAuditVal),_xlpm.MacVal&lt;&gt;"",_xlpm.MacVal,_xlpm.CSVVal&lt;&gt;"",_xlpm.CSVVal
)),"No")</f>
        <v>No</v>
      </c>
      <c r="Q59" s="2" t="str" cm="1">
        <f t="array" ref="Q59">IFERROR(_xlfn.LET(
_xlpm.CSVVal,_xlfn.XLOOKUP($A59,CSV!$A:$A,CSV!AC:AC,""),
_xlpm.MacVal,_xlfn.XLOOKUP($A59,Output_Mac!$A:$A,Output_Mac!U:U,""),
_xlpm.MyAuditVal,_xlfn.XLOOKUP($A59,My_Audit!$A:$A,My_Audit!R:R,""),
_xlfn.IFS(_xlpm.MyAuditVal&lt;&gt;"",UPPER(_xlpm.MyAuditVal),_xlpm.MacVal&lt;&gt;"",_xlpm.MacVal,_xlpm.CSVVal&lt;&gt;"",_xlpm.CSVVal
)),"")</f>
        <v/>
      </c>
      <c r="X59" t="str">
        <f>_xlfn.LET(
    _xlpm.MacVal, _xlfn.XLOOKUP($A59, Output_Mac!$A:$A, Output_Mac!AB:AB, ""),
    _xlpm.MyAuditVal, _xlfn.XLOOKUP($A59, My_Audit!$A:$A, My_Audit!N:N, ""),
    _xlfn.TEXTJOIN(", ", TRUE, _xlpm.MyAuditVal, _xlpm.MacVal)
)</f>
        <v/>
      </c>
    </row>
    <row r="60" spans="1:24">
      <c r="A60" s="2" t="str">
        <f>_xlfn.TEXTJOIN("",TRUE,Input!$B$2,ROW(My_Audit!A59))</f>
        <v>X59</v>
      </c>
      <c r="B60" s="2" t="str">
        <f>_xlfn.TEXTJOIN("-",TRUE,"ITD",Input!$A$2,A60)</f>
        <v>ITD-SHR-X59</v>
      </c>
      <c r="C60" s="2" t="str" cm="1">
        <f t="array" ref="C60">IFERROR(_xlfn.LET(
_xlpm.CSVVal,_xlfn.XLOOKUP($A60,CSV!$A:$A,CSV!B:B,""),
_xlpm.MacVal,_xlfn.XLOOKUP($A60,Output_Mac!$A:$A,Output_Mac!B:B,""),
_xlpm.MyAuditVal,_xlfn.XLOOKUP($A60,My_Audit!$A:$A,My_Audit!B:B,""),
_xlfn.IFS(_xlpm.MyAuditVal&lt;&gt;"",UPPER(_xlpm.MyAuditVal),_xlpm.MacVal&lt;&gt;"",_xlpm.MacVal,_xlpm.CSVVal&lt;&gt;"",_xlpm.CSVVal
)),"")</f>
        <v/>
      </c>
      <c r="D60" s="2" t="str" cm="1">
        <f t="array" ref="D60">IFERROR(_xlfn.LET(
_xlpm.CSVVal,_xlfn.XLOOKUP($A60,CSV!$A:$A,CSV!D:D,""),
_xlpm.MacVal,_xlfn.XLOOKUP($A60,Output_Mac!$A:$A,Output_Mac!C:C,""),
_xlpm.MyAuditVal,_xlfn.XLOOKUP($A60,My_Audit!$A:$A,My_Audit!C:C,""),
_xlfn.IFS(_xlpm.MyAuditVal&lt;&gt;"",_xlpm.MyAuditVal,_xlpm.MacVal&lt;&gt;"",_xlpm.MacVal,_xlpm.CSVVal&lt;&gt;"",_xlpm.CSVVal
)),"")</f>
        <v/>
      </c>
      <c r="E60" s="2">
        <f>_xlfn.XLOOKUP(A60,My_Audit!A:A,My_Audit!D:D,"")</f>
        <v>0</v>
      </c>
      <c r="F60" s="2" t="str" cm="1">
        <f t="array" ref="F60">IFERROR(_xlfn.LET(
_xlpm.CSVVal,_xlfn.XLOOKUP($A60,CSV!$A:$A,CSV!F:F,""),
_xlpm.MacVal,_xlfn.XLOOKUP($A60,Output_Mac!$A:$A,Output_Mac!E:E,""),
_xlpm.MyAuditVal,_xlfn.XLOOKUP($A60,My_Audit!$A:$A,My_Audit!E:E,""),
_xlfn.IFS(_xlpm.MyAuditVal&lt;&gt;"",_xlpm.MyAuditVal,_xlpm.MacVal&lt;&gt;"",_xlpm.MacVal,_xlpm.CSVVal&lt;&gt;"",_xlpm.CSVVal
)),"")</f>
        <v/>
      </c>
      <c r="G60" s="2" t="str" cm="1">
        <f t="array" ref="G60">IFERROR(_xlfn.LET(
_xlpm.CSVVal,_xlfn.XLOOKUP($A60,CSV!$A:$A,CSV!G:G,""),
_xlpm.MacVal,_xlfn.XLOOKUP($A60,Output_Mac!$A:$A,Output_Mac!F:F,""),
_xlpm.MyAuditVal,_xlfn.XLOOKUP($A60,My_Audit!$A:$A,My_Audit!F:F,""),
_xlfn.IFS(_xlpm.MyAuditVal&lt;&gt;"",_xlpm.MyAuditVal,_xlpm.MacVal&lt;&gt;"",_xlpm.MacVal,_xlpm.CSVVal&lt;&gt;"",PROPER(_xlpm.CSVVal)
)),"")</f>
        <v/>
      </c>
      <c r="H60" s="2" t="str" cm="1">
        <f t="array" ref="H60">IFERROR(_xlfn.LET(
_xlpm.CSVVal,_xlfn.XLOOKUP($A60,CSV!$A:$A,CSV!H:H,""),
_xlpm.MacVal,_xlfn.XLOOKUP($A60,Output_Mac!$A:$A,Output_Mac!H:H,""),
_xlpm.MyAuditVal,_xlfn.XLOOKUP($A60,My_Audit!$A:$A,My_Audit!G:G,""),
_xlfn.IFS(_xlpm.MyAuditVal&lt;&gt;"",_xlpm.MyAuditVal,_xlpm.MacVal&lt;&gt;"",_xlpm.MacVal,_xlpm.CSVVal&lt;&gt;"",_xlpm.CSVVal
)),"")</f>
        <v/>
      </c>
      <c r="I60" s="2" t="str">
        <f>_xlfn.XLOOKUP(A60,Output_Mac!A:A,Output_Mac!I:I,"")</f>
        <v/>
      </c>
      <c r="J60" s="2" t="str" cm="1">
        <f t="array" ref="J60">IFERROR(_xlfn.LET(
_xlpm.CSVVal,_xlfn.XLOOKUP($A60,CSV!$A:$A,CSV!I:I,""),
_xlpm.MacVal,_xlfn.XLOOKUP($A60,Output_Mac!$A:$A,Output_Mac!J:J,""),
_xlpm.MyAuditVal,_xlfn.XLOOKUP($A60,My_Audit!$A:$A,My_Audit!I:I,""),
_xlfn.IFS(_xlpm.MyAuditVal&lt;&gt;"",UPPER(_xlpm.MyAuditVal),_xlpm.MacVal&lt;&gt;"",_xlpm.MacVal,_xlpm.CSVVal&lt;&gt;"",_xlpm.CSVVal
)),"")</f>
        <v/>
      </c>
      <c r="K60" s="2" t="str" cm="1">
        <f t="array" ref="K60">IFERROR(_xlfn.LET(
_xlpm.CSVVal,_xlfn.XLOOKUP($A60,CSV!$A:$A,CSV!K:K,""),
_xlpm.MacVal,_xlfn.XLOOKUP($A60,Output_Mac!$A:$A,Output_Mac!K:K,""),
_xlpm.MyAuditVal,_xlfn.XLOOKUP($A60,My_Audit!$A:$A,My_Audit!J:J,""),
_xlfn.IFS(_xlpm.MyAuditVal&lt;&gt;"",UPPER(_xlpm.MyAuditVal),_xlpm.MacVal&lt;&gt;"",_xlpm.MacVal,_xlpm.CSVVal&lt;&gt;"",_xlpm.CSVVal
)),"")</f>
        <v/>
      </c>
      <c r="L60" s="2" t="str" cm="1">
        <f t="array" ref="L60">IFERROR(_xlfn.LET(
_xlpm.CSVVal,_xlfn.XLOOKUP($A60,CSV!$A:$A,CSV!P:P,""),
_xlpm.MacVal,_xlfn.XLOOKUP($A60,Output_Mac!$A:$A,Output_Mac!L:L,""),
_xlpm.MyAuditVal,_xlfn.XLOOKUP($A60,My_Audit!$A:$A,My_Audit!K:K,""),
_xlfn.IFS(_xlpm.MyAuditVal&lt;&gt;"",UPPER(_xlpm.MyAuditVal),_xlpm.MacVal&lt;&gt;"",_xlpm.MacVal,_xlpm.CSVVal&lt;&gt;"",_xlpm.CSVVal
)),"")</f>
        <v/>
      </c>
      <c r="M60" s="2" t="str" cm="1">
        <f t="array" ref="M60">IFERROR(_xlfn.LET(
_xlpm.CSVVal,_xlfn.XLOOKUP($A60,CSV!$A:$A,CSV!Q:Q,""),
_xlpm.MacVal,_xlfn.XLOOKUP($A60,Output_Mac!$A:$A,Output_Mac!M:M,""),
_xlpm.MyAuditVal,_xlfn.XLOOKUP($A60,My_Audit!$A:$A,My_Audit!L:L,""),
_xlfn.IFS(_xlpm.MyAuditVal&lt;&gt;"",UPPER(_xlpm.MyAuditVal),_xlpm.MacVal&lt;&gt;"",_xlpm.MacVal,_xlpm.CSVVal&lt;&gt;"",_xlpm.CSVVal
)),"")</f>
        <v/>
      </c>
      <c r="O60" s="2" t="str">
        <f>_xlfn.LET(
    _xlpm.CSVVal, _xlfn.XLOOKUP($A60, CSV!$A:$A, CSV!AA:AA, ""),
    _xlpm.MacVal, _xlfn.XLOOKUP($A60, Output_Mac!$A:$A, Output_Mac!S:S, ""),
    _xlpm.MyAuditVal, _xlfn.XLOOKUP($A60, My_Audit!$A:$A, My_Audit!P:P, ""),
    _xlfn.TEXTJOIN(", ", TRUE, _xlpm.MyAuditVal, _xlpm.MacVal, _xlpm.CSVVal)
)</f>
        <v/>
      </c>
      <c r="P60" s="2" t="str" cm="1">
        <f t="array" ref="P60">IFERROR(_xlfn.LET(
_xlpm.CSVVal,_xlfn.XLOOKUP($A60,CSV!$A:$A,CSV!AB:AB,""),
_xlpm.MacVal,_xlfn.XLOOKUP($A60,Output_Mac!$A:$A,Output_Mac!T:T,""),
_xlpm.MyAuditVal,_xlfn.XLOOKUP($A60,My_Audit!$A:$A,My_Audit!Q:Q,""),
_xlfn.IFS(_xlpm.MyAuditVal&lt;&gt;"",UPPER(_xlpm.MyAuditVal),_xlpm.MacVal&lt;&gt;"",_xlpm.MacVal,_xlpm.CSVVal&lt;&gt;"",_xlpm.CSVVal
)),"No")</f>
        <v>No</v>
      </c>
      <c r="Q60" s="2" t="str" cm="1">
        <f t="array" ref="Q60">IFERROR(_xlfn.LET(
_xlpm.CSVVal,_xlfn.XLOOKUP($A60,CSV!$A:$A,CSV!AC:AC,""),
_xlpm.MacVal,_xlfn.XLOOKUP($A60,Output_Mac!$A:$A,Output_Mac!U:U,""),
_xlpm.MyAuditVal,_xlfn.XLOOKUP($A60,My_Audit!$A:$A,My_Audit!R:R,""),
_xlfn.IFS(_xlpm.MyAuditVal&lt;&gt;"",UPPER(_xlpm.MyAuditVal),_xlpm.MacVal&lt;&gt;"",_xlpm.MacVal,_xlpm.CSVVal&lt;&gt;"",_xlpm.CSVVal
)),"")</f>
        <v/>
      </c>
      <c r="X60" t="str">
        <f>_xlfn.LET(
    _xlpm.MacVal, _xlfn.XLOOKUP($A60, Output_Mac!$A:$A, Output_Mac!AB:AB, ""),
    _xlpm.MyAuditVal, _xlfn.XLOOKUP($A60, My_Audit!$A:$A, My_Audit!N:N, ""),
    _xlfn.TEXTJOIN(", ", TRUE, _xlpm.MyAuditVal, _xlpm.MacVal)
)</f>
        <v/>
      </c>
    </row>
    <row r="61" spans="1:24">
      <c r="A61" s="2" t="str">
        <f>_xlfn.TEXTJOIN("",TRUE,Input!$B$2,ROW(My_Audit!A60))</f>
        <v>X60</v>
      </c>
      <c r="B61" s="2" t="str">
        <f>_xlfn.TEXTJOIN("-",TRUE,"ITD",Input!$A$2,A61)</f>
        <v>ITD-SHR-X60</v>
      </c>
      <c r="C61" s="2" t="str" cm="1">
        <f t="array" ref="C61">IFERROR(_xlfn.LET(
_xlpm.CSVVal,_xlfn.XLOOKUP($A61,CSV!$A:$A,CSV!B:B,""),
_xlpm.MacVal,_xlfn.XLOOKUP($A61,Output_Mac!$A:$A,Output_Mac!B:B,""),
_xlpm.MyAuditVal,_xlfn.XLOOKUP($A61,My_Audit!$A:$A,My_Audit!B:B,""),
_xlfn.IFS(_xlpm.MyAuditVal&lt;&gt;"",UPPER(_xlpm.MyAuditVal),_xlpm.MacVal&lt;&gt;"",_xlpm.MacVal,_xlpm.CSVVal&lt;&gt;"",_xlpm.CSVVal
)),"")</f>
        <v/>
      </c>
      <c r="D61" s="2" t="str" cm="1">
        <f t="array" ref="D61">IFERROR(_xlfn.LET(
_xlpm.CSVVal,_xlfn.XLOOKUP($A61,CSV!$A:$A,CSV!D:D,""),
_xlpm.MacVal,_xlfn.XLOOKUP($A61,Output_Mac!$A:$A,Output_Mac!C:C,""),
_xlpm.MyAuditVal,_xlfn.XLOOKUP($A61,My_Audit!$A:$A,My_Audit!C:C,""),
_xlfn.IFS(_xlpm.MyAuditVal&lt;&gt;"",_xlpm.MyAuditVal,_xlpm.MacVal&lt;&gt;"",_xlpm.MacVal,_xlpm.CSVVal&lt;&gt;"",_xlpm.CSVVal
)),"")</f>
        <v/>
      </c>
      <c r="E61" s="2">
        <f>_xlfn.XLOOKUP(A61,My_Audit!A:A,My_Audit!D:D,"")</f>
        <v>0</v>
      </c>
      <c r="F61" s="2" t="str" cm="1">
        <f t="array" ref="F61">IFERROR(_xlfn.LET(
_xlpm.CSVVal,_xlfn.XLOOKUP($A61,CSV!$A:$A,CSV!F:F,""),
_xlpm.MacVal,_xlfn.XLOOKUP($A61,Output_Mac!$A:$A,Output_Mac!E:E,""),
_xlpm.MyAuditVal,_xlfn.XLOOKUP($A61,My_Audit!$A:$A,My_Audit!E:E,""),
_xlfn.IFS(_xlpm.MyAuditVal&lt;&gt;"",_xlpm.MyAuditVal,_xlpm.MacVal&lt;&gt;"",_xlpm.MacVal,_xlpm.CSVVal&lt;&gt;"",_xlpm.CSVVal
)),"")</f>
        <v/>
      </c>
      <c r="G61" s="2" t="str" cm="1">
        <f t="array" ref="G61">IFERROR(_xlfn.LET(
_xlpm.CSVVal,_xlfn.XLOOKUP($A61,CSV!$A:$A,CSV!G:G,""),
_xlpm.MacVal,_xlfn.XLOOKUP($A61,Output_Mac!$A:$A,Output_Mac!F:F,""),
_xlpm.MyAuditVal,_xlfn.XLOOKUP($A61,My_Audit!$A:$A,My_Audit!F:F,""),
_xlfn.IFS(_xlpm.MyAuditVal&lt;&gt;"",_xlpm.MyAuditVal,_xlpm.MacVal&lt;&gt;"",_xlpm.MacVal,_xlpm.CSVVal&lt;&gt;"",PROPER(_xlpm.CSVVal)
)),"")</f>
        <v/>
      </c>
      <c r="H61" s="2" t="str" cm="1">
        <f t="array" ref="H61">IFERROR(_xlfn.LET(
_xlpm.CSVVal,_xlfn.XLOOKUP($A61,CSV!$A:$A,CSV!H:H,""),
_xlpm.MacVal,_xlfn.XLOOKUP($A61,Output_Mac!$A:$A,Output_Mac!H:H,""),
_xlpm.MyAuditVal,_xlfn.XLOOKUP($A61,My_Audit!$A:$A,My_Audit!G:G,""),
_xlfn.IFS(_xlpm.MyAuditVal&lt;&gt;"",_xlpm.MyAuditVal,_xlpm.MacVal&lt;&gt;"",_xlpm.MacVal,_xlpm.CSVVal&lt;&gt;"",_xlpm.CSVVal
)),"")</f>
        <v/>
      </c>
      <c r="I61" s="2" t="str">
        <f>_xlfn.XLOOKUP(A61,Output_Mac!A:A,Output_Mac!I:I,"")</f>
        <v/>
      </c>
      <c r="J61" s="2" t="str" cm="1">
        <f t="array" ref="J61">IFERROR(_xlfn.LET(
_xlpm.CSVVal,_xlfn.XLOOKUP($A61,CSV!$A:$A,CSV!I:I,""),
_xlpm.MacVal,_xlfn.XLOOKUP($A61,Output_Mac!$A:$A,Output_Mac!J:J,""),
_xlpm.MyAuditVal,_xlfn.XLOOKUP($A61,My_Audit!$A:$A,My_Audit!I:I,""),
_xlfn.IFS(_xlpm.MyAuditVal&lt;&gt;"",UPPER(_xlpm.MyAuditVal),_xlpm.MacVal&lt;&gt;"",_xlpm.MacVal,_xlpm.CSVVal&lt;&gt;"",_xlpm.CSVVal
)),"")</f>
        <v/>
      </c>
      <c r="K61" s="2" t="str" cm="1">
        <f t="array" ref="K61">IFERROR(_xlfn.LET(
_xlpm.CSVVal,_xlfn.XLOOKUP($A61,CSV!$A:$A,CSV!K:K,""),
_xlpm.MacVal,_xlfn.XLOOKUP($A61,Output_Mac!$A:$A,Output_Mac!K:K,""),
_xlpm.MyAuditVal,_xlfn.XLOOKUP($A61,My_Audit!$A:$A,My_Audit!J:J,""),
_xlfn.IFS(_xlpm.MyAuditVal&lt;&gt;"",UPPER(_xlpm.MyAuditVal),_xlpm.MacVal&lt;&gt;"",_xlpm.MacVal,_xlpm.CSVVal&lt;&gt;"",_xlpm.CSVVal
)),"")</f>
        <v/>
      </c>
      <c r="L61" s="2" t="str" cm="1">
        <f t="array" ref="L61">IFERROR(_xlfn.LET(
_xlpm.CSVVal,_xlfn.XLOOKUP($A61,CSV!$A:$A,CSV!P:P,""),
_xlpm.MacVal,_xlfn.XLOOKUP($A61,Output_Mac!$A:$A,Output_Mac!L:L,""),
_xlpm.MyAuditVal,_xlfn.XLOOKUP($A61,My_Audit!$A:$A,My_Audit!K:K,""),
_xlfn.IFS(_xlpm.MyAuditVal&lt;&gt;"",UPPER(_xlpm.MyAuditVal),_xlpm.MacVal&lt;&gt;"",_xlpm.MacVal,_xlpm.CSVVal&lt;&gt;"",_xlpm.CSVVal
)),"")</f>
        <v/>
      </c>
      <c r="M61" s="2" t="str" cm="1">
        <f t="array" ref="M61">IFERROR(_xlfn.LET(
_xlpm.CSVVal,_xlfn.XLOOKUP($A61,CSV!$A:$A,CSV!Q:Q,""),
_xlpm.MacVal,_xlfn.XLOOKUP($A61,Output_Mac!$A:$A,Output_Mac!M:M,""),
_xlpm.MyAuditVal,_xlfn.XLOOKUP($A61,My_Audit!$A:$A,My_Audit!L:L,""),
_xlfn.IFS(_xlpm.MyAuditVal&lt;&gt;"",UPPER(_xlpm.MyAuditVal),_xlpm.MacVal&lt;&gt;"",_xlpm.MacVal,_xlpm.CSVVal&lt;&gt;"",_xlpm.CSVVal
)),"")</f>
        <v/>
      </c>
      <c r="O61" s="2" t="str">
        <f>_xlfn.LET(
    _xlpm.CSVVal, _xlfn.XLOOKUP($A61, CSV!$A:$A, CSV!AA:AA, ""),
    _xlpm.MacVal, _xlfn.XLOOKUP($A61, Output_Mac!$A:$A, Output_Mac!S:S, ""),
    _xlpm.MyAuditVal, _xlfn.XLOOKUP($A61, My_Audit!$A:$A, My_Audit!P:P, ""),
    _xlfn.TEXTJOIN(", ", TRUE, _xlpm.MyAuditVal, _xlpm.MacVal, _xlpm.CSVVal)
)</f>
        <v/>
      </c>
      <c r="P61" s="2" t="str" cm="1">
        <f t="array" ref="P61">IFERROR(_xlfn.LET(
_xlpm.CSVVal,_xlfn.XLOOKUP($A61,CSV!$A:$A,CSV!AB:AB,""),
_xlpm.MacVal,_xlfn.XLOOKUP($A61,Output_Mac!$A:$A,Output_Mac!T:T,""),
_xlpm.MyAuditVal,_xlfn.XLOOKUP($A61,My_Audit!$A:$A,My_Audit!Q:Q,""),
_xlfn.IFS(_xlpm.MyAuditVal&lt;&gt;"",UPPER(_xlpm.MyAuditVal),_xlpm.MacVal&lt;&gt;"",_xlpm.MacVal,_xlpm.CSVVal&lt;&gt;"",_xlpm.CSVVal
)),"No")</f>
        <v>No</v>
      </c>
      <c r="Q61" s="2" t="str" cm="1">
        <f t="array" ref="Q61">IFERROR(_xlfn.LET(
_xlpm.CSVVal,_xlfn.XLOOKUP($A61,CSV!$A:$A,CSV!AC:AC,""),
_xlpm.MacVal,_xlfn.XLOOKUP($A61,Output_Mac!$A:$A,Output_Mac!U:U,""),
_xlpm.MyAuditVal,_xlfn.XLOOKUP($A61,My_Audit!$A:$A,My_Audit!R:R,""),
_xlfn.IFS(_xlpm.MyAuditVal&lt;&gt;"",UPPER(_xlpm.MyAuditVal),_xlpm.MacVal&lt;&gt;"",_xlpm.MacVal,_xlpm.CSVVal&lt;&gt;"",_xlpm.CSVVal
)),"")</f>
        <v/>
      </c>
      <c r="X61" t="str">
        <f>_xlfn.LET(
    _xlpm.MacVal, _xlfn.XLOOKUP($A61, Output_Mac!$A:$A, Output_Mac!AB:AB, ""),
    _xlpm.MyAuditVal, _xlfn.XLOOKUP($A61, My_Audit!$A:$A, My_Audit!N:N, ""),
    _xlfn.TEXTJOIN(", ", TRUE, _xlpm.MyAuditVal, _xlpm.MacVal)
)</f>
        <v/>
      </c>
    </row>
    <row r="62" spans="1:24">
      <c r="A62" s="2" t="str">
        <f>_xlfn.TEXTJOIN("",TRUE,Input!$B$2,ROW(My_Audit!A61))</f>
        <v>X61</v>
      </c>
      <c r="B62" s="2" t="str">
        <f>_xlfn.TEXTJOIN("-",TRUE,"ITD",Input!$A$2,A62)</f>
        <v>ITD-SHR-X61</v>
      </c>
      <c r="C62" s="2" t="str" cm="1">
        <f t="array" ref="C62">IFERROR(_xlfn.LET(
_xlpm.CSVVal,_xlfn.XLOOKUP($A62,CSV!$A:$A,CSV!B:B,""),
_xlpm.MacVal,_xlfn.XLOOKUP($A62,Output_Mac!$A:$A,Output_Mac!B:B,""),
_xlpm.MyAuditVal,_xlfn.XLOOKUP($A62,My_Audit!$A:$A,My_Audit!B:B,""),
_xlfn.IFS(_xlpm.MyAuditVal&lt;&gt;"",UPPER(_xlpm.MyAuditVal),_xlpm.MacVal&lt;&gt;"",_xlpm.MacVal,_xlpm.CSVVal&lt;&gt;"",_xlpm.CSVVal
)),"")</f>
        <v/>
      </c>
      <c r="D62" s="2" t="str" cm="1">
        <f t="array" ref="D62">IFERROR(_xlfn.LET(
_xlpm.CSVVal,_xlfn.XLOOKUP($A62,CSV!$A:$A,CSV!D:D,""),
_xlpm.MacVal,_xlfn.XLOOKUP($A62,Output_Mac!$A:$A,Output_Mac!C:C,""),
_xlpm.MyAuditVal,_xlfn.XLOOKUP($A62,My_Audit!$A:$A,My_Audit!C:C,""),
_xlfn.IFS(_xlpm.MyAuditVal&lt;&gt;"",_xlpm.MyAuditVal,_xlpm.MacVal&lt;&gt;"",_xlpm.MacVal,_xlpm.CSVVal&lt;&gt;"",_xlpm.CSVVal
)),"")</f>
        <v/>
      </c>
      <c r="E62" s="2">
        <f>_xlfn.XLOOKUP(A62,My_Audit!A:A,My_Audit!D:D,"")</f>
        <v>0</v>
      </c>
      <c r="F62" s="2" t="str" cm="1">
        <f t="array" ref="F62">IFERROR(_xlfn.LET(
_xlpm.CSVVal,_xlfn.XLOOKUP($A62,CSV!$A:$A,CSV!F:F,""),
_xlpm.MacVal,_xlfn.XLOOKUP($A62,Output_Mac!$A:$A,Output_Mac!E:E,""),
_xlpm.MyAuditVal,_xlfn.XLOOKUP($A62,My_Audit!$A:$A,My_Audit!E:E,""),
_xlfn.IFS(_xlpm.MyAuditVal&lt;&gt;"",_xlpm.MyAuditVal,_xlpm.MacVal&lt;&gt;"",_xlpm.MacVal,_xlpm.CSVVal&lt;&gt;"",_xlpm.CSVVal
)),"")</f>
        <v/>
      </c>
      <c r="G62" s="2" t="str" cm="1">
        <f t="array" ref="G62">IFERROR(_xlfn.LET(
_xlpm.CSVVal,_xlfn.XLOOKUP($A62,CSV!$A:$A,CSV!G:G,""),
_xlpm.MacVal,_xlfn.XLOOKUP($A62,Output_Mac!$A:$A,Output_Mac!F:F,""),
_xlpm.MyAuditVal,_xlfn.XLOOKUP($A62,My_Audit!$A:$A,My_Audit!F:F,""),
_xlfn.IFS(_xlpm.MyAuditVal&lt;&gt;"",_xlpm.MyAuditVal,_xlpm.MacVal&lt;&gt;"",_xlpm.MacVal,_xlpm.CSVVal&lt;&gt;"",PROPER(_xlpm.CSVVal)
)),"")</f>
        <v/>
      </c>
      <c r="H62" s="2" t="str" cm="1">
        <f t="array" ref="H62">IFERROR(_xlfn.LET(
_xlpm.CSVVal,_xlfn.XLOOKUP($A62,CSV!$A:$A,CSV!H:H,""),
_xlpm.MacVal,_xlfn.XLOOKUP($A62,Output_Mac!$A:$A,Output_Mac!H:H,""),
_xlpm.MyAuditVal,_xlfn.XLOOKUP($A62,My_Audit!$A:$A,My_Audit!G:G,""),
_xlfn.IFS(_xlpm.MyAuditVal&lt;&gt;"",_xlpm.MyAuditVal,_xlpm.MacVal&lt;&gt;"",_xlpm.MacVal,_xlpm.CSVVal&lt;&gt;"",_xlpm.CSVVal
)),"")</f>
        <v/>
      </c>
      <c r="I62" s="2" t="str">
        <f>_xlfn.XLOOKUP(A62,Output_Mac!A:A,Output_Mac!I:I,"")</f>
        <v/>
      </c>
      <c r="J62" s="2" t="str" cm="1">
        <f t="array" ref="J62">IFERROR(_xlfn.LET(
_xlpm.CSVVal,_xlfn.XLOOKUP($A62,CSV!$A:$A,CSV!I:I,""),
_xlpm.MacVal,_xlfn.XLOOKUP($A62,Output_Mac!$A:$A,Output_Mac!J:J,""),
_xlpm.MyAuditVal,_xlfn.XLOOKUP($A62,My_Audit!$A:$A,My_Audit!I:I,""),
_xlfn.IFS(_xlpm.MyAuditVal&lt;&gt;"",UPPER(_xlpm.MyAuditVal),_xlpm.MacVal&lt;&gt;"",_xlpm.MacVal,_xlpm.CSVVal&lt;&gt;"",_xlpm.CSVVal
)),"")</f>
        <v/>
      </c>
      <c r="K62" s="2" t="str" cm="1">
        <f t="array" ref="K62">IFERROR(_xlfn.LET(
_xlpm.CSVVal,_xlfn.XLOOKUP($A62,CSV!$A:$A,CSV!K:K,""),
_xlpm.MacVal,_xlfn.XLOOKUP($A62,Output_Mac!$A:$A,Output_Mac!K:K,""),
_xlpm.MyAuditVal,_xlfn.XLOOKUP($A62,My_Audit!$A:$A,My_Audit!J:J,""),
_xlfn.IFS(_xlpm.MyAuditVal&lt;&gt;"",UPPER(_xlpm.MyAuditVal),_xlpm.MacVal&lt;&gt;"",_xlpm.MacVal,_xlpm.CSVVal&lt;&gt;"",_xlpm.CSVVal
)),"")</f>
        <v/>
      </c>
      <c r="L62" s="2" t="str" cm="1">
        <f t="array" ref="L62">IFERROR(_xlfn.LET(
_xlpm.CSVVal,_xlfn.XLOOKUP($A62,CSV!$A:$A,CSV!P:P,""),
_xlpm.MacVal,_xlfn.XLOOKUP($A62,Output_Mac!$A:$A,Output_Mac!L:L,""),
_xlpm.MyAuditVal,_xlfn.XLOOKUP($A62,My_Audit!$A:$A,My_Audit!K:K,""),
_xlfn.IFS(_xlpm.MyAuditVal&lt;&gt;"",UPPER(_xlpm.MyAuditVal),_xlpm.MacVal&lt;&gt;"",_xlpm.MacVal,_xlpm.CSVVal&lt;&gt;"",_xlpm.CSVVal
)),"")</f>
        <v/>
      </c>
      <c r="M62" s="2" t="str" cm="1">
        <f t="array" ref="M62">IFERROR(_xlfn.LET(
_xlpm.CSVVal,_xlfn.XLOOKUP($A62,CSV!$A:$A,CSV!Q:Q,""),
_xlpm.MacVal,_xlfn.XLOOKUP($A62,Output_Mac!$A:$A,Output_Mac!M:M,""),
_xlpm.MyAuditVal,_xlfn.XLOOKUP($A62,My_Audit!$A:$A,My_Audit!L:L,""),
_xlfn.IFS(_xlpm.MyAuditVal&lt;&gt;"",UPPER(_xlpm.MyAuditVal),_xlpm.MacVal&lt;&gt;"",_xlpm.MacVal,_xlpm.CSVVal&lt;&gt;"",_xlpm.CSVVal
)),"")</f>
        <v/>
      </c>
      <c r="O62" s="2" t="str">
        <f>_xlfn.LET(
    _xlpm.CSVVal, _xlfn.XLOOKUP($A62, CSV!$A:$A, CSV!AA:AA, ""),
    _xlpm.MacVal, _xlfn.XLOOKUP($A62, Output_Mac!$A:$A, Output_Mac!S:S, ""),
    _xlpm.MyAuditVal, _xlfn.XLOOKUP($A62, My_Audit!$A:$A, My_Audit!P:P, ""),
    _xlfn.TEXTJOIN(", ", TRUE, _xlpm.MyAuditVal, _xlpm.MacVal, _xlpm.CSVVal)
)</f>
        <v/>
      </c>
      <c r="P62" s="2" t="str" cm="1">
        <f t="array" ref="P62">IFERROR(_xlfn.LET(
_xlpm.CSVVal,_xlfn.XLOOKUP($A62,CSV!$A:$A,CSV!AB:AB,""),
_xlpm.MacVal,_xlfn.XLOOKUP($A62,Output_Mac!$A:$A,Output_Mac!T:T,""),
_xlpm.MyAuditVal,_xlfn.XLOOKUP($A62,My_Audit!$A:$A,My_Audit!Q:Q,""),
_xlfn.IFS(_xlpm.MyAuditVal&lt;&gt;"",UPPER(_xlpm.MyAuditVal),_xlpm.MacVal&lt;&gt;"",_xlpm.MacVal,_xlpm.CSVVal&lt;&gt;"",_xlpm.CSVVal
)),"No")</f>
        <v>No</v>
      </c>
      <c r="Q62" s="2" t="str" cm="1">
        <f t="array" ref="Q62">IFERROR(_xlfn.LET(
_xlpm.CSVVal,_xlfn.XLOOKUP($A62,CSV!$A:$A,CSV!AC:AC,""),
_xlpm.MacVal,_xlfn.XLOOKUP($A62,Output_Mac!$A:$A,Output_Mac!U:U,""),
_xlpm.MyAuditVal,_xlfn.XLOOKUP($A62,My_Audit!$A:$A,My_Audit!R:R,""),
_xlfn.IFS(_xlpm.MyAuditVal&lt;&gt;"",UPPER(_xlpm.MyAuditVal),_xlpm.MacVal&lt;&gt;"",_xlpm.MacVal,_xlpm.CSVVal&lt;&gt;"",_xlpm.CSVVal
)),"")</f>
        <v/>
      </c>
      <c r="X62" t="str">
        <f>_xlfn.LET(
    _xlpm.MacVal, _xlfn.XLOOKUP($A62, Output_Mac!$A:$A, Output_Mac!AB:AB, ""),
    _xlpm.MyAuditVal, _xlfn.XLOOKUP($A62, My_Audit!$A:$A, My_Audit!N:N, ""),
    _xlfn.TEXTJOIN(", ", TRUE, _xlpm.MyAuditVal, _xlpm.MacVal)
)</f>
        <v/>
      </c>
    </row>
    <row r="63" spans="1:24">
      <c r="A63" s="2" t="str">
        <f>_xlfn.TEXTJOIN("",TRUE,Input!$B$2,ROW(My_Audit!A62))</f>
        <v>X62</v>
      </c>
      <c r="B63" s="2" t="str">
        <f>_xlfn.TEXTJOIN("-",TRUE,"ITD",Input!$A$2,A63)</f>
        <v>ITD-SHR-X62</v>
      </c>
      <c r="C63" s="2" t="str" cm="1">
        <f t="array" ref="C63">IFERROR(_xlfn.LET(
_xlpm.CSVVal,_xlfn.XLOOKUP($A63,CSV!$A:$A,CSV!B:B,""),
_xlpm.MacVal,_xlfn.XLOOKUP($A63,Output_Mac!$A:$A,Output_Mac!B:B,""),
_xlpm.MyAuditVal,_xlfn.XLOOKUP($A63,My_Audit!$A:$A,My_Audit!B:B,""),
_xlfn.IFS(_xlpm.MyAuditVal&lt;&gt;"",UPPER(_xlpm.MyAuditVal),_xlpm.MacVal&lt;&gt;"",_xlpm.MacVal,_xlpm.CSVVal&lt;&gt;"",_xlpm.CSVVal
)),"")</f>
        <v/>
      </c>
      <c r="D63" s="2" t="str" cm="1">
        <f t="array" ref="D63">IFERROR(_xlfn.LET(
_xlpm.CSVVal,_xlfn.XLOOKUP($A63,CSV!$A:$A,CSV!D:D,""),
_xlpm.MacVal,_xlfn.XLOOKUP($A63,Output_Mac!$A:$A,Output_Mac!C:C,""),
_xlpm.MyAuditVal,_xlfn.XLOOKUP($A63,My_Audit!$A:$A,My_Audit!C:C,""),
_xlfn.IFS(_xlpm.MyAuditVal&lt;&gt;"",_xlpm.MyAuditVal,_xlpm.MacVal&lt;&gt;"",_xlpm.MacVal,_xlpm.CSVVal&lt;&gt;"",_xlpm.CSVVal
)),"")</f>
        <v/>
      </c>
      <c r="E63" s="2">
        <f>_xlfn.XLOOKUP(A63,My_Audit!A:A,My_Audit!D:D,"")</f>
        <v>0</v>
      </c>
      <c r="F63" s="2" t="str" cm="1">
        <f t="array" ref="F63">IFERROR(_xlfn.LET(
_xlpm.CSVVal,_xlfn.XLOOKUP($A63,CSV!$A:$A,CSV!F:F,""),
_xlpm.MacVal,_xlfn.XLOOKUP($A63,Output_Mac!$A:$A,Output_Mac!E:E,""),
_xlpm.MyAuditVal,_xlfn.XLOOKUP($A63,My_Audit!$A:$A,My_Audit!E:E,""),
_xlfn.IFS(_xlpm.MyAuditVal&lt;&gt;"",_xlpm.MyAuditVal,_xlpm.MacVal&lt;&gt;"",_xlpm.MacVal,_xlpm.CSVVal&lt;&gt;"",_xlpm.CSVVal
)),"")</f>
        <v/>
      </c>
      <c r="G63" s="2" t="str" cm="1">
        <f t="array" ref="G63">IFERROR(_xlfn.LET(
_xlpm.CSVVal,_xlfn.XLOOKUP($A63,CSV!$A:$A,CSV!G:G,""),
_xlpm.MacVal,_xlfn.XLOOKUP($A63,Output_Mac!$A:$A,Output_Mac!F:F,""),
_xlpm.MyAuditVal,_xlfn.XLOOKUP($A63,My_Audit!$A:$A,My_Audit!F:F,""),
_xlfn.IFS(_xlpm.MyAuditVal&lt;&gt;"",_xlpm.MyAuditVal,_xlpm.MacVal&lt;&gt;"",_xlpm.MacVal,_xlpm.CSVVal&lt;&gt;"",PROPER(_xlpm.CSVVal)
)),"")</f>
        <v/>
      </c>
      <c r="H63" s="2" t="str" cm="1">
        <f t="array" ref="H63">IFERROR(_xlfn.LET(
_xlpm.CSVVal,_xlfn.XLOOKUP($A63,CSV!$A:$A,CSV!H:H,""),
_xlpm.MacVal,_xlfn.XLOOKUP($A63,Output_Mac!$A:$A,Output_Mac!H:H,""),
_xlpm.MyAuditVal,_xlfn.XLOOKUP($A63,My_Audit!$A:$A,My_Audit!G:G,""),
_xlfn.IFS(_xlpm.MyAuditVal&lt;&gt;"",_xlpm.MyAuditVal,_xlpm.MacVal&lt;&gt;"",_xlpm.MacVal,_xlpm.CSVVal&lt;&gt;"",_xlpm.CSVVal
)),"")</f>
        <v/>
      </c>
      <c r="I63" s="2" t="str">
        <f>_xlfn.XLOOKUP(A63,Output_Mac!A:A,Output_Mac!I:I,"")</f>
        <v/>
      </c>
      <c r="J63" s="2" t="str" cm="1">
        <f t="array" ref="J63">IFERROR(_xlfn.LET(
_xlpm.CSVVal,_xlfn.XLOOKUP($A63,CSV!$A:$A,CSV!I:I,""),
_xlpm.MacVal,_xlfn.XLOOKUP($A63,Output_Mac!$A:$A,Output_Mac!J:J,""),
_xlpm.MyAuditVal,_xlfn.XLOOKUP($A63,My_Audit!$A:$A,My_Audit!I:I,""),
_xlfn.IFS(_xlpm.MyAuditVal&lt;&gt;"",UPPER(_xlpm.MyAuditVal),_xlpm.MacVal&lt;&gt;"",_xlpm.MacVal,_xlpm.CSVVal&lt;&gt;"",_xlpm.CSVVal
)),"")</f>
        <v/>
      </c>
      <c r="K63" s="2" t="str" cm="1">
        <f t="array" ref="K63">IFERROR(_xlfn.LET(
_xlpm.CSVVal,_xlfn.XLOOKUP($A63,CSV!$A:$A,CSV!K:K,""),
_xlpm.MacVal,_xlfn.XLOOKUP($A63,Output_Mac!$A:$A,Output_Mac!K:K,""),
_xlpm.MyAuditVal,_xlfn.XLOOKUP($A63,My_Audit!$A:$A,My_Audit!J:J,""),
_xlfn.IFS(_xlpm.MyAuditVal&lt;&gt;"",UPPER(_xlpm.MyAuditVal),_xlpm.MacVal&lt;&gt;"",_xlpm.MacVal,_xlpm.CSVVal&lt;&gt;"",_xlpm.CSVVal
)),"")</f>
        <v/>
      </c>
      <c r="L63" s="2" t="str" cm="1">
        <f t="array" ref="L63">IFERROR(_xlfn.LET(
_xlpm.CSVVal,_xlfn.XLOOKUP($A63,CSV!$A:$A,CSV!P:P,""),
_xlpm.MacVal,_xlfn.XLOOKUP($A63,Output_Mac!$A:$A,Output_Mac!L:L,""),
_xlpm.MyAuditVal,_xlfn.XLOOKUP($A63,My_Audit!$A:$A,My_Audit!K:K,""),
_xlfn.IFS(_xlpm.MyAuditVal&lt;&gt;"",UPPER(_xlpm.MyAuditVal),_xlpm.MacVal&lt;&gt;"",_xlpm.MacVal,_xlpm.CSVVal&lt;&gt;"",_xlpm.CSVVal
)),"")</f>
        <v/>
      </c>
      <c r="M63" s="2" t="str" cm="1">
        <f t="array" ref="M63">IFERROR(_xlfn.LET(
_xlpm.CSVVal,_xlfn.XLOOKUP($A63,CSV!$A:$A,CSV!Q:Q,""),
_xlpm.MacVal,_xlfn.XLOOKUP($A63,Output_Mac!$A:$A,Output_Mac!M:M,""),
_xlpm.MyAuditVal,_xlfn.XLOOKUP($A63,My_Audit!$A:$A,My_Audit!L:L,""),
_xlfn.IFS(_xlpm.MyAuditVal&lt;&gt;"",UPPER(_xlpm.MyAuditVal),_xlpm.MacVal&lt;&gt;"",_xlpm.MacVal,_xlpm.CSVVal&lt;&gt;"",_xlpm.CSVVal
)),"")</f>
        <v/>
      </c>
      <c r="O63" s="2" t="str">
        <f>_xlfn.LET(
    _xlpm.CSVVal, _xlfn.XLOOKUP($A63, CSV!$A:$A, CSV!AA:AA, ""),
    _xlpm.MacVal, _xlfn.XLOOKUP($A63, Output_Mac!$A:$A, Output_Mac!S:S, ""),
    _xlpm.MyAuditVal, _xlfn.XLOOKUP($A63, My_Audit!$A:$A, My_Audit!P:P, ""),
    _xlfn.TEXTJOIN(", ", TRUE, _xlpm.MyAuditVal, _xlpm.MacVal, _xlpm.CSVVal)
)</f>
        <v/>
      </c>
      <c r="P63" s="2" t="str" cm="1">
        <f t="array" ref="P63">IFERROR(_xlfn.LET(
_xlpm.CSVVal,_xlfn.XLOOKUP($A63,CSV!$A:$A,CSV!AB:AB,""),
_xlpm.MacVal,_xlfn.XLOOKUP($A63,Output_Mac!$A:$A,Output_Mac!T:T,""),
_xlpm.MyAuditVal,_xlfn.XLOOKUP($A63,My_Audit!$A:$A,My_Audit!Q:Q,""),
_xlfn.IFS(_xlpm.MyAuditVal&lt;&gt;"",UPPER(_xlpm.MyAuditVal),_xlpm.MacVal&lt;&gt;"",_xlpm.MacVal,_xlpm.CSVVal&lt;&gt;"",_xlpm.CSVVal
)),"No")</f>
        <v>No</v>
      </c>
      <c r="Q63" s="2" t="str" cm="1">
        <f t="array" ref="Q63">IFERROR(_xlfn.LET(
_xlpm.CSVVal,_xlfn.XLOOKUP($A63,CSV!$A:$A,CSV!AC:AC,""),
_xlpm.MacVal,_xlfn.XLOOKUP($A63,Output_Mac!$A:$A,Output_Mac!U:U,""),
_xlpm.MyAuditVal,_xlfn.XLOOKUP($A63,My_Audit!$A:$A,My_Audit!R:R,""),
_xlfn.IFS(_xlpm.MyAuditVal&lt;&gt;"",UPPER(_xlpm.MyAuditVal),_xlpm.MacVal&lt;&gt;"",_xlpm.MacVal,_xlpm.CSVVal&lt;&gt;"",_xlpm.CSVVal
)),"")</f>
        <v/>
      </c>
      <c r="X63" t="str">
        <f>_xlfn.LET(
    _xlpm.MacVal, _xlfn.XLOOKUP($A63, Output_Mac!$A:$A, Output_Mac!AB:AB, ""),
    _xlpm.MyAuditVal, _xlfn.XLOOKUP($A63, My_Audit!$A:$A, My_Audit!N:N, ""),
    _xlfn.TEXTJOIN(", ", TRUE, _xlpm.MyAuditVal, _xlpm.MacVal)
)</f>
        <v/>
      </c>
    </row>
    <row r="64" spans="1:24">
      <c r="A64" s="2" t="str">
        <f>_xlfn.TEXTJOIN("",TRUE,Input!$B$2,ROW(My_Audit!A63))</f>
        <v>X63</v>
      </c>
      <c r="B64" s="2" t="str">
        <f>_xlfn.TEXTJOIN("-",TRUE,"ITD",Input!$A$2,A64)</f>
        <v>ITD-SHR-X63</v>
      </c>
      <c r="C64" s="2" t="str" cm="1">
        <f t="array" ref="C64">IFERROR(_xlfn.LET(
_xlpm.CSVVal,_xlfn.XLOOKUP($A64,CSV!$A:$A,CSV!B:B,""),
_xlpm.MacVal,_xlfn.XLOOKUP($A64,Output_Mac!$A:$A,Output_Mac!B:B,""),
_xlpm.MyAuditVal,_xlfn.XLOOKUP($A64,My_Audit!$A:$A,My_Audit!B:B,""),
_xlfn.IFS(_xlpm.MyAuditVal&lt;&gt;"",UPPER(_xlpm.MyAuditVal),_xlpm.MacVal&lt;&gt;"",_xlpm.MacVal,_xlpm.CSVVal&lt;&gt;"",_xlpm.CSVVal
)),"")</f>
        <v/>
      </c>
      <c r="D64" s="2" t="str" cm="1">
        <f t="array" ref="D64">IFERROR(_xlfn.LET(
_xlpm.CSVVal,_xlfn.XLOOKUP($A64,CSV!$A:$A,CSV!D:D,""),
_xlpm.MacVal,_xlfn.XLOOKUP($A64,Output_Mac!$A:$A,Output_Mac!C:C,""),
_xlpm.MyAuditVal,_xlfn.XLOOKUP($A64,My_Audit!$A:$A,My_Audit!C:C,""),
_xlfn.IFS(_xlpm.MyAuditVal&lt;&gt;"",_xlpm.MyAuditVal,_xlpm.MacVal&lt;&gt;"",_xlpm.MacVal,_xlpm.CSVVal&lt;&gt;"",_xlpm.CSVVal
)),"")</f>
        <v/>
      </c>
      <c r="E64" s="2">
        <f>_xlfn.XLOOKUP(A64,My_Audit!A:A,My_Audit!D:D,"")</f>
        <v>0</v>
      </c>
      <c r="F64" s="2" t="str" cm="1">
        <f t="array" ref="F64">IFERROR(_xlfn.LET(
_xlpm.CSVVal,_xlfn.XLOOKUP($A64,CSV!$A:$A,CSV!F:F,""),
_xlpm.MacVal,_xlfn.XLOOKUP($A64,Output_Mac!$A:$A,Output_Mac!E:E,""),
_xlpm.MyAuditVal,_xlfn.XLOOKUP($A64,My_Audit!$A:$A,My_Audit!E:E,""),
_xlfn.IFS(_xlpm.MyAuditVal&lt;&gt;"",_xlpm.MyAuditVal,_xlpm.MacVal&lt;&gt;"",_xlpm.MacVal,_xlpm.CSVVal&lt;&gt;"",_xlpm.CSVVal
)),"")</f>
        <v/>
      </c>
      <c r="G64" s="2" t="str" cm="1">
        <f t="array" ref="G64">IFERROR(_xlfn.LET(
_xlpm.CSVVal,_xlfn.XLOOKUP($A64,CSV!$A:$A,CSV!G:G,""),
_xlpm.MacVal,_xlfn.XLOOKUP($A64,Output_Mac!$A:$A,Output_Mac!F:F,""),
_xlpm.MyAuditVal,_xlfn.XLOOKUP($A64,My_Audit!$A:$A,My_Audit!F:F,""),
_xlfn.IFS(_xlpm.MyAuditVal&lt;&gt;"",_xlpm.MyAuditVal,_xlpm.MacVal&lt;&gt;"",_xlpm.MacVal,_xlpm.CSVVal&lt;&gt;"",PROPER(_xlpm.CSVVal)
)),"")</f>
        <v/>
      </c>
      <c r="H64" s="2" t="str" cm="1">
        <f t="array" ref="H64">IFERROR(_xlfn.LET(
_xlpm.CSVVal,_xlfn.XLOOKUP($A64,CSV!$A:$A,CSV!H:H,""),
_xlpm.MacVal,_xlfn.XLOOKUP($A64,Output_Mac!$A:$A,Output_Mac!H:H,""),
_xlpm.MyAuditVal,_xlfn.XLOOKUP($A64,My_Audit!$A:$A,My_Audit!G:G,""),
_xlfn.IFS(_xlpm.MyAuditVal&lt;&gt;"",_xlpm.MyAuditVal,_xlpm.MacVal&lt;&gt;"",_xlpm.MacVal,_xlpm.CSVVal&lt;&gt;"",_xlpm.CSVVal
)),"")</f>
        <v/>
      </c>
      <c r="I64" s="2" t="str">
        <f>_xlfn.XLOOKUP(A64,Output_Mac!A:A,Output_Mac!I:I,"")</f>
        <v/>
      </c>
      <c r="J64" s="2" t="str" cm="1">
        <f t="array" ref="J64">IFERROR(_xlfn.LET(
_xlpm.CSVVal,_xlfn.XLOOKUP($A64,CSV!$A:$A,CSV!I:I,""),
_xlpm.MacVal,_xlfn.XLOOKUP($A64,Output_Mac!$A:$A,Output_Mac!J:J,""),
_xlpm.MyAuditVal,_xlfn.XLOOKUP($A64,My_Audit!$A:$A,My_Audit!I:I,""),
_xlfn.IFS(_xlpm.MyAuditVal&lt;&gt;"",UPPER(_xlpm.MyAuditVal),_xlpm.MacVal&lt;&gt;"",_xlpm.MacVal,_xlpm.CSVVal&lt;&gt;"",_xlpm.CSVVal
)),"")</f>
        <v/>
      </c>
      <c r="K64" s="2" t="str" cm="1">
        <f t="array" ref="K64">IFERROR(_xlfn.LET(
_xlpm.CSVVal,_xlfn.XLOOKUP($A64,CSV!$A:$A,CSV!K:K,""),
_xlpm.MacVal,_xlfn.XLOOKUP($A64,Output_Mac!$A:$A,Output_Mac!K:K,""),
_xlpm.MyAuditVal,_xlfn.XLOOKUP($A64,My_Audit!$A:$A,My_Audit!J:J,""),
_xlfn.IFS(_xlpm.MyAuditVal&lt;&gt;"",UPPER(_xlpm.MyAuditVal),_xlpm.MacVal&lt;&gt;"",_xlpm.MacVal,_xlpm.CSVVal&lt;&gt;"",_xlpm.CSVVal
)),"")</f>
        <v/>
      </c>
      <c r="L64" s="2" t="str" cm="1">
        <f t="array" ref="L64">IFERROR(_xlfn.LET(
_xlpm.CSVVal,_xlfn.XLOOKUP($A64,CSV!$A:$A,CSV!P:P,""),
_xlpm.MacVal,_xlfn.XLOOKUP($A64,Output_Mac!$A:$A,Output_Mac!L:L,""),
_xlpm.MyAuditVal,_xlfn.XLOOKUP($A64,My_Audit!$A:$A,My_Audit!K:K,""),
_xlfn.IFS(_xlpm.MyAuditVal&lt;&gt;"",UPPER(_xlpm.MyAuditVal),_xlpm.MacVal&lt;&gt;"",_xlpm.MacVal,_xlpm.CSVVal&lt;&gt;"",_xlpm.CSVVal
)),"")</f>
        <v/>
      </c>
      <c r="M64" s="2" t="str" cm="1">
        <f t="array" ref="M64">IFERROR(_xlfn.LET(
_xlpm.CSVVal,_xlfn.XLOOKUP($A64,CSV!$A:$A,CSV!Q:Q,""),
_xlpm.MacVal,_xlfn.XLOOKUP($A64,Output_Mac!$A:$A,Output_Mac!M:M,""),
_xlpm.MyAuditVal,_xlfn.XLOOKUP($A64,My_Audit!$A:$A,My_Audit!L:L,""),
_xlfn.IFS(_xlpm.MyAuditVal&lt;&gt;"",UPPER(_xlpm.MyAuditVal),_xlpm.MacVal&lt;&gt;"",_xlpm.MacVal,_xlpm.CSVVal&lt;&gt;"",_xlpm.CSVVal
)),"")</f>
        <v/>
      </c>
      <c r="O64" s="2" t="str">
        <f>_xlfn.LET(
    _xlpm.CSVVal, _xlfn.XLOOKUP($A64, CSV!$A:$A, CSV!AA:AA, ""),
    _xlpm.MacVal, _xlfn.XLOOKUP($A64, Output_Mac!$A:$A, Output_Mac!S:S, ""),
    _xlpm.MyAuditVal, _xlfn.XLOOKUP($A64, My_Audit!$A:$A, My_Audit!P:P, ""),
    _xlfn.TEXTJOIN(", ", TRUE, _xlpm.MyAuditVal, _xlpm.MacVal, _xlpm.CSVVal)
)</f>
        <v/>
      </c>
      <c r="P64" s="2" t="str" cm="1">
        <f t="array" ref="P64">IFERROR(_xlfn.LET(
_xlpm.CSVVal,_xlfn.XLOOKUP($A64,CSV!$A:$A,CSV!AB:AB,""),
_xlpm.MacVal,_xlfn.XLOOKUP($A64,Output_Mac!$A:$A,Output_Mac!T:T,""),
_xlpm.MyAuditVal,_xlfn.XLOOKUP($A64,My_Audit!$A:$A,My_Audit!Q:Q,""),
_xlfn.IFS(_xlpm.MyAuditVal&lt;&gt;"",UPPER(_xlpm.MyAuditVal),_xlpm.MacVal&lt;&gt;"",_xlpm.MacVal,_xlpm.CSVVal&lt;&gt;"",_xlpm.CSVVal
)),"No")</f>
        <v>No</v>
      </c>
      <c r="Q64" s="2" t="str" cm="1">
        <f t="array" ref="Q64">IFERROR(_xlfn.LET(
_xlpm.CSVVal,_xlfn.XLOOKUP($A64,CSV!$A:$A,CSV!AC:AC,""),
_xlpm.MacVal,_xlfn.XLOOKUP($A64,Output_Mac!$A:$A,Output_Mac!U:U,""),
_xlpm.MyAuditVal,_xlfn.XLOOKUP($A64,My_Audit!$A:$A,My_Audit!R:R,""),
_xlfn.IFS(_xlpm.MyAuditVal&lt;&gt;"",UPPER(_xlpm.MyAuditVal),_xlpm.MacVal&lt;&gt;"",_xlpm.MacVal,_xlpm.CSVVal&lt;&gt;"",_xlpm.CSVVal
)),"")</f>
        <v/>
      </c>
      <c r="X64" t="str">
        <f>_xlfn.LET(
    _xlpm.MacVal, _xlfn.XLOOKUP($A64, Output_Mac!$A:$A, Output_Mac!AB:AB, ""),
    _xlpm.MyAuditVal, _xlfn.XLOOKUP($A64, My_Audit!$A:$A, My_Audit!N:N, ""),
    _xlfn.TEXTJOIN(", ", TRUE, _xlpm.MyAuditVal, _xlpm.MacVal)
)</f>
        <v/>
      </c>
    </row>
    <row r="65" spans="1:24">
      <c r="A65" s="2" t="str">
        <f>_xlfn.TEXTJOIN("",TRUE,Input!$B$2,ROW(My_Audit!A64))</f>
        <v>X64</v>
      </c>
      <c r="B65" s="2" t="str">
        <f>_xlfn.TEXTJOIN("-",TRUE,"ITD",Input!$A$2,A65)</f>
        <v>ITD-SHR-X64</v>
      </c>
      <c r="C65" s="2" t="str" cm="1">
        <f t="array" ref="C65">IFERROR(_xlfn.LET(
_xlpm.CSVVal,_xlfn.XLOOKUP($A65,CSV!$A:$A,CSV!B:B,""),
_xlpm.MacVal,_xlfn.XLOOKUP($A65,Output_Mac!$A:$A,Output_Mac!B:B,""),
_xlpm.MyAuditVal,_xlfn.XLOOKUP($A65,My_Audit!$A:$A,My_Audit!B:B,""),
_xlfn.IFS(_xlpm.MyAuditVal&lt;&gt;"",UPPER(_xlpm.MyAuditVal),_xlpm.MacVal&lt;&gt;"",_xlpm.MacVal,_xlpm.CSVVal&lt;&gt;"",_xlpm.CSVVal
)),"")</f>
        <v/>
      </c>
      <c r="D65" s="2" t="str" cm="1">
        <f t="array" ref="D65">IFERROR(_xlfn.LET(
_xlpm.CSVVal,_xlfn.XLOOKUP($A65,CSV!$A:$A,CSV!D:D,""),
_xlpm.MacVal,_xlfn.XLOOKUP($A65,Output_Mac!$A:$A,Output_Mac!C:C,""),
_xlpm.MyAuditVal,_xlfn.XLOOKUP($A65,My_Audit!$A:$A,My_Audit!C:C,""),
_xlfn.IFS(_xlpm.MyAuditVal&lt;&gt;"",_xlpm.MyAuditVal,_xlpm.MacVal&lt;&gt;"",_xlpm.MacVal,_xlpm.CSVVal&lt;&gt;"",_xlpm.CSVVal
)),"")</f>
        <v/>
      </c>
      <c r="E65" s="2">
        <f>_xlfn.XLOOKUP(A65,My_Audit!A:A,My_Audit!D:D,"")</f>
        <v>0</v>
      </c>
      <c r="F65" s="2" t="str" cm="1">
        <f t="array" ref="F65">IFERROR(_xlfn.LET(
_xlpm.CSVVal,_xlfn.XLOOKUP($A65,CSV!$A:$A,CSV!F:F,""),
_xlpm.MacVal,_xlfn.XLOOKUP($A65,Output_Mac!$A:$A,Output_Mac!E:E,""),
_xlpm.MyAuditVal,_xlfn.XLOOKUP($A65,My_Audit!$A:$A,My_Audit!E:E,""),
_xlfn.IFS(_xlpm.MyAuditVal&lt;&gt;"",_xlpm.MyAuditVal,_xlpm.MacVal&lt;&gt;"",_xlpm.MacVal,_xlpm.CSVVal&lt;&gt;"",_xlpm.CSVVal
)),"")</f>
        <v/>
      </c>
      <c r="G65" s="2" t="str" cm="1">
        <f t="array" ref="G65">IFERROR(_xlfn.LET(
_xlpm.CSVVal,_xlfn.XLOOKUP($A65,CSV!$A:$A,CSV!G:G,""),
_xlpm.MacVal,_xlfn.XLOOKUP($A65,Output_Mac!$A:$A,Output_Mac!F:F,""),
_xlpm.MyAuditVal,_xlfn.XLOOKUP($A65,My_Audit!$A:$A,My_Audit!F:F,""),
_xlfn.IFS(_xlpm.MyAuditVal&lt;&gt;"",_xlpm.MyAuditVal,_xlpm.MacVal&lt;&gt;"",_xlpm.MacVal,_xlpm.CSVVal&lt;&gt;"",PROPER(_xlpm.CSVVal)
)),"")</f>
        <v/>
      </c>
      <c r="H65" s="2" t="str" cm="1">
        <f t="array" ref="H65">IFERROR(_xlfn.LET(
_xlpm.CSVVal,_xlfn.XLOOKUP($A65,CSV!$A:$A,CSV!H:H,""),
_xlpm.MacVal,_xlfn.XLOOKUP($A65,Output_Mac!$A:$A,Output_Mac!H:H,""),
_xlpm.MyAuditVal,_xlfn.XLOOKUP($A65,My_Audit!$A:$A,My_Audit!G:G,""),
_xlfn.IFS(_xlpm.MyAuditVal&lt;&gt;"",_xlpm.MyAuditVal,_xlpm.MacVal&lt;&gt;"",_xlpm.MacVal,_xlpm.CSVVal&lt;&gt;"",_xlpm.CSVVal
)),"")</f>
        <v/>
      </c>
      <c r="I65" s="2" t="str">
        <f>_xlfn.XLOOKUP(A65,Output_Mac!A:A,Output_Mac!I:I,"")</f>
        <v/>
      </c>
      <c r="J65" s="2" t="str" cm="1">
        <f t="array" ref="J65">IFERROR(_xlfn.LET(
_xlpm.CSVVal,_xlfn.XLOOKUP($A65,CSV!$A:$A,CSV!I:I,""),
_xlpm.MacVal,_xlfn.XLOOKUP($A65,Output_Mac!$A:$A,Output_Mac!J:J,""),
_xlpm.MyAuditVal,_xlfn.XLOOKUP($A65,My_Audit!$A:$A,My_Audit!I:I,""),
_xlfn.IFS(_xlpm.MyAuditVal&lt;&gt;"",UPPER(_xlpm.MyAuditVal),_xlpm.MacVal&lt;&gt;"",_xlpm.MacVal,_xlpm.CSVVal&lt;&gt;"",_xlpm.CSVVal
)),"")</f>
        <v/>
      </c>
      <c r="K65" s="2" t="str" cm="1">
        <f t="array" ref="K65">IFERROR(_xlfn.LET(
_xlpm.CSVVal,_xlfn.XLOOKUP($A65,CSV!$A:$A,CSV!K:K,""),
_xlpm.MacVal,_xlfn.XLOOKUP($A65,Output_Mac!$A:$A,Output_Mac!K:K,""),
_xlpm.MyAuditVal,_xlfn.XLOOKUP($A65,My_Audit!$A:$A,My_Audit!J:J,""),
_xlfn.IFS(_xlpm.MyAuditVal&lt;&gt;"",UPPER(_xlpm.MyAuditVal),_xlpm.MacVal&lt;&gt;"",_xlpm.MacVal,_xlpm.CSVVal&lt;&gt;"",_xlpm.CSVVal
)),"")</f>
        <v/>
      </c>
      <c r="L65" s="2" t="str" cm="1">
        <f t="array" ref="L65">IFERROR(_xlfn.LET(
_xlpm.CSVVal,_xlfn.XLOOKUP($A65,CSV!$A:$A,CSV!P:P,""),
_xlpm.MacVal,_xlfn.XLOOKUP($A65,Output_Mac!$A:$A,Output_Mac!L:L,""),
_xlpm.MyAuditVal,_xlfn.XLOOKUP($A65,My_Audit!$A:$A,My_Audit!K:K,""),
_xlfn.IFS(_xlpm.MyAuditVal&lt;&gt;"",UPPER(_xlpm.MyAuditVal),_xlpm.MacVal&lt;&gt;"",_xlpm.MacVal,_xlpm.CSVVal&lt;&gt;"",_xlpm.CSVVal
)),"")</f>
        <v/>
      </c>
      <c r="M65" s="2" t="str" cm="1">
        <f t="array" ref="M65">IFERROR(_xlfn.LET(
_xlpm.CSVVal,_xlfn.XLOOKUP($A65,CSV!$A:$A,CSV!Q:Q,""),
_xlpm.MacVal,_xlfn.XLOOKUP($A65,Output_Mac!$A:$A,Output_Mac!M:M,""),
_xlpm.MyAuditVal,_xlfn.XLOOKUP($A65,My_Audit!$A:$A,My_Audit!L:L,""),
_xlfn.IFS(_xlpm.MyAuditVal&lt;&gt;"",UPPER(_xlpm.MyAuditVal),_xlpm.MacVal&lt;&gt;"",_xlpm.MacVal,_xlpm.CSVVal&lt;&gt;"",_xlpm.CSVVal
)),"")</f>
        <v/>
      </c>
      <c r="O65" s="2" t="str">
        <f>_xlfn.LET(
    _xlpm.CSVVal, _xlfn.XLOOKUP($A65, CSV!$A:$A, CSV!AA:AA, ""),
    _xlpm.MacVal, _xlfn.XLOOKUP($A65, Output_Mac!$A:$A, Output_Mac!S:S, ""),
    _xlpm.MyAuditVal, _xlfn.XLOOKUP($A65, My_Audit!$A:$A, My_Audit!P:P, ""),
    _xlfn.TEXTJOIN(", ", TRUE, _xlpm.MyAuditVal, _xlpm.MacVal, _xlpm.CSVVal)
)</f>
        <v/>
      </c>
      <c r="P65" s="2" t="str" cm="1">
        <f t="array" ref="P65">IFERROR(_xlfn.LET(
_xlpm.CSVVal,_xlfn.XLOOKUP($A65,CSV!$A:$A,CSV!AB:AB,""),
_xlpm.MacVal,_xlfn.XLOOKUP($A65,Output_Mac!$A:$A,Output_Mac!T:T,""),
_xlpm.MyAuditVal,_xlfn.XLOOKUP($A65,My_Audit!$A:$A,My_Audit!Q:Q,""),
_xlfn.IFS(_xlpm.MyAuditVal&lt;&gt;"",UPPER(_xlpm.MyAuditVal),_xlpm.MacVal&lt;&gt;"",_xlpm.MacVal,_xlpm.CSVVal&lt;&gt;"",_xlpm.CSVVal
)),"No")</f>
        <v>No</v>
      </c>
      <c r="Q65" s="2" t="str" cm="1">
        <f t="array" ref="Q65">IFERROR(_xlfn.LET(
_xlpm.CSVVal,_xlfn.XLOOKUP($A65,CSV!$A:$A,CSV!AC:AC,""),
_xlpm.MacVal,_xlfn.XLOOKUP($A65,Output_Mac!$A:$A,Output_Mac!U:U,""),
_xlpm.MyAuditVal,_xlfn.XLOOKUP($A65,My_Audit!$A:$A,My_Audit!R:R,""),
_xlfn.IFS(_xlpm.MyAuditVal&lt;&gt;"",UPPER(_xlpm.MyAuditVal),_xlpm.MacVal&lt;&gt;"",_xlpm.MacVal,_xlpm.CSVVal&lt;&gt;"",_xlpm.CSVVal
)),"")</f>
        <v/>
      </c>
      <c r="X65" t="str">
        <f>_xlfn.LET(
    _xlpm.MacVal, _xlfn.XLOOKUP($A65, Output_Mac!$A:$A, Output_Mac!AB:AB, ""),
    _xlpm.MyAuditVal, _xlfn.XLOOKUP($A65, My_Audit!$A:$A, My_Audit!N:N, ""),
    _xlfn.TEXTJOIN(", ", TRUE, _xlpm.MyAuditVal, _xlpm.MacVal)
)</f>
        <v/>
      </c>
    </row>
    <row r="66" spans="1:24">
      <c r="A66" s="2" t="str">
        <f>_xlfn.TEXTJOIN("",TRUE,Input!$B$2,ROW(My_Audit!A65))</f>
        <v>X65</v>
      </c>
      <c r="B66" s="2" t="str">
        <f>_xlfn.TEXTJOIN("-",TRUE,"ITD",Input!$A$2,A66)</f>
        <v>ITD-SHR-X65</v>
      </c>
      <c r="C66" s="2" t="str" cm="1">
        <f t="array" ref="C66">IFERROR(_xlfn.LET(
_xlpm.CSVVal,_xlfn.XLOOKUP($A66,CSV!$A:$A,CSV!B:B,""),
_xlpm.MacVal,_xlfn.XLOOKUP($A66,Output_Mac!$A:$A,Output_Mac!B:B,""),
_xlpm.MyAuditVal,_xlfn.XLOOKUP($A66,My_Audit!$A:$A,My_Audit!B:B,""),
_xlfn.IFS(_xlpm.MyAuditVal&lt;&gt;"",UPPER(_xlpm.MyAuditVal),_xlpm.MacVal&lt;&gt;"",_xlpm.MacVal,_xlpm.CSVVal&lt;&gt;"",_xlpm.CSVVal
)),"")</f>
        <v/>
      </c>
      <c r="D66" s="2" t="str" cm="1">
        <f t="array" ref="D66">IFERROR(_xlfn.LET(
_xlpm.CSVVal,_xlfn.XLOOKUP($A66,CSV!$A:$A,CSV!D:D,""),
_xlpm.MacVal,_xlfn.XLOOKUP($A66,Output_Mac!$A:$A,Output_Mac!C:C,""),
_xlpm.MyAuditVal,_xlfn.XLOOKUP($A66,My_Audit!$A:$A,My_Audit!C:C,""),
_xlfn.IFS(_xlpm.MyAuditVal&lt;&gt;"",_xlpm.MyAuditVal,_xlpm.MacVal&lt;&gt;"",_xlpm.MacVal,_xlpm.CSVVal&lt;&gt;"",_xlpm.CSVVal
)),"")</f>
        <v/>
      </c>
      <c r="E66" s="2">
        <f>_xlfn.XLOOKUP(A66,My_Audit!A:A,My_Audit!D:D,"")</f>
        <v>0</v>
      </c>
      <c r="F66" s="2" t="str" cm="1">
        <f t="array" ref="F66">IFERROR(_xlfn.LET(
_xlpm.CSVVal,_xlfn.XLOOKUP($A66,CSV!$A:$A,CSV!F:F,""),
_xlpm.MacVal,_xlfn.XLOOKUP($A66,Output_Mac!$A:$A,Output_Mac!E:E,""),
_xlpm.MyAuditVal,_xlfn.XLOOKUP($A66,My_Audit!$A:$A,My_Audit!E:E,""),
_xlfn.IFS(_xlpm.MyAuditVal&lt;&gt;"",_xlpm.MyAuditVal,_xlpm.MacVal&lt;&gt;"",_xlpm.MacVal,_xlpm.CSVVal&lt;&gt;"",_xlpm.CSVVal
)),"")</f>
        <v/>
      </c>
      <c r="G66" s="2" t="str" cm="1">
        <f t="array" ref="G66">IFERROR(_xlfn.LET(
_xlpm.CSVVal,_xlfn.XLOOKUP($A66,CSV!$A:$A,CSV!G:G,""),
_xlpm.MacVal,_xlfn.XLOOKUP($A66,Output_Mac!$A:$A,Output_Mac!F:F,""),
_xlpm.MyAuditVal,_xlfn.XLOOKUP($A66,My_Audit!$A:$A,My_Audit!F:F,""),
_xlfn.IFS(_xlpm.MyAuditVal&lt;&gt;"",_xlpm.MyAuditVal,_xlpm.MacVal&lt;&gt;"",_xlpm.MacVal,_xlpm.CSVVal&lt;&gt;"",PROPER(_xlpm.CSVVal)
)),"")</f>
        <v/>
      </c>
      <c r="H66" s="2" t="str" cm="1">
        <f t="array" ref="H66">IFERROR(_xlfn.LET(
_xlpm.CSVVal,_xlfn.XLOOKUP($A66,CSV!$A:$A,CSV!H:H,""),
_xlpm.MacVal,_xlfn.XLOOKUP($A66,Output_Mac!$A:$A,Output_Mac!H:H,""),
_xlpm.MyAuditVal,_xlfn.XLOOKUP($A66,My_Audit!$A:$A,My_Audit!G:G,""),
_xlfn.IFS(_xlpm.MyAuditVal&lt;&gt;"",_xlpm.MyAuditVal,_xlpm.MacVal&lt;&gt;"",_xlpm.MacVal,_xlpm.CSVVal&lt;&gt;"",_xlpm.CSVVal
)),"")</f>
        <v/>
      </c>
      <c r="I66" s="2" t="str">
        <f>_xlfn.XLOOKUP(A66,Output_Mac!A:A,Output_Mac!I:I,"")</f>
        <v/>
      </c>
      <c r="J66" s="2" t="str" cm="1">
        <f t="array" ref="J66">IFERROR(_xlfn.LET(
_xlpm.CSVVal,_xlfn.XLOOKUP($A66,CSV!$A:$A,CSV!I:I,""),
_xlpm.MacVal,_xlfn.XLOOKUP($A66,Output_Mac!$A:$A,Output_Mac!J:J,""),
_xlpm.MyAuditVal,_xlfn.XLOOKUP($A66,My_Audit!$A:$A,My_Audit!I:I,""),
_xlfn.IFS(_xlpm.MyAuditVal&lt;&gt;"",UPPER(_xlpm.MyAuditVal),_xlpm.MacVal&lt;&gt;"",_xlpm.MacVal,_xlpm.CSVVal&lt;&gt;"",_xlpm.CSVVal
)),"")</f>
        <v/>
      </c>
      <c r="K66" s="2" t="str" cm="1">
        <f t="array" ref="K66">IFERROR(_xlfn.LET(
_xlpm.CSVVal,_xlfn.XLOOKUP($A66,CSV!$A:$A,CSV!K:K,""),
_xlpm.MacVal,_xlfn.XLOOKUP($A66,Output_Mac!$A:$A,Output_Mac!K:K,""),
_xlpm.MyAuditVal,_xlfn.XLOOKUP($A66,My_Audit!$A:$A,My_Audit!J:J,""),
_xlfn.IFS(_xlpm.MyAuditVal&lt;&gt;"",UPPER(_xlpm.MyAuditVal),_xlpm.MacVal&lt;&gt;"",_xlpm.MacVal,_xlpm.CSVVal&lt;&gt;"",_xlpm.CSVVal
)),"")</f>
        <v/>
      </c>
      <c r="L66" s="2" t="str" cm="1">
        <f t="array" ref="L66">IFERROR(_xlfn.LET(
_xlpm.CSVVal,_xlfn.XLOOKUP($A66,CSV!$A:$A,CSV!P:P,""),
_xlpm.MacVal,_xlfn.XLOOKUP($A66,Output_Mac!$A:$A,Output_Mac!L:L,""),
_xlpm.MyAuditVal,_xlfn.XLOOKUP($A66,My_Audit!$A:$A,My_Audit!K:K,""),
_xlfn.IFS(_xlpm.MyAuditVal&lt;&gt;"",UPPER(_xlpm.MyAuditVal),_xlpm.MacVal&lt;&gt;"",_xlpm.MacVal,_xlpm.CSVVal&lt;&gt;"",_xlpm.CSVVal
)),"")</f>
        <v/>
      </c>
      <c r="M66" s="2" t="str" cm="1">
        <f t="array" ref="M66">IFERROR(_xlfn.LET(
_xlpm.CSVVal,_xlfn.XLOOKUP($A66,CSV!$A:$A,CSV!Q:Q,""),
_xlpm.MacVal,_xlfn.XLOOKUP($A66,Output_Mac!$A:$A,Output_Mac!M:M,""),
_xlpm.MyAuditVal,_xlfn.XLOOKUP($A66,My_Audit!$A:$A,My_Audit!L:L,""),
_xlfn.IFS(_xlpm.MyAuditVal&lt;&gt;"",UPPER(_xlpm.MyAuditVal),_xlpm.MacVal&lt;&gt;"",_xlpm.MacVal,_xlpm.CSVVal&lt;&gt;"",_xlpm.CSVVal
)),"")</f>
        <v/>
      </c>
      <c r="O66" s="2" t="str">
        <f>_xlfn.LET(
    _xlpm.CSVVal, _xlfn.XLOOKUP($A66, CSV!$A:$A, CSV!AA:AA, ""),
    _xlpm.MacVal, _xlfn.XLOOKUP($A66, Output_Mac!$A:$A, Output_Mac!S:S, ""),
    _xlpm.MyAuditVal, _xlfn.XLOOKUP($A66, My_Audit!$A:$A, My_Audit!P:P, ""),
    _xlfn.TEXTJOIN(", ", TRUE, _xlpm.MyAuditVal, _xlpm.MacVal, _xlpm.CSVVal)
)</f>
        <v/>
      </c>
      <c r="P66" s="2" t="str" cm="1">
        <f t="array" ref="P66">IFERROR(_xlfn.LET(
_xlpm.CSVVal,_xlfn.XLOOKUP($A66,CSV!$A:$A,CSV!AB:AB,""),
_xlpm.MacVal,_xlfn.XLOOKUP($A66,Output_Mac!$A:$A,Output_Mac!T:T,""),
_xlpm.MyAuditVal,_xlfn.XLOOKUP($A66,My_Audit!$A:$A,My_Audit!Q:Q,""),
_xlfn.IFS(_xlpm.MyAuditVal&lt;&gt;"",UPPER(_xlpm.MyAuditVal),_xlpm.MacVal&lt;&gt;"",_xlpm.MacVal,_xlpm.CSVVal&lt;&gt;"",_xlpm.CSVVal
)),"No")</f>
        <v>No</v>
      </c>
      <c r="Q66" s="2" t="str" cm="1">
        <f t="array" ref="Q66">IFERROR(_xlfn.LET(
_xlpm.CSVVal,_xlfn.XLOOKUP($A66,CSV!$A:$A,CSV!AC:AC,""),
_xlpm.MacVal,_xlfn.XLOOKUP($A66,Output_Mac!$A:$A,Output_Mac!U:U,""),
_xlpm.MyAuditVal,_xlfn.XLOOKUP($A66,My_Audit!$A:$A,My_Audit!R:R,""),
_xlfn.IFS(_xlpm.MyAuditVal&lt;&gt;"",UPPER(_xlpm.MyAuditVal),_xlpm.MacVal&lt;&gt;"",_xlpm.MacVal,_xlpm.CSVVal&lt;&gt;"",_xlpm.CSVVal
)),"")</f>
        <v/>
      </c>
      <c r="X66" t="str">
        <f>_xlfn.LET(
    _xlpm.MacVal, _xlfn.XLOOKUP($A66, Output_Mac!$A:$A, Output_Mac!AB:AB, ""),
    _xlpm.MyAuditVal, _xlfn.XLOOKUP($A66, My_Audit!$A:$A, My_Audit!N:N, ""),
    _xlfn.TEXTJOIN(", ", TRUE, _xlpm.MyAuditVal, _xlpm.MacVal)
)</f>
        <v/>
      </c>
    </row>
    <row r="67" spans="1:24">
      <c r="A67" s="2" t="str">
        <f>_xlfn.TEXTJOIN("",TRUE,Input!$B$2,ROW(My_Audit!A66))</f>
        <v>X66</v>
      </c>
      <c r="B67" s="2" t="str">
        <f>_xlfn.TEXTJOIN("-",TRUE,"ITD",Input!$A$2,A67)</f>
        <v>ITD-SHR-X66</v>
      </c>
      <c r="C67" s="2" t="str" cm="1">
        <f t="array" ref="C67">IFERROR(_xlfn.LET(
_xlpm.CSVVal,_xlfn.XLOOKUP($A67,CSV!$A:$A,CSV!B:B,""),
_xlpm.MacVal,_xlfn.XLOOKUP($A67,Output_Mac!$A:$A,Output_Mac!B:B,""),
_xlpm.MyAuditVal,_xlfn.XLOOKUP($A67,My_Audit!$A:$A,My_Audit!B:B,""),
_xlfn.IFS(_xlpm.MyAuditVal&lt;&gt;"",UPPER(_xlpm.MyAuditVal),_xlpm.MacVal&lt;&gt;"",_xlpm.MacVal,_xlpm.CSVVal&lt;&gt;"",_xlpm.CSVVal
)),"")</f>
        <v/>
      </c>
      <c r="D67" s="2" t="str" cm="1">
        <f t="array" ref="D67">IFERROR(_xlfn.LET(
_xlpm.CSVVal,_xlfn.XLOOKUP($A67,CSV!$A:$A,CSV!D:D,""),
_xlpm.MacVal,_xlfn.XLOOKUP($A67,Output_Mac!$A:$A,Output_Mac!C:C,""),
_xlpm.MyAuditVal,_xlfn.XLOOKUP($A67,My_Audit!$A:$A,My_Audit!C:C,""),
_xlfn.IFS(_xlpm.MyAuditVal&lt;&gt;"",_xlpm.MyAuditVal,_xlpm.MacVal&lt;&gt;"",_xlpm.MacVal,_xlpm.CSVVal&lt;&gt;"",_xlpm.CSVVal
)),"")</f>
        <v/>
      </c>
      <c r="E67" s="2" t="str">
        <f>_xlfn.XLOOKUP(A67,My_Audit!A:A,My_Audit!D:D,"")</f>
        <v/>
      </c>
      <c r="F67" s="2" t="str" cm="1">
        <f t="array" ref="F67">IFERROR(_xlfn.LET(
_xlpm.CSVVal,_xlfn.XLOOKUP($A67,CSV!$A:$A,CSV!F:F,""),
_xlpm.MacVal,_xlfn.XLOOKUP($A67,Output_Mac!$A:$A,Output_Mac!E:E,""),
_xlpm.MyAuditVal,_xlfn.XLOOKUP($A67,My_Audit!$A:$A,My_Audit!E:E,""),
_xlfn.IFS(_xlpm.MyAuditVal&lt;&gt;"",_xlpm.MyAuditVal,_xlpm.MacVal&lt;&gt;"",_xlpm.MacVal,_xlpm.CSVVal&lt;&gt;"",_xlpm.CSVVal
)),"")</f>
        <v/>
      </c>
      <c r="G67" s="2" t="str" cm="1">
        <f t="array" ref="G67">IFERROR(_xlfn.LET(
_xlpm.CSVVal,_xlfn.XLOOKUP($A67,CSV!$A:$A,CSV!G:G,""),
_xlpm.MacVal,_xlfn.XLOOKUP($A67,Output_Mac!$A:$A,Output_Mac!F:F,""),
_xlpm.MyAuditVal,_xlfn.XLOOKUP($A67,My_Audit!$A:$A,My_Audit!F:F,""),
_xlfn.IFS(_xlpm.MyAuditVal&lt;&gt;"",_xlpm.MyAuditVal,_xlpm.MacVal&lt;&gt;"",_xlpm.MacVal,_xlpm.CSVVal&lt;&gt;"",PROPER(_xlpm.CSVVal)
)),"")</f>
        <v/>
      </c>
      <c r="H67" s="2" t="str" cm="1">
        <f t="array" ref="H67">IFERROR(_xlfn.LET(
_xlpm.CSVVal,_xlfn.XLOOKUP($A67,CSV!$A:$A,CSV!H:H,""),
_xlpm.MacVal,_xlfn.XLOOKUP($A67,Output_Mac!$A:$A,Output_Mac!H:H,""),
_xlpm.MyAuditVal,_xlfn.XLOOKUP($A67,My_Audit!$A:$A,My_Audit!G:G,""),
_xlfn.IFS(_xlpm.MyAuditVal&lt;&gt;"",_xlpm.MyAuditVal,_xlpm.MacVal&lt;&gt;"",_xlpm.MacVal,_xlpm.CSVVal&lt;&gt;"",_xlpm.CSVVal
)),"")</f>
        <v/>
      </c>
      <c r="I67" s="2" t="str">
        <f>_xlfn.XLOOKUP(A67,Output_Mac!A:A,Output_Mac!I:I,"")</f>
        <v/>
      </c>
      <c r="J67" s="2" t="str" cm="1">
        <f t="array" ref="J67">IFERROR(_xlfn.LET(
_xlpm.CSVVal,_xlfn.XLOOKUP($A67,CSV!$A:$A,CSV!I:I,""),
_xlpm.MacVal,_xlfn.XLOOKUP($A67,Output_Mac!$A:$A,Output_Mac!J:J,""),
_xlpm.MyAuditVal,_xlfn.XLOOKUP($A67,My_Audit!$A:$A,My_Audit!I:I,""),
_xlfn.IFS(_xlpm.MyAuditVal&lt;&gt;"",UPPER(_xlpm.MyAuditVal),_xlpm.MacVal&lt;&gt;"",_xlpm.MacVal,_xlpm.CSVVal&lt;&gt;"",_xlpm.CSVVal
)),"")</f>
        <v/>
      </c>
      <c r="K67" s="2" t="str" cm="1">
        <f t="array" ref="K67">IFERROR(_xlfn.LET(
_xlpm.CSVVal,_xlfn.XLOOKUP($A67,CSV!$A:$A,CSV!K:K,""),
_xlpm.MacVal,_xlfn.XLOOKUP($A67,Output_Mac!$A:$A,Output_Mac!K:K,""),
_xlpm.MyAuditVal,_xlfn.XLOOKUP($A67,My_Audit!$A:$A,My_Audit!J:J,""),
_xlfn.IFS(_xlpm.MyAuditVal&lt;&gt;"",UPPER(_xlpm.MyAuditVal),_xlpm.MacVal&lt;&gt;"",_xlpm.MacVal,_xlpm.CSVVal&lt;&gt;"",_xlpm.CSVVal
)),"")</f>
        <v/>
      </c>
      <c r="L67" s="2" t="str" cm="1">
        <f t="array" ref="L67">IFERROR(_xlfn.LET(
_xlpm.CSVVal,_xlfn.XLOOKUP($A67,CSV!$A:$A,CSV!P:P,""),
_xlpm.MacVal,_xlfn.XLOOKUP($A67,Output_Mac!$A:$A,Output_Mac!L:L,""),
_xlpm.MyAuditVal,_xlfn.XLOOKUP($A67,My_Audit!$A:$A,My_Audit!K:K,""),
_xlfn.IFS(_xlpm.MyAuditVal&lt;&gt;"",UPPER(_xlpm.MyAuditVal),_xlpm.MacVal&lt;&gt;"",_xlpm.MacVal,_xlpm.CSVVal&lt;&gt;"",_xlpm.CSVVal
)),"")</f>
        <v/>
      </c>
      <c r="M67" s="2" t="str" cm="1">
        <f t="array" ref="M67">IFERROR(_xlfn.LET(
_xlpm.CSVVal,_xlfn.XLOOKUP($A67,CSV!$A:$A,CSV!Q:Q,""),
_xlpm.MacVal,_xlfn.XLOOKUP($A67,Output_Mac!$A:$A,Output_Mac!M:M,""),
_xlpm.MyAuditVal,_xlfn.XLOOKUP($A67,My_Audit!$A:$A,My_Audit!L:L,""),
_xlfn.IFS(_xlpm.MyAuditVal&lt;&gt;"",UPPER(_xlpm.MyAuditVal),_xlpm.MacVal&lt;&gt;"",_xlpm.MacVal,_xlpm.CSVVal&lt;&gt;"",_xlpm.CSVVal
)),"")</f>
        <v/>
      </c>
      <c r="O67" s="2" t="str">
        <f>_xlfn.LET(
    _xlpm.CSVVal, _xlfn.XLOOKUP($A67, CSV!$A:$A, CSV!AA:AA, ""),
    _xlpm.MacVal, _xlfn.XLOOKUP($A67, Output_Mac!$A:$A, Output_Mac!S:S, ""),
    _xlpm.MyAuditVal, _xlfn.XLOOKUP($A67, My_Audit!$A:$A, My_Audit!P:P, ""),
    _xlfn.TEXTJOIN(", ", TRUE, _xlpm.MyAuditVal, _xlpm.MacVal, _xlpm.CSVVal)
)</f>
        <v/>
      </c>
      <c r="P67" s="2" t="str" cm="1">
        <f t="array" ref="P67">IFERROR(_xlfn.LET(
_xlpm.CSVVal,_xlfn.XLOOKUP($A67,CSV!$A:$A,CSV!AB:AB,""),
_xlpm.MacVal,_xlfn.XLOOKUP($A67,Output_Mac!$A:$A,Output_Mac!T:T,""),
_xlpm.MyAuditVal,_xlfn.XLOOKUP($A67,My_Audit!$A:$A,My_Audit!Q:Q,""),
_xlfn.IFS(_xlpm.MyAuditVal&lt;&gt;"",UPPER(_xlpm.MyAuditVal),_xlpm.MacVal&lt;&gt;"",_xlpm.MacVal,_xlpm.CSVVal&lt;&gt;"",_xlpm.CSVVal
)),"No")</f>
        <v>No</v>
      </c>
      <c r="Q67" s="2" t="str" cm="1">
        <f t="array" ref="Q67">IFERROR(_xlfn.LET(
_xlpm.CSVVal,_xlfn.XLOOKUP($A67,CSV!$A:$A,CSV!AC:AC,""),
_xlpm.MacVal,_xlfn.XLOOKUP($A67,Output_Mac!$A:$A,Output_Mac!U:U,""),
_xlpm.MyAuditVal,_xlfn.XLOOKUP($A67,My_Audit!$A:$A,My_Audit!R:R,""),
_xlfn.IFS(_xlpm.MyAuditVal&lt;&gt;"",UPPER(_xlpm.MyAuditVal),_xlpm.MacVal&lt;&gt;"",_xlpm.MacVal,_xlpm.CSVVal&lt;&gt;"",_xlpm.CSVVal
)),"")</f>
        <v/>
      </c>
      <c r="X67" t="str">
        <f>_xlfn.LET(
    _xlpm.MacVal, _xlfn.XLOOKUP($A67, Output_Mac!$A:$A, Output_Mac!AB:AB, ""),
    _xlpm.MyAuditVal, _xlfn.XLOOKUP($A67, My_Audit!$A:$A, My_Audit!N:N, ""),
    _xlfn.TEXTJOIN(", ", TRUE, _xlpm.MyAuditVal, _xlpm.MacVal)
)</f>
        <v/>
      </c>
    </row>
    <row r="68" spans="1:24">
      <c r="A68" s="2" t="str">
        <f>_xlfn.TEXTJOIN("",TRUE,Input!$B$2,ROW(My_Audit!A67))</f>
        <v>X67</v>
      </c>
      <c r="B68" s="2" t="str">
        <f>_xlfn.TEXTJOIN("-",TRUE,"ITD",Input!$A$2,A68)</f>
        <v>ITD-SHR-X67</v>
      </c>
      <c r="C68" s="2" t="str" cm="1">
        <f t="array" ref="C68">IFERROR(_xlfn.LET(
_xlpm.CSVVal,_xlfn.XLOOKUP($A68,CSV!$A:$A,CSV!B:B,""),
_xlpm.MacVal,_xlfn.XLOOKUP($A68,Output_Mac!$A:$A,Output_Mac!B:B,""),
_xlpm.MyAuditVal,_xlfn.XLOOKUP($A68,My_Audit!$A:$A,My_Audit!B:B,""),
_xlfn.IFS(_xlpm.MyAuditVal&lt;&gt;"",UPPER(_xlpm.MyAuditVal),_xlpm.MacVal&lt;&gt;"",_xlpm.MacVal,_xlpm.CSVVal&lt;&gt;"",_xlpm.CSVVal
)),"")</f>
        <v/>
      </c>
      <c r="D68" s="2" t="str" cm="1">
        <f t="array" ref="D68">IFERROR(_xlfn.LET(
_xlpm.CSVVal,_xlfn.XLOOKUP($A68,CSV!$A:$A,CSV!D:D,""),
_xlpm.MacVal,_xlfn.XLOOKUP($A68,Output_Mac!$A:$A,Output_Mac!C:C,""),
_xlpm.MyAuditVal,_xlfn.XLOOKUP($A68,My_Audit!$A:$A,My_Audit!C:C,""),
_xlfn.IFS(_xlpm.MyAuditVal&lt;&gt;"",_xlpm.MyAuditVal,_xlpm.MacVal&lt;&gt;"",_xlpm.MacVal,_xlpm.CSVVal&lt;&gt;"",_xlpm.CSVVal
)),"")</f>
        <v/>
      </c>
      <c r="E68" s="2" t="str">
        <f>_xlfn.XLOOKUP(A68,My_Audit!A:A,My_Audit!D:D,"")</f>
        <v/>
      </c>
      <c r="F68" s="2" t="str" cm="1">
        <f t="array" ref="F68">IFERROR(_xlfn.LET(
_xlpm.CSVVal,_xlfn.XLOOKUP($A68,CSV!$A:$A,CSV!F:F,""),
_xlpm.MacVal,_xlfn.XLOOKUP($A68,Output_Mac!$A:$A,Output_Mac!E:E,""),
_xlpm.MyAuditVal,_xlfn.XLOOKUP($A68,My_Audit!$A:$A,My_Audit!E:E,""),
_xlfn.IFS(_xlpm.MyAuditVal&lt;&gt;"",_xlpm.MyAuditVal,_xlpm.MacVal&lt;&gt;"",_xlpm.MacVal,_xlpm.CSVVal&lt;&gt;"",_xlpm.CSVVal
)),"")</f>
        <v/>
      </c>
      <c r="G68" s="2" t="str" cm="1">
        <f t="array" ref="G68">IFERROR(_xlfn.LET(
_xlpm.CSVVal,_xlfn.XLOOKUP($A68,CSV!$A:$A,CSV!G:G,""),
_xlpm.MacVal,_xlfn.XLOOKUP($A68,Output_Mac!$A:$A,Output_Mac!F:F,""),
_xlpm.MyAuditVal,_xlfn.XLOOKUP($A68,My_Audit!$A:$A,My_Audit!F:F,""),
_xlfn.IFS(_xlpm.MyAuditVal&lt;&gt;"",_xlpm.MyAuditVal,_xlpm.MacVal&lt;&gt;"",_xlpm.MacVal,_xlpm.CSVVal&lt;&gt;"",PROPER(_xlpm.CSVVal)
)),"")</f>
        <v/>
      </c>
      <c r="H68" s="2" t="str" cm="1">
        <f t="array" ref="H68">IFERROR(_xlfn.LET(
_xlpm.CSVVal,_xlfn.XLOOKUP($A68,CSV!$A:$A,CSV!H:H,""),
_xlpm.MacVal,_xlfn.XLOOKUP($A68,Output_Mac!$A:$A,Output_Mac!H:H,""),
_xlpm.MyAuditVal,_xlfn.XLOOKUP($A68,My_Audit!$A:$A,My_Audit!G:G,""),
_xlfn.IFS(_xlpm.MyAuditVal&lt;&gt;"",_xlpm.MyAuditVal,_xlpm.MacVal&lt;&gt;"",_xlpm.MacVal,_xlpm.CSVVal&lt;&gt;"",_xlpm.CSVVal
)),"")</f>
        <v/>
      </c>
      <c r="I68" s="2" t="str">
        <f>_xlfn.XLOOKUP(A68,Output_Mac!A:A,Output_Mac!I:I,"")</f>
        <v/>
      </c>
      <c r="J68" s="2" t="str" cm="1">
        <f t="array" ref="J68">IFERROR(_xlfn.LET(
_xlpm.CSVVal,_xlfn.XLOOKUP($A68,CSV!$A:$A,CSV!I:I,""),
_xlpm.MacVal,_xlfn.XLOOKUP($A68,Output_Mac!$A:$A,Output_Mac!J:J,""),
_xlpm.MyAuditVal,_xlfn.XLOOKUP($A68,My_Audit!$A:$A,My_Audit!I:I,""),
_xlfn.IFS(_xlpm.MyAuditVal&lt;&gt;"",UPPER(_xlpm.MyAuditVal),_xlpm.MacVal&lt;&gt;"",_xlpm.MacVal,_xlpm.CSVVal&lt;&gt;"",_xlpm.CSVVal
)),"")</f>
        <v/>
      </c>
      <c r="K68" s="2" t="str" cm="1">
        <f t="array" ref="K68">IFERROR(_xlfn.LET(
_xlpm.CSVVal,_xlfn.XLOOKUP($A68,CSV!$A:$A,CSV!K:K,""),
_xlpm.MacVal,_xlfn.XLOOKUP($A68,Output_Mac!$A:$A,Output_Mac!K:K,""),
_xlpm.MyAuditVal,_xlfn.XLOOKUP($A68,My_Audit!$A:$A,My_Audit!J:J,""),
_xlfn.IFS(_xlpm.MyAuditVal&lt;&gt;"",UPPER(_xlpm.MyAuditVal),_xlpm.MacVal&lt;&gt;"",_xlpm.MacVal,_xlpm.CSVVal&lt;&gt;"",_xlpm.CSVVal
)),"")</f>
        <v/>
      </c>
      <c r="L68" s="2" t="str" cm="1">
        <f t="array" ref="L68">IFERROR(_xlfn.LET(
_xlpm.CSVVal,_xlfn.XLOOKUP($A68,CSV!$A:$A,CSV!P:P,""),
_xlpm.MacVal,_xlfn.XLOOKUP($A68,Output_Mac!$A:$A,Output_Mac!L:L,""),
_xlpm.MyAuditVal,_xlfn.XLOOKUP($A68,My_Audit!$A:$A,My_Audit!K:K,""),
_xlfn.IFS(_xlpm.MyAuditVal&lt;&gt;"",UPPER(_xlpm.MyAuditVal),_xlpm.MacVal&lt;&gt;"",_xlpm.MacVal,_xlpm.CSVVal&lt;&gt;"",_xlpm.CSVVal
)),"")</f>
        <v/>
      </c>
      <c r="M68" s="2" t="str" cm="1">
        <f t="array" ref="M68">IFERROR(_xlfn.LET(
_xlpm.CSVVal,_xlfn.XLOOKUP($A68,CSV!$A:$A,CSV!Q:Q,""),
_xlpm.MacVal,_xlfn.XLOOKUP($A68,Output_Mac!$A:$A,Output_Mac!M:M,""),
_xlpm.MyAuditVal,_xlfn.XLOOKUP($A68,My_Audit!$A:$A,My_Audit!L:L,""),
_xlfn.IFS(_xlpm.MyAuditVal&lt;&gt;"",UPPER(_xlpm.MyAuditVal),_xlpm.MacVal&lt;&gt;"",_xlpm.MacVal,_xlpm.CSVVal&lt;&gt;"",_xlpm.CSVVal
)),"")</f>
        <v/>
      </c>
      <c r="O68" s="2" t="str">
        <f>_xlfn.LET(
    _xlpm.CSVVal, _xlfn.XLOOKUP($A68, CSV!$A:$A, CSV!AA:AA, ""),
    _xlpm.MacVal, _xlfn.XLOOKUP($A68, Output_Mac!$A:$A, Output_Mac!S:S, ""),
    _xlpm.MyAuditVal, _xlfn.XLOOKUP($A68, My_Audit!$A:$A, My_Audit!P:P, ""),
    _xlfn.TEXTJOIN(", ", TRUE, _xlpm.MyAuditVal, _xlpm.MacVal, _xlpm.CSVVal)
)</f>
        <v/>
      </c>
      <c r="P68" s="2" t="str" cm="1">
        <f t="array" ref="P68">IFERROR(_xlfn.LET(
_xlpm.CSVVal,_xlfn.XLOOKUP($A68,CSV!$A:$A,CSV!AB:AB,""),
_xlpm.MacVal,_xlfn.XLOOKUP($A68,Output_Mac!$A:$A,Output_Mac!T:T,""),
_xlpm.MyAuditVal,_xlfn.XLOOKUP($A68,My_Audit!$A:$A,My_Audit!Q:Q,""),
_xlfn.IFS(_xlpm.MyAuditVal&lt;&gt;"",UPPER(_xlpm.MyAuditVal),_xlpm.MacVal&lt;&gt;"",_xlpm.MacVal,_xlpm.CSVVal&lt;&gt;"",_xlpm.CSVVal
)),"No")</f>
        <v>No</v>
      </c>
      <c r="Q68" s="2" t="str" cm="1">
        <f t="array" ref="Q68">IFERROR(_xlfn.LET(
_xlpm.CSVVal,_xlfn.XLOOKUP($A68,CSV!$A:$A,CSV!AC:AC,""),
_xlpm.MacVal,_xlfn.XLOOKUP($A68,Output_Mac!$A:$A,Output_Mac!U:U,""),
_xlpm.MyAuditVal,_xlfn.XLOOKUP($A68,My_Audit!$A:$A,My_Audit!R:R,""),
_xlfn.IFS(_xlpm.MyAuditVal&lt;&gt;"",UPPER(_xlpm.MyAuditVal),_xlpm.MacVal&lt;&gt;"",_xlpm.MacVal,_xlpm.CSVVal&lt;&gt;"",_xlpm.CSVVal
)),"")</f>
        <v/>
      </c>
      <c r="X68" t="str">
        <f>_xlfn.LET(
    _xlpm.MacVal, _xlfn.XLOOKUP($A68, Output_Mac!$A:$A, Output_Mac!AB:AB, ""),
    _xlpm.MyAuditVal, _xlfn.XLOOKUP($A68, My_Audit!$A:$A, My_Audit!N:N, ""),
    _xlfn.TEXTJOIN(", ", TRUE, _xlpm.MyAuditVal, _xlpm.MacVal)
)</f>
        <v/>
      </c>
    </row>
    <row r="69" spans="1:24">
      <c r="A69" s="2" t="str">
        <f>_xlfn.TEXTJOIN("",TRUE,Input!$B$2,ROW(My_Audit!A68))</f>
        <v>X68</v>
      </c>
      <c r="B69" s="2" t="str">
        <f>_xlfn.TEXTJOIN("-",TRUE,"ITD",Input!$A$2,A69)</f>
        <v>ITD-SHR-X68</v>
      </c>
      <c r="C69" s="2" t="str" cm="1">
        <f t="array" ref="C69">IFERROR(_xlfn.LET(
_xlpm.CSVVal,_xlfn.XLOOKUP($A69,CSV!$A:$A,CSV!B:B,""),
_xlpm.MacVal,_xlfn.XLOOKUP($A69,Output_Mac!$A:$A,Output_Mac!B:B,""),
_xlpm.MyAuditVal,_xlfn.XLOOKUP($A69,My_Audit!$A:$A,My_Audit!B:B,""),
_xlfn.IFS(_xlpm.MyAuditVal&lt;&gt;"",UPPER(_xlpm.MyAuditVal),_xlpm.MacVal&lt;&gt;"",_xlpm.MacVal,_xlpm.CSVVal&lt;&gt;"",_xlpm.CSVVal
)),"")</f>
        <v/>
      </c>
      <c r="D69" s="2" t="str" cm="1">
        <f t="array" ref="D69">IFERROR(_xlfn.LET(
_xlpm.CSVVal,_xlfn.XLOOKUP($A69,CSV!$A:$A,CSV!D:D,""),
_xlpm.MacVal,_xlfn.XLOOKUP($A69,Output_Mac!$A:$A,Output_Mac!C:C,""),
_xlpm.MyAuditVal,_xlfn.XLOOKUP($A69,My_Audit!$A:$A,My_Audit!C:C,""),
_xlfn.IFS(_xlpm.MyAuditVal&lt;&gt;"",_xlpm.MyAuditVal,_xlpm.MacVal&lt;&gt;"",_xlpm.MacVal,_xlpm.CSVVal&lt;&gt;"",_xlpm.CSVVal
)),"")</f>
        <v/>
      </c>
      <c r="E69" s="2" t="str">
        <f>_xlfn.XLOOKUP(A69,My_Audit!A:A,My_Audit!D:D,"")</f>
        <v/>
      </c>
      <c r="F69" s="2" t="str" cm="1">
        <f t="array" ref="F69">IFERROR(_xlfn.LET(
_xlpm.CSVVal,_xlfn.XLOOKUP($A69,CSV!$A:$A,CSV!F:F,""),
_xlpm.MacVal,_xlfn.XLOOKUP($A69,Output_Mac!$A:$A,Output_Mac!E:E,""),
_xlpm.MyAuditVal,_xlfn.XLOOKUP($A69,My_Audit!$A:$A,My_Audit!E:E,""),
_xlfn.IFS(_xlpm.MyAuditVal&lt;&gt;"",_xlpm.MyAuditVal,_xlpm.MacVal&lt;&gt;"",_xlpm.MacVal,_xlpm.CSVVal&lt;&gt;"",_xlpm.CSVVal
)),"")</f>
        <v/>
      </c>
      <c r="G69" s="2" t="str" cm="1">
        <f t="array" ref="G69">IFERROR(_xlfn.LET(
_xlpm.CSVVal,_xlfn.XLOOKUP($A69,CSV!$A:$A,CSV!G:G,""),
_xlpm.MacVal,_xlfn.XLOOKUP($A69,Output_Mac!$A:$A,Output_Mac!F:F,""),
_xlpm.MyAuditVal,_xlfn.XLOOKUP($A69,My_Audit!$A:$A,My_Audit!F:F,""),
_xlfn.IFS(_xlpm.MyAuditVal&lt;&gt;"",_xlpm.MyAuditVal,_xlpm.MacVal&lt;&gt;"",_xlpm.MacVal,_xlpm.CSVVal&lt;&gt;"",PROPER(_xlpm.CSVVal)
)),"")</f>
        <v/>
      </c>
      <c r="H69" s="2" t="str" cm="1">
        <f t="array" ref="H69">IFERROR(_xlfn.LET(
_xlpm.CSVVal,_xlfn.XLOOKUP($A69,CSV!$A:$A,CSV!H:H,""),
_xlpm.MacVal,_xlfn.XLOOKUP($A69,Output_Mac!$A:$A,Output_Mac!H:H,""),
_xlpm.MyAuditVal,_xlfn.XLOOKUP($A69,My_Audit!$A:$A,My_Audit!G:G,""),
_xlfn.IFS(_xlpm.MyAuditVal&lt;&gt;"",_xlpm.MyAuditVal,_xlpm.MacVal&lt;&gt;"",_xlpm.MacVal,_xlpm.CSVVal&lt;&gt;"",_xlpm.CSVVal
)),"")</f>
        <v/>
      </c>
      <c r="I69" s="2" t="str">
        <f>_xlfn.XLOOKUP(A69,Output_Mac!A:A,Output_Mac!I:I,"")</f>
        <v/>
      </c>
      <c r="J69" s="2" t="str" cm="1">
        <f t="array" ref="J69">IFERROR(_xlfn.LET(
_xlpm.CSVVal,_xlfn.XLOOKUP($A69,CSV!$A:$A,CSV!I:I,""),
_xlpm.MacVal,_xlfn.XLOOKUP($A69,Output_Mac!$A:$A,Output_Mac!J:J,""),
_xlpm.MyAuditVal,_xlfn.XLOOKUP($A69,My_Audit!$A:$A,My_Audit!I:I,""),
_xlfn.IFS(_xlpm.MyAuditVal&lt;&gt;"",UPPER(_xlpm.MyAuditVal),_xlpm.MacVal&lt;&gt;"",_xlpm.MacVal,_xlpm.CSVVal&lt;&gt;"",_xlpm.CSVVal
)),"")</f>
        <v/>
      </c>
      <c r="K69" s="2" t="str" cm="1">
        <f t="array" ref="K69">IFERROR(_xlfn.LET(
_xlpm.CSVVal,_xlfn.XLOOKUP($A69,CSV!$A:$A,CSV!K:K,""),
_xlpm.MacVal,_xlfn.XLOOKUP($A69,Output_Mac!$A:$A,Output_Mac!K:K,""),
_xlpm.MyAuditVal,_xlfn.XLOOKUP($A69,My_Audit!$A:$A,My_Audit!J:J,""),
_xlfn.IFS(_xlpm.MyAuditVal&lt;&gt;"",UPPER(_xlpm.MyAuditVal),_xlpm.MacVal&lt;&gt;"",_xlpm.MacVal,_xlpm.CSVVal&lt;&gt;"",_xlpm.CSVVal
)),"")</f>
        <v/>
      </c>
      <c r="L69" s="2" t="str" cm="1">
        <f t="array" ref="L69">IFERROR(_xlfn.LET(
_xlpm.CSVVal,_xlfn.XLOOKUP($A69,CSV!$A:$A,CSV!P:P,""),
_xlpm.MacVal,_xlfn.XLOOKUP($A69,Output_Mac!$A:$A,Output_Mac!L:L,""),
_xlpm.MyAuditVal,_xlfn.XLOOKUP($A69,My_Audit!$A:$A,My_Audit!K:K,""),
_xlfn.IFS(_xlpm.MyAuditVal&lt;&gt;"",UPPER(_xlpm.MyAuditVal),_xlpm.MacVal&lt;&gt;"",_xlpm.MacVal,_xlpm.CSVVal&lt;&gt;"",_xlpm.CSVVal
)),"")</f>
        <v/>
      </c>
      <c r="M69" s="2" t="str" cm="1">
        <f t="array" ref="M69">IFERROR(_xlfn.LET(
_xlpm.CSVVal,_xlfn.XLOOKUP($A69,CSV!$A:$A,CSV!Q:Q,""),
_xlpm.MacVal,_xlfn.XLOOKUP($A69,Output_Mac!$A:$A,Output_Mac!M:M,""),
_xlpm.MyAuditVal,_xlfn.XLOOKUP($A69,My_Audit!$A:$A,My_Audit!L:L,""),
_xlfn.IFS(_xlpm.MyAuditVal&lt;&gt;"",UPPER(_xlpm.MyAuditVal),_xlpm.MacVal&lt;&gt;"",_xlpm.MacVal,_xlpm.CSVVal&lt;&gt;"",_xlpm.CSVVal
)),"")</f>
        <v/>
      </c>
      <c r="O69" s="2" t="str">
        <f>_xlfn.LET(
    _xlpm.CSVVal, _xlfn.XLOOKUP($A69, CSV!$A:$A, CSV!AA:AA, ""),
    _xlpm.MacVal, _xlfn.XLOOKUP($A69, Output_Mac!$A:$A, Output_Mac!S:S, ""),
    _xlpm.MyAuditVal, _xlfn.XLOOKUP($A69, My_Audit!$A:$A, My_Audit!P:P, ""),
    _xlfn.TEXTJOIN(", ", TRUE, _xlpm.MyAuditVal, _xlpm.MacVal, _xlpm.CSVVal)
)</f>
        <v/>
      </c>
      <c r="P69" s="2" t="str" cm="1">
        <f t="array" ref="P69">IFERROR(_xlfn.LET(
_xlpm.CSVVal,_xlfn.XLOOKUP($A69,CSV!$A:$A,CSV!AB:AB,""),
_xlpm.MacVal,_xlfn.XLOOKUP($A69,Output_Mac!$A:$A,Output_Mac!T:T,""),
_xlpm.MyAuditVal,_xlfn.XLOOKUP($A69,My_Audit!$A:$A,My_Audit!Q:Q,""),
_xlfn.IFS(_xlpm.MyAuditVal&lt;&gt;"",UPPER(_xlpm.MyAuditVal),_xlpm.MacVal&lt;&gt;"",_xlpm.MacVal,_xlpm.CSVVal&lt;&gt;"",_xlpm.CSVVal
)),"No")</f>
        <v>No</v>
      </c>
      <c r="Q69" s="2" t="str" cm="1">
        <f t="array" ref="Q69">IFERROR(_xlfn.LET(
_xlpm.CSVVal,_xlfn.XLOOKUP($A69,CSV!$A:$A,CSV!AC:AC,""),
_xlpm.MacVal,_xlfn.XLOOKUP($A69,Output_Mac!$A:$A,Output_Mac!U:U,""),
_xlpm.MyAuditVal,_xlfn.XLOOKUP($A69,My_Audit!$A:$A,My_Audit!R:R,""),
_xlfn.IFS(_xlpm.MyAuditVal&lt;&gt;"",UPPER(_xlpm.MyAuditVal),_xlpm.MacVal&lt;&gt;"",_xlpm.MacVal,_xlpm.CSVVal&lt;&gt;"",_xlpm.CSVVal
)),"")</f>
        <v/>
      </c>
      <c r="X69" t="str">
        <f>_xlfn.LET(
    _xlpm.MacVal, _xlfn.XLOOKUP($A69, Output_Mac!$A:$A, Output_Mac!AB:AB, ""),
    _xlpm.MyAuditVal, _xlfn.XLOOKUP($A69, My_Audit!$A:$A, My_Audit!N:N, ""),
    _xlfn.TEXTJOIN(", ", TRUE, _xlpm.MyAuditVal, _xlpm.MacVal)
)</f>
        <v/>
      </c>
    </row>
    <row r="70" spans="1:24">
      <c r="A70" s="2" t="str">
        <f>_xlfn.TEXTJOIN("",TRUE,Input!$B$2,ROW(My_Audit!A69))</f>
        <v>X69</v>
      </c>
      <c r="B70" s="2" t="str">
        <f>_xlfn.TEXTJOIN("-",TRUE,"ITD",Input!$A$2,A70)</f>
        <v>ITD-SHR-X69</v>
      </c>
      <c r="C70" s="2" t="str" cm="1">
        <f t="array" ref="C70">IFERROR(_xlfn.LET(
_xlpm.CSVVal,_xlfn.XLOOKUP($A70,CSV!$A:$A,CSV!B:B,""),
_xlpm.MacVal,_xlfn.XLOOKUP($A70,Output_Mac!$A:$A,Output_Mac!B:B,""),
_xlpm.MyAuditVal,_xlfn.XLOOKUP($A70,My_Audit!$A:$A,My_Audit!B:B,""),
_xlfn.IFS(_xlpm.MyAuditVal&lt;&gt;"",UPPER(_xlpm.MyAuditVal),_xlpm.MacVal&lt;&gt;"",_xlpm.MacVal,_xlpm.CSVVal&lt;&gt;"",_xlpm.CSVVal
)),"")</f>
        <v/>
      </c>
      <c r="D70" s="2" t="str" cm="1">
        <f t="array" ref="D70">IFERROR(_xlfn.LET(
_xlpm.CSVVal,_xlfn.XLOOKUP($A70,CSV!$A:$A,CSV!D:D,""),
_xlpm.MacVal,_xlfn.XLOOKUP($A70,Output_Mac!$A:$A,Output_Mac!C:C,""),
_xlpm.MyAuditVal,_xlfn.XLOOKUP($A70,My_Audit!$A:$A,My_Audit!C:C,""),
_xlfn.IFS(_xlpm.MyAuditVal&lt;&gt;"",_xlpm.MyAuditVal,_xlpm.MacVal&lt;&gt;"",_xlpm.MacVal,_xlpm.CSVVal&lt;&gt;"",_xlpm.CSVVal
)),"")</f>
        <v/>
      </c>
      <c r="E70" s="2" t="str">
        <f>_xlfn.XLOOKUP(A70,My_Audit!A:A,My_Audit!D:D,"")</f>
        <v/>
      </c>
      <c r="F70" s="2" t="str" cm="1">
        <f t="array" ref="F70">IFERROR(_xlfn.LET(
_xlpm.CSVVal,_xlfn.XLOOKUP($A70,CSV!$A:$A,CSV!F:F,""),
_xlpm.MacVal,_xlfn.XLOOKUP($A70,Output_Mac!$A:$A,Output_Mac!E:E,""),
_xlpm.MyAuditVal,_xlfn.XLOOKUP($A70,My_Audit!$A:$A,My_Audit!E:E,""),
_xlfn.IFS(_xlpm.MyAuditVal&lt;&gt;"",_xlpm.MyAuditVal,_xlpm.MacVal&lt;&gt;"",_xlpm.MacVal,_xlpm.CSVVal&lt;&gt;"",_xlpm.CSVVal
)),"")</f>
        <v/>
      </c>
      <c r="G70" s="2" t="str" cm="1">
        <f t="array" ref="G70">IFERROR(_xlfn.LET(
_xlpm.CSVVal,_xlfn.XLOOKUP($A70,CSV!$A:$A,CSV!G:G,""),
_xlpm.MacVal,_xlfn.XLOOKUP($A70,Output_Mac!$A:$A,Output_Mac!F:F,""),
_xlpm.MyAuditVal,_xlfn.XLOOKUP($A70,My_Audit!$A:$A,My_Audit!F:F,""),
_xlfn.IFS(_xlpm.MyAuditVal&lt;&gt;"",_xlpm.MyAuditVal,_xlpm.MacVal&lt;&gt;"",_xlpm.MacVal,_xlpm.CSVVal&lt;&gt;"",PROPER(_xlpm.CSVVal)
)),"")</f>
        <v/>
      </c>
      <c r="H70" s="2" t="str" cm="1">
        <f t="array" ref="H70">IFERROR(_xlfn.LET(
_xlpm.CSVVal,_xlfn.XLOOKUP($A70,CSV!$A:$A,CSV!H:H,""),
_xlpm.MacVal,_xlfn.XLOOKUP($A70,Output_Mac!$A:$A,Output_Mac!H:H,""),
_xlpm.MyAuditVal,_xlfn.XLOOKUP($A70,My_Audit!$A:$A,My_Audit!G:G,""),
_xlfn.IFS(_xlpm.MyAuditVal&lt;&gt;"",_xlpm.MyAuditVal,_xlpm.MacVal&lt;&gt;"",_xlpm.MacVal,_xlpm.CSVVal&lt;&gt;"",_xlpm.CSVVal
)),"")</f>
        <v/>
      </c>
      <c r="I70" s="2" t="str">
        <f>_xlfn.XLOOKUP(A70,Output_Mac!A:A,Output_Mac!I:I,"")</f>
        <v/>
      </c>
      <c r="J70" s="2" t="str" cm="1">
        <f t="array" ref="J70">IFERROR(_xlfn.LET(
_xlpm.CSVVal,_xlfn.XLOOKUP($A70,CSV!$A:$A,CSV!I:I,""),
_xlpm.MacVal,_xlfn.XLOOKUP($A70,Output_Mac!$A:$A,Output_Mac!J:J,""),
_xlpm.MyAuditVal,_xlfn.XLOOKUP($A70,My_Audit!$A:$A,My_Audit!I:I,""),
_xlfn.IFS(_xlpm.MyAuditVal&lt;&gt;"",UPPER(_xlpm.MyAuditVal),_xlpm.MacVal&lt;&gt;"",_xlpm.MacVal,_xlpm.CSVVal&lt;&gt;"",_xlpm.CSVVal
)),"")</f>
        <v/>
      </c>
      <c r="K70" s="2" t="str" cm="1">
        <f t="array" ref="K70">IFERROR(_xlfn.LET(
_xlpm.CSVVal,_xlfn.XLOOKUP($A70,CSV!$A:$A,CSV!K:K,""),
_xlpm.MacVal,_xlfn.XLOOKUP($A70,Output_Mac!$A:$A,Output_Mac!K:K,""),
_xlpm.MyAuditVal,_xlfn.XLOOKUP($A70,My_Audit!$A:$A,My_Audit!J:J,""),
_xlfn.IFS(_xlpm.MyAuditVal&lt;&gt;"",UPPER(_xlpm.MyAuditVal),_xlpm.MacVal&lt;&gt;"",_xlpm.MacVal,_xlpm.CSVVal&lt;&gt;"",_xlpm.CSVVal
)),"")</f>
        <v/>
      </c>
      <c r="L70" s="2" t="str" cm="1">
        <f t="array" ref="L70">IFERROR(_xlfn.LET(
_xlpm.CSVVal,_xlfn.XLOOKUP($A70,CSV!$A:$A,CSV!P:P,""),
_xlpm.MacVal,_xlfn.XLOOKUP($A70,Output_Mac!$A:$A,Output_Mac!L:L,""),
_xlpm.MyAuditVal,_xlfn.XLOOKUP($A70,My_Audit!$A:$A,My_Audit!K:K,""),
_xlfn.IFS(_xlpm.MyAuditVal&lt;&gt;"",UPPER(_xlpm.MyAuditVal),_xlpm.MacVal&lt;&gt;"",_xlpm.MacVal,_xlpm.CSVVal&lt;&gt;"",_xlpm.CSVVal
)),"")</f>
        <v/>
      </c>
      <c r="M70" s="2" t="str" cm="1">
        <f t="array" ref="M70">IFERROR(_xlfn.LET(
_xlpm.CSVVal,_xlfn.XLOOKUP($A70,CSV!$A:$A,CSV!Q:Q,""),
_xlpm.MacVal,_xlfn.XLOOKUP($A70,Output_Mac!$A:$A,Output_Mac!M:M,""),
_xlpm.MyAuditVal,_xlfn.XLOOKUP($A70,My_Audit!$A:$A,My_Audit!L:L,""),
_xlfn.IFS(_xlpm.MyAuditVal&lt;&gt;"",UPPER(_xlpm.MyAuditVal),_xlpm.MacVal&lt;&gt;"",_xlpm.MacVal,_xlpm.CSVVal&lt;&gt;"",_xlpm.CSVVal
)),"")</f>
        <v/>
      </c>
      <c r="O70" s="2" t="str">
        <f>_xlfn.LET(
    _xlpm.CSVVal, _xlfn.XLOOKUP($A70, CSV!$A:$A, CSV!AA:AA, ""),
    _xlpm.MacVal, _xlfn.XLOOKUP($A70, Output_Mac!$A:$A, Output_Mac!S:S, ""),
    _xlpm.MyAuditVal, _xlfn.XLOOKUP($A70, My_Audit!$A:$A, My_Audit!P:P, ""),
    _xlfn.TEXTJOIN(", ", TRUE, _xlpm.MyAuditVal, _xlpm.MacVal, _xlpm.CSVVal)
)</f>
        <v/>
      </c>
      <c r="P70" s="2" t="str" cm="1">
        <f t="array" ref="P70">IFERROR(_xlfn.LET(
_xlpm.CSVVal,_xlfn.XLOOKUP($A70,CSV!$A:$A,CSV!AB:AB,""),
_xlpm.MacVal,_xlfn.XLOOKUP($A70,Output_Mac!$A:$A,Output_Mac!T:T,""),
_xlpm.MyAuditVal,_xlfn.XLOOKUP($A70,My_Audit!$A:$A,My_Audit!Q:Q,""),
_xlfn.IFS(_xlpm.MyAuditVal&lt;&gt;"",UPPER(_xlpm.MyAuditVal),_xlpm.MacVal&lt;&gt;"",_xlpm.MacVal,_xlpm.CSVVal&lt;&gt;"",_xlpm.CSVVal
)),"No")</f>
        <v>No</v>
      </c>
      <c r="Q70" s="2" t="str" cm="1">
        <f t="array" ref="Q70">IFERROR(_xlfn.LET(
_xlpm.CSVVal,_xlfn.XLOOKUP($A70,CSV!$A:$A,CSV!AC:AC,""),
_xlpm.MacVal,_xlfn.XLOOKUP($A70,Output_Mac!$A:$A,Output_Mac!U:U,""),
_xlpm.MyAuditVal,_xlfn.XLOOKUP($A70,My_Audit!$A:$A,My_Audit!R:R,""),
_xlfn.IFS(_xlpm.MyAuditVal&lt;&gt;"",UPPER(_xlpm.MyAuditVal),_xlpm.MacVal&lt;&gt;"",_xlpm.MacVal,_xlpm.CSVVal&lt;&gt;"",_xlpm.CSVVal
)),"")</f>
        <v/>
      </c>
      <c r="X70" t="str">
        <f>_xlfn.LET(
    _xlpm.MacVal, _xlfn.XLOOKUP($A70, Output_Mac!$A:$A, Output_Mac!AB:AB, ""),
    _xlpm.MyAuditVal, _xlfn.XLOOKUP($A70, My_Audit!$A:$A, My_Audit!N:N, ""),
    _xlfn.TEXTJOIN(", ", TRUE, _xlpm.MyAuditVal, _xlpm.MacVal)
)</f>
        <v/>
      </c>
    </row>
    <row r="71" spans="1:24">
      <c r="A71" s="2" t="str">
        <f>_xlfn.TEXTJOIN("",TRUE,Input!$B$2,ROW(My_Audit!A70))</f>
        <v>X70</v>
      </c>
      <c r="B71" s="2" t="str">
        <f>_xlfn.TEXTJOIN("-",TRUE,"ITD",Input!$A$2,A71)</f>
        <v>ITD-SHR-X70</v>
      </c>
      <c r="C71" s="2" t="str" cm="1">
        <f t="array" ref="C71">IFERROR(_xlfn.LET(
_xlpm.CSVVal,_xlfn.XLOOKUP($A71,CSV!$A:$A,CSV!B:B,""),
_xlpm.MacVal,_xlfn.XLOOKUP($A71,Output_Mac!$A:$A,Output_Mac!B:B,""),
_xlpm.MyAuditVal,_xlfn.XLOOKUP($A71,My_Audit!$A:$A,My_Audit!B:B,""),
_xlfn.IFS(_xlpm.MyAuditVal&lt;&gt;"",UPPER(_xlpm.MyAuditVal),_xlpm.MacVal&lt;&gt;"",_xlpm.MacVal,_xlpm.CSVVal&lt;&gt;"",_xlpm.CSVVal
)),"")</f>
        <v/>
      </c>
      <c r="D71" s="2" t="str" cm="1">
        <f t="array" ref="D71">IFERROR(_xlfn.LET(
_xlpm.CSVVal,_xlfn.XLOOKUP($A71,CSV!$A:$A,CSV!D:D,""),
_xlpm.MacVal,_xlfn.XLOOKUP($A71,Output_Mac!$A:$A,Output_Mac!C:C,""),
_xlpm.MyAuditVal,_xlfn.XLOOKUP($A71,My_Audit!$A:$A,My_Audit!C:C,""),
_xlfn.IFS(_xlpm.MyAuditVal&lt;&gt;"",_xlpm.MyAuditVal,_xlpm.MacVal&lt;&gt;"",_xlpm.MacVal,_xlpm.CSVVal&lt;&gt;"",_xlpm.CSVVal
)),"")</f>
        <v/>
      </c>
      <c r="E71" s="2" t="str">
        <f>_xlfn.XLOOKUP(A71,My_Audit!A:A,My_Audit!D:D,"")</f>
        <v/>
      </c>
      <c r="F71" s="2" t="str" cm="1">
        <f t="array" ref="F71">IFERROR(_xlfn.LET(
_xlpm.CSVVal,_xlfn.XLOOKUP($A71,CSV!$A:$A,CSV!F:F,""),
_xlpm.MacVal,_xlfn.XLOOKUP($A71,Output_Mac!$A:$A,Output_Mac!E:E,""),
_xlpm.MyAuditVal,_xlfn.XLOOKUP($A71,My_Audit!$A:$A,My_Audit!E:E,""),
_xlfn.IFS(_xlpm.MyAuditVal&lt;&gt;"",_xlpm.MyAuditVal,_xlpm.MacVal&lt;&gt;"",_xlpm.MacVal,_xlpm.CSVVal&lt;&gt;"",_xlpm.CSVVal
)),"")</f>
        <v/>
      </c>
      <c r="G71" s="2" t="str" cm="1">
        <f t="array" ref="G71">IFERROR(_xlfn.LET(
_xlpm.CSVVal,_xlfn.XLOOKUP($A71,CSV!$A:$A,CSV!G:G,""),
_xlpm.MacVal,_xlfn.XLOOKUP($A71,Output_Mac!$A:$A,Output_Mac!F:F,""),
_xlpm.MyAuditVal,_xlfn.XLOOKUP($A71,My_Audit!$A:$A,My_Audit!F:F,""),
_xlfn.IFS(_xlpm.MyAuditVal&lt;&gt;"",_xlpm.MyAuditVal,_xlpm.MacVal&lt;&gt;"",_xlpm.MacVal,_xlpm.CSVVal&lt;&gt;"",PROPER(_xlpm.CSVVal)
)),"")</f>
        <v/>
      </c>
      <c r="H71" s="2" t="str" cm="1">
        <f t="array" ref="H71">IFERROR(_xlfn.LET(
_xlpm.CSVVal,_xlfn.XLOOKUP($A71,CSV!$A:$A,CSV!H:H,""),
_xlpm.MacVal,_xlfn.XLOOKUP($A71,Output_Mac!$A:$A,Output_Mac!H:H,""),
_xlpm.MyAuditVal,_xlfn.XLOOKUP($A71,My_Audit!$A:$A,My_Audit!G:G,""),
_xlfn.IFS(_xlpm.MyAuditVal&lt;&gt;"",_xlpm.MyAuditVal,_xlpm.MacVal&lt;&gt;"",_xlpm.MacVal,_xlpm.CSVVal&lt;&gt;"",_xlpm.CSVVal
)),"")</f>
        <v/>
      </c>
      <c r="I71" s="2" t="str">
        <f>_xlfn.XLOOKUP(A71,Output_Mac!A:A,Output_Mac!I:I,"")</f>
        <v/>
      </c>
      <c r="J71" s="2" t="str" cm="1">
        <f t="array" ref="J71">IFERROR(_xlfn.LET(
_xlpm.CSVVal,_xlfn.XLOOKUP($A71,CSV!$A:$A,CSV!I:I,""),
_xlpm.MacVal,_xlfn.XLOOKUP($A71,Output_Mac!$A:$A,Output_Mac!J:J,""),
_xlpm.MyAuditVal,_xlfn.XLOOKUP($A71,My_Audit!$A:$A,My_Audit!I:I,""),
_xlfn.IFS(_xlpm.MyAuditVal&lt;&gt;"",UPPER(_xlpm.MyAuditVal),_xlpm.MacVal&lt;&gt;"",_xlpm.MacVal,_xlpm.CSVVal&lt;&gt;"",_xlpm.CSVVal
)),"")</f>
        <v/>
      </c>
      <c r="K71" s="2" t="str" cm="1">
        <f t="array" ref="K71">IFERROR(_xlfn.LET(
_xlpm.CSVVal,_xlfn.XLOOKUP($A71,CSV!$A:$A,CSV!K:K,""),
_xlpm.MacVal,_xlfn.XLOOKUP($A71,Output_Mac!$A:$A,Output_Mac!K:K,""),
_xlpm.MyAuditVal,_xlfn.XLOOKUP($A71,My_Audit!$A:$A,My_Audit!J:J,""),
_xlfn.IFS(_xlpm.MyAuditVal&lt;&gt;"",UPPER(_xlpm.MyAuditVal),_xlpm.MacVal&lt;&gt;"",_xlpm.MacVal,_xlpm.CSVVal&lt;&gt;"",_xlpm.CSVVal
)),"")</f>
        <v/>
      </c>
      <c r="L71" s="2" t="str" cm="1">
        <f t="array" ref="L71">IFERROR(_xlfn.LET(
_xlpm.CSVVal,_xlfn.XLOOKUP($A71,CSV!$A:$A,CSV!P:P,""),
_xlpm.MacVal,_xlfn.XLOOKUP($A71,Output_Mac!$A:$A,Output_Mac!L:L,""),
_xlpm.MyAuditVal,_xlfn.XLOOKUP($A71,My_Audit!$A:$A,My_Audit!K:K,""),
_xlfn.IFS(_xlpm.MyAuditVal&lt;&gt;"",UPPER(_xlpm.MyAuditVal),_xlpm.MacVal&lt;&gt;"",_xlpm.MacVal,_xlpm.CSVVal&lt;&gt;"",_xlpm.CSVVal
)),"")</f>
        <v/>
      </c>
      <c r="M71" s="2" t="str" cm="1">
        <f t="array" ref="M71">IFERROR(_xlfn.LET(
_xlpm.CSVVal,_xlfn.XLOOKUP($A71,CSV!$A:$A,CSV!Q:Q,""),
_xlpm.MacVal,_xlfn.XLOOKUP($A71,Output_Mac!$A:$A,Output_Mac!M:M,""),
_xlpm.MyAuditVal,_xlfn.XLOOKUP($A71,My_Audit!$A:$A,My_Audit!L:L,""),
_xlfn.IFS(_xlpm.MyAuditVal&lt;&gt;"",UPPER(_xlpm.MyAuditVal),_xlpm.MacVal&lt;&gt;"",_xlpm.MacVal,_xlpm.CSVVal&lt;&gt;"",_xlpm.CSVVal
)),"")</f>
        <v/>
      </c>
      <c r="O71" s="2" t="str">
        <f>_xlfn.LET(
    _xlpm.CSVVal, _xlfn.XLOOKUP($A71, CSV!$A:$A, CSV!AA:AA, ""),
    _xlpm.MacVal, _xlfn.XLOOKUP($A71, Output_Mac!$A:$A, Output_Mac!S:S, ""),
    _xlpm.MyAuditVal, _xlfn.XLOOKUP($A71, My_Audit!$A:$A, My_Audit!P:P, ""),
    _xlfn.TEXTJOIN(", ", TRUE, _xlpm.MyAuditVal, _xlpm.MacVal, _xlpm.CSVVal)
)</f>
        <v/>
      </c>
      <c r="P71" s="2" t="str" cm="1">
        <f t="array" ref="P71">IFERROR(_xlfn.LET(
_xlpm.CSVVal,_xlfn.XLOOKUP($A71,CSV!$A:$A,CSV!AB:AB,""),
_xlpm.MacVal,_xlfn.XLOOKUP($A71,Output_Mac!$A:$A,Output_Mac!T:T,""),
_xlpm.MyAuditVal,_xlfn.XLOOKUP($A71,My_Audit!$A:$A,My_Audit!Q:Q,""),
_xlfn.IFS(_xlpm.MyAuditVal&lt;&gt;"",UPPER(_xlpm.MyAuditVal),_xlpm.MacVal&lt;&gt;"",_xlpm.MacVal,_xlpm.CSVVal&lt;&gt;"",_xlpm.CSVVal
)),"No")</f>
        <v>No</v>
      </c>
      <c r="Q71" s="2" t="str" cm="1">
        <f t="array" ref="Q71">IFERROR(_xlfn.LET(
_xlpm.CSVVal,_xlfn.XLOOKUP($A71,CSV!$A:$A,CSV!AC:AC,""),
_xlpm.MacVal,_xlfn.XLOOKUP($A71,Output_Mac!$A:$A,Output_Mac!U:U,""),
_xlpm.MyAuditVal,_xlfn.XLOOKUP($A71,My_Audit!$A:$A,My_Audit!R:R,""),
_xlfn.IFS(_xlpm.MyAuditVal&lt;&gt;"",UPPER(_xlpm.MyAuditVal),_xlpm.MacVal&lt;&gt;"",_xlpm.MacVal,_xlpm.CSVVal&lt;&gt;"",_xlpm.CSVVal
)),"")</f>
        <v/>
      </c>
      <c r="X71" t="str">
        <f>_xlfn.LET(
    _xlpm.MacVal, _xlfn.XLOOKUP($A71, Output_Mac!$A:$A, Output_Mac!AB:AB, ""),
    _xlpm.MyAuditVal, _xlfn.XLOOKUP($A71, My_Audit!$A:$A, My_Audit!N:N, ""),
    _xlfn.TEXTJOIN(", ", TRUE, _xlpm.MyAuditVal, _xlpm.MacVal)
)</f>
        <v/>
      </c>
    </row>
    <row r="72" spans="1:24">
      <c r="A72" s="2" t="str">
        <f>_xlfn.TEXTJOIN("",TRUE,Input!$B$2,ROW(My_Audit!A71))</f>
        <v>X71</v>
      </c>
      <c r="B72" s="2" t="str">
        <f>_xlfn.TEXTJOIN("-",TRUE,"ITD",Input!$A$2,A72)</f>
        <v>ITD-SHR-X71</v>
      </c>
      <c r="C72" s="2" t="str" cm="1">
        <f t="array" ref="C72">IFERROR(_xlfn.LET(
_xlpm.CSVVal,_xlfn.XLOOKUP($A72,CSV!$A:$A,CSV!B:B,""),
_xlpm.MacVal,_xlfn.XLOOKUP($A72,Output_Mac!$A:$A,Output_Mac!B:B,""),
_xlpm.MyAuditVal,_xlfn.XLOOKUP($A72,My_Audit!$A:$A,My_Audit!B:B,""),
_xlfn.IFS(_xlpm.MyAuditVal&lt;&gt;"",UPPER(_xlpm.MyAuditVal),_xlpm.MacVal&lt;&gt;"",_xlpm.MacVal,_xlpm.CSVVal&lt;&gt;"",_xlpm.CSVVal
)),"")</f>
        <v/>
      </c>
      <c r="D72" s="2" t="str" cm="1">
        <f t="array" ref="D72">IFERROR(_xlfn.LET(
_xlpm.CSVVal,_xlfn.XLOOKUP($A72,CSV!$A:$A,CSV!D:D,""),
_xlpm.MacVal,_xlfn.XLOOKUP($A72,Output_Mac!$A:$A,Output_Mac!C:C,""),
_xlpm.MyAuditVal,_xlfn.XLOOKUP($A72,My_Audit!$A:$A,My_Audit!C:C,""),
_xlfn.IFS(_xlpm.MyAuditVal&lt;&gt;"",_xlpm.MyAuditVal,_xlpm.MacVal&lt;&gt;"",_xlpm.MacVal,_xlpm.CSVVal&lt;&gt;"",_xlpm.CSVVal
)),"")</f>
        <v/>
      </c>
      <c r="E72" s="2" t="str">
        <f>_xlfn.XLOOKUP(A72,My_Audit!A:A,My_Audit!D:D,"")</f>
        <v/>
      </c>
      <c r="F72" s="2" t="str" cm="1">
        <f t="array" ref="F72">IFERROR(_xlfn.LET(
_xlpm.CSVVal,_xlfn.XLOOKUP($A72,CSV!$A:$A,CSV!F:F,""),
_xlpm.MacVal,_xlfn.XLOOKUP($A72,Output_Mac!$A:$A,Output_Mac!E:E,""),
_xlpm.MyAuditVal,_xlfn.XLOOKUP($A72,My_Audit!$A:$A,My_Audit!E:E,""),
_xlfn.IFS(_xlpm.MyAuditVal&lt;&gt;"",_xlpm.MyAuditVal,_xlpm.MacVal&lt;&gt;"",_xlpm.MacVal,_xlpm.CSVVal&lt;&gt;"",_xlpm.CSVVal
)),"")</f>
        <v/>
      </c>
      <c r="G72" s="2" t="str" cm="1">
        <f t="array" ref="G72">IFERROR(_xlfn.LET(
_xlpm.CSVVal,_xlfn.XLOOKUP($A72,CSV!$A:$A,CSV!G:G,""),
_xlpm.MacVal,_xlfn.XLOOKUP($A72,Output_Mac!$A:$A,Output_Mac!F:F,""),
_xlpm.MyAuditVal,_xlfn.XLOOKUP($A72,My_Audit!$A:$A,My_Audit!F:F,""),
_xlfn.IFS(_xlpm.MyAuditVal&lt;&gt;"",_xlpm.MyAuditVal,_xlpm.MacVal&lt;&gt;"",_xlpm.MacVal,_xlpm.CSVVal&lt;&gt;"",PROPER(_xlpm.CSVVal)
)),"")</f>
        <v/>
      </c>
      <c r="H72" s="2" t="str" cm="1">
        <f t="array" ref="H72">IFERROR(_xlfn.LET(
_xlpm.CSVVal,_xlfn.XLOOKUP($A72,CSV!$A:$A,CSV!H:H,""),
_xlpm.MacVal,_xlfn.XLOOKUP($A72,Output_Mac!$A:$A,Output_Mac!H:H,""),
_xlpm.MyAuditVal,_xlfn.XLOOKUP($A72,My_Audit!$A:$A,My_Audit!G:G,""),
_xlfn.IFS(_xlpm.MyAuditVal&lt;&gt;"",_xlpm.MyAuditVal,_xlpm.MacVal&lt;&gt;"",_xlpm.MacVal,_xlpm.CSVVal&lt;&gt;"",_xlpm.CSVVal
)),"")</f>
        <v/>
      </c>
      <c r="I72" s="2" t="str">
        <f>_xlfn.XLOOKUP(A72,Output_Mac!A:A,Output_Mac!I:I,"")</f>
        <v/>
      </c>
      <c r="J72" s="2" t="str" cm="1">
        <f t="array" ref="J72">IFERROR(_xlfn.LET(
_xlpm.CSVVal,_xlfn.XLOOKUP($A72,CSV!$A:$A,CSV!I:I,""),
_xlpm.MacVal,_xlfn.XLOOKUP($A72,Output_Mac!$A:$A,Output_Mac!J:J,""),
_xlpm.MyAuditVal,_xlfn.XLOOKUP($A72,My_Audit!$A:$A,My_Audit!I:I,""),
_xlfn.IFS(_xlpm.MyAuditVal&lt;&gt;"",UPPER(_xlpm.MyAuditVal),_xlpm.MacVal&lt;&gt;"",_xlpm.MacVal,_xlpm.CSVVal&lt;&gt;"",_xlpm.CSVVal
)),"")</f>
        <v/>
      </c>
      <c r="K72" s="2" t="str" cm="1">
        <f t="array" ref="K72">IFERROR(_xlfn.LET(
_xlpm.CSVVal,_xlfn.XLOOKUP($A72,CSV!$A:$A,CSV!K:K,""),
_xlpm.MacVal,_xlfn.XLOOKUP($A72,Output_Mac!$A:$A,Output_Mac!K:K,""),
_xlpm.MyAuditVal,_xlfn.XLOOKUP($A72,My_Audit!$A:$A,My_Audit!J:J,""),
_xlfn.IFS(_xlpm.MyAuditVal&lt;&gt;"",UPPER(_xlpm.MyAuditVal),_xlpm.MacVal&lt;&gt;"",_xlpm.MacVal,_xlpm.CSVVal&lt;&gt;"",_xlpm.CSVVal
)),"")</f>
        <v/>
      </c>
      <c r="L72" s="2" t="str" cm="1">
        <f t="array" ref="L72">IFERROR(_xlfn.LET(
_xlpm.CSVVal,_xlfn.XLOOKUP($A72,CSV!$A:$A,CSV!P:P,""),
_xlpm.MacVal,_xlfn.XLOOKUP($A72,Output_Mac!$A:$A,Output_Mac!L:L,""),
_xlpm.MyAuditVal,_xlfn.XLOOKUP($A72,My_Audit!$A:$A,My_Audit!K:K,""),
_xlfn.IFS(_xlpm.MyAuditVal&lt;&gt;"",UPPER(_xlpm.MyAuditVal),_xlpm.MacVal&lt;&gt;"",_xlpm.MacVal,_xlpm.CSVVal&lt;&gt;"",_xlpm.CSVVal
)),"")</f>
        <v/>
      </c>
      <c r="M72" s="2" t="str" cm="1">
        <f t="array" ref="M72">IFERROR(_xlfn.LET(
_xlpm.CSVVal,_xlfn.XLOOKUP($A72,CSV!$A:$A,CSV!Q:Q,""),
_xlpm.MacVal,_xlfn.XLOOKUP($A72,Output_Mac!$A:$A,Output_Mac!M:M,""),
_xlpm.MyAuditVal,_xlfn.XLOOKUP($A72,My_Audit!$A:$A,My_Audit!L:L,""),
_xlfn.IFS(_xlpm.MyAuditVal&lt;&gt;"",UPPER(_xlpm.MyAuditVal),_xlpm.MacVal&lt;&gt;"",_xlpm.MacVal,_xlpm.CSVVal&lt;&gt;"",_xlpm.CSVVal
)),"")</f>
        <v/>
      </c>
      <c r="O72" s="2" t="str">
        <f>_xlfn.LET(
    _xlpm.CSVVal, _xlfn.XLOOKUP($A72, CSV!$A:$A, CSV!AA:AA, ""),
    _xlpm.MacVal, _xlfn.XLOOKUP($A72, Output_Mac!$A:$A, Output_Mac!S:S, ""),
    _xlpm.MyAuditVal, _xlfn.XLOOKUP($A72, My_Audit!$A:$A, My_Audit!P:P, ""),
    _xlfn.TEXTJOIN(", ", TRUE, _xlpm.MyAuditVal, _xlpm.MacVal, _xlpm.CSVVal)
)</f>
        <v/>
      </c>
      <c r="P72" s="2" t="str" cm="1">
        <f t="array" ref="P72">IFERROR(_xlfn.LET(
_xlpm.CSVVal,_xlfn.XLOOKUP($A72,CSV!$A:$A,CSV!AB:AB,""),
_xlpm.MacVal,_xlfn.XLOOKUP($A72,Output_Mac!$A:$A,Output_Mac!T:T,""),
_xlpm.MyAuditVal,_xlfn.XLOOKUP($A72,My_Audit!$A:$A,My_Audit!Q:Q,""),
_xlfn.IFS(_xlpm.MyAuditVal&lt;&gt;"",UPPER(_xlpm.MyAuditVal),_xlpm.MacVal&lt;&gt;"",_xlpm.MacVal,_xlpm.CSVVal&lt;&gt;"",_xlpm.CSVVal
)),"No")</f>
        <v>No</v>
      </c>
      <c r="Q72" s="2" t="str" cm="1">
        <f t="array" ref="Q72">IFERROR(_xlfn.LET(
_xlpm.CSVVal,_xlfn.XLOOKUP($A72,CSV!$A:$A,CSV!AC:AC,""),
_xlpm.MacVal,_xlfn.XLOOKUP($A72,Output_Mac!$A:$A,Output_Mac!U:U,""),
_xlpm.MyAuditVal,_xlfn.XLOOKUP($A72,My_Audit!$A:$A,My_Audit!R:R,""),
_xlfn.IFS(_xlpm.MyAuditVal&lt;&gt;"",UPPER(_xlpm.MyAuditVal),_xlpm.MacVal&lt;&gt;"",_xlpm.MacVal,_xlpm.CSVVal&lt;&gt;"",_xlpm.CSVVal
)),"")</f>
        <v/>
      </c>
      <c r="X72" t="str">
        <f>_xlfn.LET(
    _xlpm.MacVal, _xlfn.XLOOKUP($A72, Output_Mac!$A:$A, Output_Mac!AB:AB, ""),
    _xlpm.MyAuditVal, _xlfn.XLOOKUP($A72, My_Audit!$A:$A, My_Audit!N:N, ""),
    _xlfn.TEXTJOIN(", ", TRUE, _xlpm.MyAuditVal, _xlpm.MacVal)
)</f>
        <v/>
      </c>
    </row>
    <row r="73" spans="1:24">
      <c r="A73" s="2" t="str">
        <f>_xlfn.TEXTJOIN("",TRUE,Input!$B$2,ROW(My_Audit!A72))</f>
        <v>X72</v>
      </c>
      <c r="B73" s="2" t="str">
        <f>_xlfn.TEXTJOIN("-",TRUE,"ITD",Input!$A$2,A73)</f>
        <v>ITD-SHR-X72</v>
      </c>
      <c r="C73" s="2" t="str" cm="1">
        <f t="array" ref="C73">IFERROR(_xlfn.LET(
_xlpm.CSVVal,_xlfn.XLOOKUP($A73,CSV!$A:$A,CSV!B:B,""),
_xlpm.MacVal,_xlfn.XLOOKUP($A73,Output_Mac!$A:$A,Output_Mac!B:B,""),
_xlpm.MyAuditVal,_xlfn.XLOOKUP($A73,My_Audit!$A:$A,My_Audit!B:B,""),
_xlfn.IFS(_xlpm.MyAuditVal&lt;&gt;"",UPPER(_xlpm.MyAuditVal),_xlpm.MacVal&lt;&gt;"",_xlpm.MacVal,_xlpm.CSVVal&lt;&gt;"",_xlpm.CSVVal
)),"")</f>
        <v/>
      </c>
      <c r="D73" s="2" t="str" cm="1">
        <f t="array" ref="D73">IFERROR(_xlfn.LET(
_xlpm.CSVVal,_xlfn.XLOOKUP($A73,CSV!$A:$A,CSV!D:D,""),
_xlpm.MacVal,_xlfn.XLOOKUP($A73,Output_Mac!$A:$A,Output_Mac!C:C,""),
_xlpm.MyAuditVal,_xlfn.XLOOKUP($A73,My_Audit!$A:$A,My_Audit!C:C,""),
_xlfn.IFS(_xlpm.MyAuditVal&lt;&gt;"",_xlpm.MyAuditVal,_xlpm.MacVal&lt;&gt;"",_xlpm.MacVal,_xlpm.CSVVal&lt;&gt;"",_xlpm.CSVVal
)),"")</f>
        <v/>
      </c>
      <c r="E73" s="2" t="str">
        <f>_xlfn.XLOOKUP(A73,My_Audit!A:A,My_Audit!D:D,"")</f>
        <v/>
      </c>
      <c r="F73" s="2" t="str" cm="1">
        <f t="array" ref="F73">IFERROR(_xlfn.LET(
_xlpm.CSVVal,_xlfn.XLOOKUP($A73,CSV!$A:$A,CSV!F:F,""),
_xlpm.MacVal,_xlfn.XLOOKUP($A73,Output_Mac!$A:$A,Output_Mac!E:E,""),
_xlpm.MyAuditVal,_xlfn.XLOOKUP($A73,My_Audit!$A:$A,My_Audit!E:E,""),
_xlfn.IFS(_xlpm.MyAuditVal&lt;&gt;"",_xlpm.MyAuditVal,_xlpm.MacVal&lt;&gt;"",_xlpm.MacVal,_xlpm.CSVVal&lt;&gt;"",_xlpm.CSVVal
)),"")</f>
        <v/>
      </c>
      <c r="G73" s="2" t="str" cm="1">
        <f t="array" ref="G73">IFERROR(_xlfn.LET(
_xlpm.CSVVal,_xlfn.XLOOKUP($A73,CSV!$A:$A,CSV!G:G,""),
_xlpm.MacVal,_xlfn.XLOOKUP($A73,Output_Mac!$A:$A,Output_Mac!F:F,""),
_xlpm.MyAuditVal,_xlfn.XLOOKUP($A73,My_Audit!$A:$A,My_Audit!F:F,""),
_xlfn.IFS(_xlpm.MyAuditVal&lt;&gt;"",_xlpm.MyAuditVal,_xlpm.MacVal&lt;&gt;"",_xlpm.MacVal,_xlpm.CSVVal&lt;&gt;"",PROPER(_xlpm.CSVVal)
)),"")</f>
        <v/>
      </c>
      <c r="H73" s="2" t="str" cm="1">
        <f t="array" ref="H73">IFERROR(_xlfn.LET(
_xlpm.CSVVal,_xlfn.XLOOKUP($A73,CSV!$A:$A,CSV!H:H,""),
_xlpm.MacVal,_xlfn.XLOOKUP($A73,Output_Mac!$A:$A,Output_Mac!H:H,""),
_xlpm.MyAuditVal,_xlfn.XLOOKUP($A73,My_Audit!$A:$A,My_Audit!G:G,""),
_xlfn.IFS(_xlpm.MyAuditVal&lt;&gt;"",_xlpm.MyAuditVal,_xlpm.MacVal&lt;&gt;"",_xlpm.MacVal,_xlpm.CSVVal&lt;&gt;"",_xlpm.CSVVal
)),"")</f>
        <v/>
      </c>
      <c r="I73" s="2" t="str">
        <f>_xlfn.XLOOKUP(A73,Output_Mac!A:A,Output_Mac!I:I,"")</f>
        <v/>
      </c>
      <c r="J73" s="2" t="str" cm="1">
        <f t="array" ref="J73">IFERROR(_xlfn.LET(
_xlpm.CSVVal,_xlfn.XLOOKUP($A73,CSV!$A:$A,CSV!I:I,""),
_xlpm.MacVal,_xlfn.XLOOKUP($A73,Output_Mac!$A:$A,Output_Mac!J:J,""),
_xlpm.MyAuditVal,_xlfn.XLOOKUP($A73,My_Audit!$A:$A,My_Audit!I:I,""),
_xlfn.IFS(_xlpm.MyAuditVal&lt;&gt;"",UPPER(_xlpm.MyAuditVal),_xlpm.MacVal&lt;&gt;"",_xlpm.MacVal,_xlpm.CSVVal&lt;&gt;"",_xlpm.CSVVal
)),"")</f>
        <v/>
      </c>
      <c r="K73" s="2" t="str" cm="1">
        <f t="array" ref="K73">IFERROR(_xlfn.LET(
_xlpm.CSVVal,_xlfn.XLOOKUP($A73,CSV!$A:$A,CSV!K:K,""),
_xlpm.MacVal,_xlfn.XLOOKUP($A73,Output_Mac!$A:$A,Output_Mac!K:K,""),
_xlpm.MyAuditVal,_xlfn.XLOOKUP($A73,My_Audit!$A:$A,My_Audit!J:J,""),
_xlfn.IFS(_xlpm.MyAuditVal&lt;&gt;"",UPPER(_xlpm.MyAuditVal),_xlpm.MacVal&lt;&gt;"",_xlpm.MacVal,_xlpm.CSVVal&lt;&gt;"",_xlpm.CSVVal
)),"")</f>
        <v/>
      </c>
      <c r="L73" s="2" t="str" cm="1">
        <f t="array" ref="L73">IFERROR(_xlfn.LET(
_xlpm.CSVVal,_xlfn.XLOOKUP($A73,CSV!$A:$A,CSV!P:P,""),
_xlpm.MacVal,_xlfn.XLOOKUP($A73,Output_Mac!$A:$A,Output_Mac!L:L,""),
_xlpm.MyAuditVal,_xlfn.XLOOKUP($A73,My_Audit!$A:$A,My_Audit!K:K,""),
_xlfn.IFS(_xlpm.MyAuditVal&lt;&gt;"",UPPER(_xlpm.MyAuditVal),_xlpm.MacVal&lt;&gt;"",_xlpm.MacVal,_xlpm.CSVVal&lt;&gt;"",_xlpm.CSVVal
)),"")</f>
        <v/>
      </c>
      <c r="M73" s="2" t="str" cm="1">
        <f t="array" ref="M73">IFERROR(_xlfn.LET(
_xlpm.CSVVal,_xlfn.XLOOKUP($A73,CSV!$A:$A,CSV!Q:Q,""),
_xlpm.MacVal,_xlfn.XLOOKUP($A73,Output_Mac!$A:$A,Output_Mac!M:M,""),
_xlpm.MyAuditVal,_xlfn.XLOOKUP($A73,My_Audit!$A:$A,My_Audit!L:L,""),
_xlfn.IFS(_xlpm.MyAuditVal&lt;&gt;"",UPPER(_xlpm.MyAuditVal),_xlpm.MacVal&lt;&gt;"",_xlpm.MacVal,_xlpm.CSVVal&lt;&gt;"",_xlpm.CSVVal
)),"")</f>
        <v/>
      </c>
      <c r="O73" s="2" t="str">
        <f>_xlfn.LET(
    _xlpm.CSVVal, _xlfn.XLOOKUP($A73, CSV!$A:$A, CSV!AA:AA, ""),
    _xlpm.MacVal, _xlfn.XLOOKUP($A73, Output_Mac!$A:$A, Output_Mac!S:S, ""),
    _xlpm.MyAuditVal, _xlfn.XLOOKUP($A73, My_Audit!$A:$A, My_Audit!P:P, ""),
    _xlfn.TEXTJOIN(", ", TRUE, _xlpm.MyAuditVal, _xlpm.MacVal, _xlpm.CSVVal)
)</f>
        <v/>
      </c>
      <c r="P73" s="2" t="str" cm="1">
        <f t="array" ref="P73">IFERROR(_xlfn.LET(
_xlpm.CSVVal,_xlfn.XLOOKUP($A73,CSV!$A:$A,CSV!AB:AB,""),
_xlpm.MacVal,_xlfn.XLOOKUP($A73,Output_Mac!$A:$A,Output_Mac!T:T,""),
_xlpm.MyAuditVal,_xlfn.XLOOKUP($A73,My_Audit!$A:$A,My_Audit!Q:Q,""),
_xlfn.IFS(_xlpm.MyAuditVal&lt;&gt;"",UPPER(_xlpm.MyAuditVal),_xlpm.MacVal&lt;&gt;"",_xlpm.MacVal,_xlpm.CSVVal&lt;&gt;"",_xlpm.CSVVal
)),"No")</f>
        <v>No</v>
      </c>
      <c r="Q73" s="2" t="str" cm="1">
        <f t="array" ref="Q73">IFERROR(_xlfn.LET(
_xlpm.CSVVal,_xlfn.XLOOKUP($A73,CSV!$A:$A,CSV!AC:AC,""),
_xlpm.MacVal,_xlfn.XLOOKUP($A73,Output_Mac!$A:$A,Output_Mac!U:U,""),
_xlpm.MyAuditVal,_xlfn.XLOOKUP($A73,My_Audit!$A:$A,My_Audit!R:R,""),
_xlfn.IFS(_xlpm.MyAuditVal&lt;&gt;"",UPPER(_xlpm.MyAuditVal),_xlpm.MacVal&lt;&gt;"",_xlpm.MacVal,_xlpm.CSVVal&lt;&gt;"",_xlpm.CSVVal
)),"")</f>
        <v/>
      </c>
      <c r="X73" t="str">
        <f>_xlfn.LET(
    _xlpm.MacVal, _xlfn.XLOOKUP($A73, Output_Mac!$A:$A, Output_Mac!AB:AB, ""),
    _xlpm.MyAuditVal, _xlfn.XLOOKUP($A73, My_Audit!$A:$A, My_Audit!N:N, ""),
    _xlfn.TEXTJOIN(", ", TRUE, _xlpm.MyAuditVal, _xlpm.MacVal)
)</f>
        <v/>
      </c>
    </row>
    <row r="74" spans="1:24">
      <c r="A74" s="2" t="str">
        <f>_xlfn.TEXTJOIN("",TRUE,Input!$B$2,ROW(My_Audit!A73))</f>
        <v>X73</v>
      </c>
      <c r="B74" s="2" t="str">
        <f>_xlfn.TEXTJOIN("-",TRUE,"ITD",Input!$A$2,A74)</f>
        <v>ITD-SHR-X73</v>
      </c>
      <c r="C74" s="2" t="str" cm="1">
        <f t="array" ref="C74">IFERROR(_xlfn.LET(
_xlpm.CSVVal,_xlfn.XLOOKUP($A74,CSV!$A:$A,CSV!B:B,""),
_xlpm.MacVal,_xlfn.XLOOKUP($A74,Output_Mac!$A:$A,Output_Mac!B:B,""),
_xlpm.MyAuditVal,_xlfn.XLOOKUP($A74,My_Audit!$A:$A,My_Audit!B:B,""),
_xlfn.IFS(_xlpm.MyAuditVal&lt;&gt;"",UPPER(_xlpm.MyAuditVal),_xlpm.MacVal&lt;&gt;"",_xlpm.MacVal,_xlpm.CSVVal&lt;&gt;"",_xlpm.CSVVal
)),"")</f>
        <v/>
      </c>
      <c r="D74" s="2" t="str" cm="1">
        <f t="array" ref="D74">IFERROR(_xlfn.LET(
_xlpm.CSVVal,_xlfn.XLOOKUP($A74,CSV!$A:$A,CSV!D:D,""),
_xlpm.MacVal,_xlfn.XLOOKUP($A74,Output_Mac!$A:$A,Output_Mac!C:C,""),
_xlpm.MyAuditVal,_xlfn.XLOOKUP($A74,My_Audit!$A:$A,My_Audit!C:C,""),
_xlfn.IFS(_xlpm.MyAuditVal&lt;&gt;"",_xlpm.MyAuditVal,_xlpm.MacVal&lt;&gt;"",_xlpm.MacVal,_xlpm.CSVVal&lt;&gt;"",_xlpm.CSVVal
)),"")</f>
        <v/>
      </c>
      <c r="E74" s="2" t="str">
        <f>_xlfn.XLOOKUP(A74,My_Audit!A:A,My_Audit!D:D,"")</f>
        <v/>
      </c>
      <c r="F74" s="2" t="str" cm="1">
        <f t="array" ref="F74">IFERROR(_xlfn.LET(
_xlpm.CSVVal,_xlfn.XLOOKUP($A74,CSV!$A:$A,CSV!F:F,""),
_xlpm.MacVal,_xlfn.XLOOKUP($A74,Output_Mac!$A:$A,Output_Mac!E:E,""),
_xlpm.MyAuditVal,_xlfn.XLOOKUP($A74,My_Audit!$A:$A,My_Audit!E:E,""),
_xlfn.IFS(_xlpm.MyAuditVal&lt;&gt;"",_xlpm.MyAuditVal,_xlpm.MacVal&lt;&gt;"",_xlpm.MacVal,_xlpm.CSVVal&lt;&gt;"",_xlpm.CSVVal
)),"")</f>
        <v/>
      </c>
      <c r="G74" s="2" t="str" cm="1">
        <f t="array" ref="G74">IFERROR(_xlfn.LET(
_xlpm.CSVVal,_xlfn.XLOOKUP($A74,CSV!$A:$A,CSV!G:G,""),
_xlpm.MacVal,_xlfn.XLOOKUP($A74,Output_Mac!$A:$A,Output_Mac!F:F,""),
_xlpm.MyAuditVal,_xlfn.XLOOKUP($A74,My_Audit!$A:$A,My_Audit!F:F,""),
_xlfn.IFS(_xlpm.MyAuditVal&lt;&gt;"",_xlpm.MyAuditVal,_xlpm.MacVal&lt;&gt;"",_xlpm.MacVal,_xlpm.CSVVal&lt;&gt;"",PROPER(_xlpm.CSVVal)
)),"")</f>
        <v/>
      </c>
      <c r="H74" s="2" t="str" cm="1">
        <f t="array" ref="H74">IFERROR(_xlfn.LET(
_xlpm.CSVVal,_xlfn.XLOOKUP($A74,CSV!$A:$A,CSV!H:H,""),
_xlpm.MacVal,_xlfn.XLOOKUP($A74,Output_Mac!$A:$A,Output_Mac!H:H,""),
_xlpm.MyAuditVal,_xlfn.XLOOKUP($A74,My_Audit!$A:$A,My_Audit!G:G,""),
_xlfn.IFS(_xlpm.MyAuditVal&lt;&gt;"",_xlpm.MyAuditVal,_xlpm.MacVal&lt;&gt;"",_xlpm.MacVal,_xlpm.CSVVal&lt;&gt;"",_xlpm.CSVVal
)),"")</f>
        <v/>
      </c>
      <c r="I74" s="2" t="str">
        <f>_xlfn.XLOOKUP(A74,Output_Mac!A:A,Output_Mac!I:I,"")</f>
        <v/>
      </c>
      <c r="J74" s="2" t="str" cm="1">
        <f t="array" ref="J74">IFERROR(_xlfn.LET(
_xlpm.CSVVal,_xlfn.XLOOKUP($A74,CSV!$A:$A,CSV!I:I,""),
_xlpm.MacVal,_xlfn.XLOOKUP($A74,Output_Mac!$A:$A,Output_Mac!J:J,""),
_xlpm.MyAuditVal,_xlfn.XLOOKUP($A74,My_Audit!$A:$A,My_Audit!I:I,""),
_xlfn.IFS(_xlpm.MyAuditVal&lt;&gt;"",UPPER(_xlpm.MyAuditVal),_xlpm.MacVal&lt;&gt;"",_xlpm.MacVal,_xlpm.CSVVal&lt;&gt;"",_xlpm.CSVVal
)),"")</f>
        <v/>
      </c>
      <c r="K74" s="2" t="str" cm="1">
        <f t="array" ref="K74">IFERROR(_xlfn.LET(
_xlpm.CSVVal,_xlfn.XLOOKUP($A74,CSV!$A:$A,CSV!K:K,""),
_xlpm.MacVal,_xlfn.XLOOKUP($A74,Output_Mac!$A:$A,Output_Mac!K:K,""),
_xlpm.MyAuditVal,_xlfn.XLOOKUP($A74,My_Audit!$A:$A,My_Audit!J:J,""),
_xlfn.IFS(_xlpm.MyAuditVal&lt;&gt;"",UPPER(_xlpm.MyAuditVal),_xlpm.MacVal&lt;&gt;"",_xlpm.MacVal,_xlpm.CSVVal&lt;&gt;"",_xlpm.CSVVal
)),"")</f>
        <v/>
      </c>
      <c r="L74" s="2" t="str" cm="1">
        <f t="array" ref="L74">IFERROR(_xlfn.LET(
_xlpm.CSVVal,_xlfn.XLOOKUP($A74,CSV!$A:$A,CSV!P:P,""),
_xlpm.MacVal,_xlfn.XLOOKUP($A74,Output_Mac!$A:$A,Output_Mac!L:L,""),
_xlpm.MyAuditVal,_xlfn.XLOOKUP($A74,My_Audit!$A:$A,My_Audit!K:K,""),
_xlfn.IFS(_xlpm.MyAuditVal&lt;&gt;"",UPPER(_xlpm.MyAuditVal),_xlpm.MacVal&lt;&gt;"",_xlpm.MacVal,_xlpm.CSVVal&lt;&gt;"",_xlpm.CSVVal
)),"")</f>
        <v/>
      </c>
      <c r="M74" s="2" t="str" cm="1">
        <f t="array" ref="M74">IFERROR(_xlfn.LET(
_xlpm.CSVVal,_xlfn.XLOOKUP($A74,CSV!$A:$A,CSV!Q:Q,""),
_xlpm.MacVal,_xlfn.XLOOKUP($A74,Output_Mac!$A:$A,Output_Mac!M:M,""),
_xlpm.MyAuditVal,_xlfn.XLOOKUP($A74,My_Audit!$A:$A,My_Audit!L:L,""),
_xlfn.IFS(_xlpm.MyAuditVal&lt;&gt;"",UPPER(_xlpm.MyAuditVal),_xlpm.MacVal&lt;&gt;"",_xlpm.MacVal,_xlpm.CSVVal&lt;&gt;"",_xlpm.CSVVal
)),"")</f>
        <v/>
      </c>
      <c r="O74" s="2" t="str">
        <f>_xlfn.LET(
    _xlpm.CSVVal, _xlfn.XLOOKUP($A74, CSV!$A:$A, CSV!AA:AA, ""),
    _xlpm.MacVal, _xlfn.XLOOKUP($A74, Output_Mac!$A:$A, Output_Mac!S:S, ""),
    _xlpm.MyAuditVal, _xlfn.XLOOKUP($A74, My_Audit!$A:$A, My_Audit!P:P, ""),
    _xlfn.TEXTJOIN(", ", TRUE, _xlpm.MyAuditVal, _xlpm.MacVal, _xlpm.CSVVal)
)</f>
        <v/>
      </c>
      <c r="P74" s="2" t="str" cm="1">
        <f t="array" ref="P74">IFERROR(_xlfn.LET(
_xlpm.CSVVal,_xlfn.XLOOKUP($A74,CSV!$A:$A,CSV!AB:AB,""),
_xlpm.MacVal,_xlfn.XLOOKUP($A74,Output_Mac!$A:$A,Output_Mac!T:T,""),
_xlpm.MyAuditVal,_xlfn.XLOOKUP($A74,My_Audit!$A:$A,My_Audit!Q:Q,""),
_xlfn.IFS(_xlpm.MyAuditVal&lt;&gt;"",UPPER(_xlpm.MyAuditVal),_xlpm.MacVal&lt;&gt;"",_xlpm.MacVal,_xlpm.CSVVal&lt;&gt;"",_xlpm.CSVVal
)),"No")</f>
        <v>No</v>
      </c>
      <c r="Q74" s="2" t="str" cm="1">
        <f t="array" ref="Q74">IFERROR(_xlfn.LET(
_xlpm.CSVVal,_xlfn.XLOOKUP($A74,CSV!$A:$A,CSV!AC:AC,""),
_xlpm.MacVal,_xlfn.XLOOKUP($A74,Output_Mac!$A:$A,Output_Mac!U:U,""),
_xlpm.MyAuditVal,_xlfn.XLOOKUP($A74,My_Audit!$A:$A,My_Audit!R:R,""),
_xlfn.IFS(_xlpm.MyAuditVal&lt;&gt;"",UPPER(_xlpm.MyAuditVal),_xlpm.MacVal&lt;&gt;"",_xlpm.MacVal,_xlpm.CSVVal&lt;&gt;"",_xlpm.CSVVal
)),"")</f>
        <v/>
      </c>
      <c r="X74" t="str">
        <f>_xlfn.LET(
    _xlpm.MacVal, _xlfn.XLOOKUP($A74, Output_Mac!$A:$A, Output_Mac!AB:AB, ""),
    _xlpm.MyAuditVal, _xlfn.XLOOKUP($A74, My_Audit!$A:$A, My_Audit!N:N, ""),
    _xlfn.TEXTJOIN(", ", TRUE, _xlpm.MyAuditVal, _xlpm.MacVal)
)</f>
        <v/>
      </c>
    </row>
    <row r="75" spans="1:24">
      <c r="A75" s="2" t="str">
        <f>_xlfn.TEXTJOIN("",TRUE,Input!$B$2,ROW(My_Audit!A74))</f>
        <v>X74</v>
      </c>
      <c r="B75" s="2" t="str">
        <f>_xlfn.TEXTJOIN("-",TRUE,"ITD",Input!$A$2,A75)</f>
        <v>ITD-SHR-X74</v>
      </c>
      <c r="C75" s="2" t="str" cm="1">
        <f t="array" ref="C75">IFERROR(_xlfn.LET(
_xlpm.CSVVal,_xlfn.XLOOKUP($A75,CSV!$A:$A,CSV!B:B,""),
_xlpm.MacVal,_xlfn.XLOOKUP($A75,Output_Mac!$A:$A,Output_Mac!B:B,""),
_xlpm.MyAuditVal,_xlfn.XLOOKUP($A75,My_Audit!$A:$A,My_Audit!B:B,""),
_xlfn.IFS(_xlpm.MyAuditVal&lt;&gt;"",UPPER(_xlpm.MyAuditVal),_xlpm.MacVal&lt;&gt;"",_xlpm.MacVal,_xlpm.CSVVal&lt;&gt;"",_xlpm.CSVVal
)),"")</f>
        <v/>
      </c>
      <c r="D75" s="2" t="str" cm="1">
        <f t="array" ref="D75">IFERROR(_xlfn.LET(
_xlpm.CSVVal,_xlfn.XLOOKUP($A75,CSV!$A:$A,CSV!D:D,""),
_xlpm.MacVal,_xlfn.XLOOKUP($A75,Output_Mac!$A:$A,Output_Mac!C:C,""),
_xlpm.MyAuditVal,_xlfn.XLOOKUP($A75,My_Audit!$A:$A,My_Audit!C:C,""),
_xlfn.IFS(_xlpm.MyAuditVal&lt;&gt;"",_xlpm.MyAuditVal,_xlpm.MacVal&lt;&gt;"",_xlpm.MacVal,_xlpm.CSVVal&lt;&gt;"",_xlpm.CSVVal
)),"")</f>
        <v/>
      </c>
      <c r="E75" s="2" t="str">
        <f>_xlfn.XLOOKUP(A75,My_Audit!A:A,My_Audit!D:D,"")</f>
        <v/>
      </c>
      <c r="F75" s="2" t="str" cm="1">
        <f t="array" ref="F75">IFERROR(_xlfn.LET(
_xlpm.CSVVal,_xlfn.XLOOKUP($A75,CSV!$A:$A,CSV!F:F,""),
_xlpm.MacVal,_xlfn.XLOOKUP($A75,Output_Mac!$A:$A,Output_Mac!E:E,""),
_xlpm.MyAuditVal,_xlfn.XLOOKUP($A75,My_Audit!$A:$A,My_Audit!E:E,""),
_xlfn.IFS(_xlpm.MyAuditVal&lt;&gt;"",_xlpm.MyAuditVal,_xlpm.MacVal&lt;&gt;"",_xlpm.MacVal,_xlpm.CSVVal&lt;&gt;"",_xlpm.CSVVal
)),"")</f>
        <v/>
      </c>
      <c r="G75" s="2" t="str" cm="1">
        <f t="array" ref="G75">IFERROR(_xlfn.LET(
_xlpm.CSVVal,_xlfn.XLOOKUP($A75,CSV!$A:$A,CSV!G:G,""),
_xlpm.MacVal,_xlfn.XLOOKUP($A75,Output_Mac!$A:$A,Output_Mac!F:F,""),
_xlpm.MyAuditVal,_xlfn.XLOOKUP($A75,My_Audit!$A:$A,My_Audit!F:F,""),
_xlfn.IFS(_xlpm.MyAuditVal&lt;&gt;"",_xlpm.MyAuditVal,_xlpm.MacVal&lt;&gt;"",_xlpm.MacVal,_xlpm.CSVVal&lt;&gt;"",PROPER(_xlpm.CSVVal)
)),"")</f>
        <v/>
      </c>
      <c r="H75" s="2" t="str" cm="1">
        <f t="array" ref="H75">IFERROR(_xlfn.LET(
_xlpm.CSVVal,_xlfn.XLOOKUP($A75,CSV!$A:$A,CSV!H:H,""),
_xlpm.MacVal,_xlfn.XLOOKUP($A75,Output_Mac!$A:$A,Output_Mac!H:H,""),
_xlpm.MyAuditVal,_xlfn.XLOOKUP($A75,My_Audit!$A:$A,My_Audit!G:G,""),
_xlfn.IFS(_xlpm.MyAuditVal&lt;&gt;"",_xlpm.MyAuditVal,_xlpm.MacVal&lt;&gt;"",_xlpm.MacVal,_xlpm.CSVVal&lt;&gt;"",_xlpm.CSVVal
)),"")</f>
        <v/>
      </c>
      <c r="I75" s="2" t="str">
        <f>_xlfn.XLOOKUP(A75,Output_Mac!A:A,Output_Mac!I:I,"")</f>
        <v/>
      </c>
      <c r="J75" s="2" t="str" cm="1">
        <f t="array" ref="J75">IFERROR(_xlfn.LET(
_xlpm.CSVVal,_xlfn.XLOOKUP($A75,CSV!$A:$A,CSV!I:I,""),
_xlpm.MacVal,_xlfn.XLOOKUP($A75,Output_Mac!$A:$A,Output_Mac!J:J,""),
_xlpm.MyAuditVal,_xlfn.XLOOKUP($A75,My_Audit!$A:$A,My_Audit!I:I,""),
_xlfn.IFS(_xlpm.MyAuditVal&lt;&gt;"",UPPER(_xlpm.MyAuditVal),_xlpm.MacVal&lt;&gt;"",_xlpm.MacVal,_xlpm.CSVVal&lt;&gt;"",_xlpm.CSVVal
)),"")</f>
        <v/>
      </c>
      <c r="K75" s="2" t="str" cm="1">
        <f t="array" ref="K75">IFERROR(_xlfn.LET(
_xlpm.CSVVal,_xlfn.XLOOKUP($A75,CSV!$A:$A,CSV!K:K,""),
_xlpm.MacVal,_xlfn.XLOOKUP($A75,Output_Mac!$A:$A,Output_Mac!K:K,""),
_xlpm.MyAuditVal,_xlfn.XLOOKUP($A75,My_Audit!$A:$A,My_Audit!J:J,""),
_xlfn.IFS(_xlpm.MyAuditVal&lt;&gt;"",UPPER(_xlpm.MyAuditVal),_xlpm.MacVal&lt;&gt;"",_xlpm.MacVal,_xlpm.CSVVal&lt;&gt;"",_xlpm.CSVVal
)),"")</f>
        <v/>
      </c>
      <c r="L75" s="2" t="str" cm="1">
        <f t="array" ref="L75">IFERROR(_xlfn.LET(
_xlpm.CSVVal,_xlfn.XLOOKUP($A75,CSV!$A:$A,CSV!P:P,""),
_xlpm.MacVal,_xlfn.XLOOKUP($A75,Output_Mac!$A:$A,Output_Mac!L:L,""),
_xlpm.MyAuditVal,_xlfn.XLOOKUP($A75,My_Audit!$A:$A,My_Audit!K:K,""),
_xlfn.IFS(_xlpm.MyAuditVal&lt;&gt;"",UPPER(_xlpm.MyAuditVal),_xlpm.MacVal&lt;&gt;"",_xlpm.MacVal,_xlpm.CSVVal&lt;&gt;"",_xlpm.CSVVal
)),"")</f>
        <v/>
      </c>
      <c r="M75" s="2" t="str" cm="1">
        <f t="array" ref="M75">IFERROR(_xlfn.LET(
_xlpm.CSVVal,_xlfn.XLOOKUP($A75,CSV!$A:$A,CSV!Q:Q,""),
_xlpm.MacVal,_xlfn.XLOOKUP($A75,Output_Mac!$A:$A,Output_Mac!M:M,""),
_xlpm.MyAuditVal,_xlfn.XLOOKUP($A75,My_Audit!$A:$A,My_Audit!L:L,""),
_xlfn.IFS(_xlpm.MyAuditVal&lt;&gt;"",UPPER(_xlpm.MyAuditVal),_xlpm.MacVal&lt;&gt;"",_xlpm.MacVal,_xlpm.CSVVal&lt;&gt;"",_xlpm.CSVVal
)),"")</f>
        <v/>
      </c>
      <c r="O75" s="2" t="str">
        <f>_xlfn.LET(
    _xlpm.CSVVal, _xlfn.XLOOKUP($A75, CSV!$A:$A, CSV!AA:AA, ""),
    _xlpm.MacVal, _xlfn.XLOOKUP($A75, Output_Mac!$A:$A, Output_Mac!S:S, ""),
    _xlpm.MyAuditVal, _xlfn.XLOOKUP($A75, My_Audit!$A:$A, My_Audit!P:P, ""),
    _xlfn.TEXTJOIN(", ", TRUE, _xlpm.MyAuditVal, _xlpm.MacVal, _xlpm.CSVVal)
)</f>
        <v/>
      </c>
      <c r="P75" s="2" t="str" cm="1">
        <f t="array" ref="P75">IFERROR(_xlfn.LET(
_xlpm.CSVVal,_xlfn.XLOOKUP($A75,CSV!$A:$A,CSV!AB:AB,""),
_xlpm.MacVal,_xlfn.XLOOKUP($A75,Output_Mac!$A:$A,Output_Mac!T:T,""),
_xlpm.MyAuditVal,_xlfn.XLOOKUP($A75,My_Audit!$A:$A,My_Audit!Q:Q,""),
_xlfn.IFS(_xlpm.MyAuditVal&lt;&gt;"",UPPER(_xlpm.MyAuditVal),_xlpm.MacVal&lt;&gt;"",_xlpm.MacVal,_xlpm.CSVVal&lt;&gt;"",_xlpm.CSVVal
)),"No")</f>
        <v>No</v>
      </c>
      <c r="Q75" s="2" t="str" cm="1">
        <f t="array" ref="Q75">IFERROR(_xlfn.LET(
_xlpm.CSVVal,_xlfn.XLOOKUP($A75,CSV!$A:$A,CSV!AC:AC,""),
_xlpm.MacVal,_xlfn.XLOOKUP($A75,Output_Mac!$A:$A,Output_Mac!U:U,""),
_xlpm.MyAuditVal,_xlfn.XLOOKUP($A75,My_Audit!$A:$A,My_Audit!R:R,""),
_xlfn.IFS(_xlpm.MyAuditVal&lt;&gt;"",UPPER(_xlpm.MyAuditVal),_xlpm.MacVal&lt;&gt;"",_xlpm.MacVal,_xlpm.CSVVal&lt;&gt;"",_xlpm.CSVVal
)),"")</f>
        <v/>
      </c>
      <c r="X75" t="str">
        <f>_xlfn.LET(
    _xlpm.MacVal, _xlfn.XLOOKUP($A75, Output_Mac!$A:$A, Output_Mac!AB:AB, ""),
    _xlpm.MyAuditVal, _xlfn.XLOOKUP($A75, My_Audit!$A:$A, My_Audit!N:N, ""),
    _xlfn.TEXTJOIN(", ", TRUE, _xlpm.MyAuditVal, _xlpm.MacVal)
)</f>
        <v/>
      </c>
    </row>
    <row r="76" spans="1:24">
      <c r="A76" s="2" t="str">
        <f>_xlfn.TEXTJOIN("",TRUE,Input!$B$2,ROW(My_Audit!A75))</f>
        <v>X75</v>
      </c>
      <c r="B76" s="2" t="str">
        <f>_xlfn.TEXTJOIN("-",TRUE,"ITD",Input!$A$2,A76)</f>
        <v>ITD-SHR-X75</v>
      </c>
      <c r="C76" s="2" t="str" cm="1">
        <f t="array" ref="C76">IFERROR(_xlfn.LET(
_xlpm.CSVVal,_xlfn.XLOOKUP($A76,CSV!$A:$A,CSV!B:B,""),
_xlpm.MacVal,_xlfn.XLOOKUP($A76,Output_Mac!$A:$A,Output_Mac!B:B,""),
_xlpm.MyAuditVal,_xlfn.XLOOKUP($A76,My_Audit!$A:$A,My_Audit!B:B,""),
_xlfn.IFS(_xlpm.MyAuditVal&lt;&gt;"",UPPER(_xlpm.MyAuditVal),_xlpm.MacVal&lt;&gt;"",_xlpm.MacVal,_xlpm.CSVVal&lt;&gt;"",_xlpm.CSVVal
)),"")</f>
        <v/>
      </c>
      <c r="D76" s="2" t="str" cm="1">
        <f t="array" ref="D76">IFERROR(_xlfn.LET(
_xlpm.CSVVal,_xlfn.XLOOKUP($A76,CSV!$A:$A,CSV!D:D,""),
_xlpm.MacVal,_xlfn.XLOOKUP($A76,Output_Mac!$A:$A,Output_Mac!C:C,""),
_xlpm.MyAuditVal,_xlfn.XLOOKUP($A76,My_Audit!$A:$A,My_Audit!C:C,""),
_xlfn.IFS(_xlpm.MyAuditVal&lt;&gt;"",_xlpm.MyAuditVal,_xlpm.MacVal&lt;&gt;"",_xlpm.MacVal,_xlpm.CSVVal&lt;&gt;"",_xlpm.CSVVal
)),"")</f>
        <v/>
      </c>
      <c r="E76" s="2" t="str">
        <f>_xlfn.XLOOKUP(A76,My_Audit!A:A,My_Audit!D:D,"")</f>
        <v/>
      </c>
      <c r="F76" s="2" t="str" cm="1">
        <f t="array" ref="F76">IFERROR(_xlfn.LET(
_xlpm.CSVVal,_xlfn.XLOOKUP($A76,CSV!$A:$A,CSV!F:F,""),
_xlpm.MacVal,_xlfn.XLOOKUP($A76,Output_Mac!$A:$A,Output_Mac!E:E,""),
_xlpm.MyAuditVal,_xlfn.XLOOKUP($A76,My_Audit!$A:$A,My_Audit!E:E,""),
_xlfn.IFS(_xlpm.MyAuditVal&lt;&gt;"",_xlpm.MyAuditVal,_xlpm.MacVal&lt;&gt;"",_xlpm.MacVal,_xlpm.CSVVal&lt;&gt;"",_xlpm.CSVVal
)),"")</f>
        <v/>
      </c>
      <c r="G76" s="2" t="str" cm="1">
        <f t="array" ref="G76">IFERROR(_xlfn.LET(
_xlpm.CSVVal,_xlfn.XLOOKUP($A76,CSV!$A:$A,CSV!G:G,""),
_xlpm.MacVal,_xlfn.XLOOKUP($A76,Output_Mac!$A:$A,Output_Mac!F:F,""),
_xlpm.MyAuditVal,_xlfn.XLOOKUP($A76,My_Audit!$A:$A,My_Audit!F:F,""),
_xlfn.IFS(_xlpm.MyAuditVal&lt;&gt;"",_xlpm.MyAuditVal,_xlpm.MacVal&lt;&gt;"",_xlpm.MacVal,_xlpm.CSVVal&lt;&gt;"",PROPER(_xlpm.CSVVal)
)),"")</f>
        <v/>
      </c>
      <c r="H76" s="2" t="str" cm="1">
        <f t="array" ref="H76">IFERROR(_xlfn.LET(
_xlpm.CSVVal,_xlfn.XLOOKUP($A76,CSV!$A:$A,CSV!H:H,""),
_xlpm.MacVal,_xlfn.XLOOKUP($A76,Output_Mac!$A:$A,Output_Mac!H:H,""),
_xlpm.MyAuditVal,_xlfn.XLOOKUP($A76,My_Audit!$A:$A,My_Audit!G:G,""),
_xlfn.IFS(_xlpm.MyAuditVal&lt;&gt;"",_xlpm.MyAuditVal,_xlpm.MacVal&lt;&gt;"",_xlpm.MacVal,_xlpm.CSVVal&lt;&gt;"",_xlpm.CSVVal
)),"")</f>
        <v/>
      </c>
      <c r="I76" s="2" t="str">
        <f>_xlfn.XLOOKUP(A76,Output_Mac!A:A,Output_Mac!I:I,"")</f>
        <v/>
      </c>
      <c r="J76" s="2" t="str" cm="1">
        <f t="array" ref="J76">IFERROR(_xlfn.LET(
_xlpm.CSVVal,_xlfn.XLOOKUP($A76,CSV!$A:$A,CSV!I:I,""),
_xlpm.MacVal,_xlfn.XLOOKUP($A76,Output_Mac!$A:$A,Output_Mac!J:J,""),
_xlpm.MyAuditVal,_xlfn.XLOOKUP($A76,My_Audit!$A:$A,My_Audit!I:I,""),
_xlfn.IFS(_xlpm.MyAuditVal&lt;&gt;"",UPPER(_xlpm.MyAuditVal),_xlpm.MacVal&lt;&gt;"",_xlpm.MacVal,_xlpm.CSVVal&lt;&gt;"",_xlpm.CSVVal
)),"")</f>
        <v/>
      </c>
      <c r="K76" s="2" t="str" cm="1">
        <f t="array" ref="K76">IFERROR(_xlfn.LET(
_xlpm.CSVVal,_xlfn.XLOOKUP($A76,CSV!$A:$A,CSV!K:K,""),
_xlpm.MacVal,_xlfn.XLOOKUP($A76,Output_Mac!$A:$A,Output_Mac!K:K,""),
_xlpm.MyAuditVal,_xlfn.XLOOKUP($A76,My_Audit!$A:$A,My_Audit!J:J,""),
_xlfn.IFS(_xlpm.MyAuditVal&lt;&gt;"",UPPER(_xlpm.MyAuditVal),_xlpm.MacVal&lt;&gt;"",_xlpm.MacVal,_xlpm.CSVVal&lt;&gt;"",_xlpm.CSVVal
)),"")</f>
        <v/>
      </c>
      <c r="L76" s="2" t="str" cm="1">
        <f t="array" ref="L76">IFERROR(_xlfn.LET(
_xlpm.CSVVal,_xlfn.XLOOKUP($A76,CSV!$A:$A,CSV!P:P,""),
_xlpm.MacVal,_xlfn.XLOOKUP($A76,Output_Mac!$A:$A,Output_Mac!L:L,""),
_xlpm.MyAuditVal,_xlfn.XLOOKUP($A76,My_Audit!$A:$A,My_Audit!K:K,""),
_xlfn.IFS(_xlpm.MyAuditVal&lt;&gt;"",UPPER(_xlpm.MyAuditVal),_xlpm.MacVal&lt;&gt;"",_xlpm.MacVal,_xlpm.CSVVal&lt;&gt;"",_xlpm.CSVVal
)),"")</f>
        <v/>
      </c>
      <c r="M76" s="2" t="str" cm="1">
        <f t="array" ref="M76">IFERROR(_xlfn.LET(
_xlpm.CSVVal,_xlfn.XLOOKUP($A76,CSV!$A:$A,CSV!Q:Q,""),
_xlpm.MacVal,_xlfn.XLOOKUP($A76,Output_Mac!$A:$A,Output_Mac!M:M,""),
_xlpm.MyAuditVal,_xlfn.XLOOKUP($A76,My_Audit!$A:$A,My_Audit!L:L,""),
_xlfn.IFS(_xlpm.MyAuditVal&lt;&gt;"",UPPER(_xlpm.MyAuditVal),_xlpm.MacVal&lt;&gt;"",_xlpm.MacVal,_xlpm.CSVVal&lt;&gt;"",_xlpm.CSVVal
)),"")</f>
        <v/>
      </c>
      <c r="O76" s="2" t="str">
        <f>_xlfn.LET(
    _xlpm.CSVVal, _xlfn.XLOOKUP($A76, CSV!$A:$A, CSV!AA:AA, ""),
    _xlpm.MacVal, _xlfn.XLOOKUP($A76, Output_Mac!$A:$A, Output_Mac!S:S, ""),
    _xlpm.MyAuditVal, _xlfn.XLOOKUP($A76, My_Audit!$A:$A, My_Audit!P:P, ""),
    _xlfn.TEXTJOIN(", ", TRUE, _xlpm.MyAuditVal, _xlpm.MacVal, _xlpm.CSVVal)
)</f>
        <v/>
      </c>
      <c r="P76" s="2" t="str" cm="1">
        <f t="array" ref="P76">IFERROR(_xlfn.LET(
_xlpm.CSVVal,_xlfn.XLOOKUP($A76,CSV!$A:$A,CSV!AB:AB,""),
_xlpm.MacVal,_xlfn.XLOOKUP($A76,Output_Mac!$A:$A,Output_Mac!T:T,""),
_xlpm.MyAuditVal,_xlfn.XLOOKUP($A76,My_Audit!$A:$A,My_Audit!Q:Q,""),
_xlfn.IFS(_xlpm.MyAuditVal&lt;&gt;"",UPPER(_xlpm.MyAuditVal),_xlpm.MacVal&lt;&gt;"",_xlpm.MacVal,_xlpm.CSVVal&lt;&gt;"",_xlpm.CSVVal
)),"No")</f>
        <v>No</v>
      </c>
      <c r="Q76" s="2" t="str" cm="1">
        <f t="array" ref="Q76">IFERROR(_xlfn.LET(
_xlpm.CSVVal,_xlfn.XLOOKUP($A76,CSV!$A:$A,CSV!AC:AC,""),
_xlpm.MacVal,_xlfn.XLOOKUP($A76,Output_Mac!$A:$A,Output_Mac!U:U,""),
_xlpm.MyAuditVal,_xlfn.XLOOKUP($A76,My_Audit!$A:$A,My_Audit!R:R,""),
_xlfn.IFS(_xlpm.MyAuditVal&lt;&gt;"",UPPER(_xlpm.MyAuditVal),_xlpm.MacVal&lt;&gt;"",_xlpm.MacVal,_xlpm.CSVVal&lt;&gt;"",_xlpm.CSVVal
)),"")</f>
        <v/>
      </c>
      <c r="X76" t="str">
        <f>_xlfn.LET(
    _xlpm.MacVal, _xlfn.XLOOKUP($A76, Output_Mac!$A:$A, Output_Mac!AB:AB, ""),
    _xlpm.MyAuditVal, _xlfn.XLOOKUP($A76, My_Audit!$A:$A, My_Audit!N:N, ""),
    _xlfn.TEXTJOIN(", ", TRUE, _xlpm.MyAuditVal, _xlpm.MacVal)
)</f>
        <v/>
      </c>
    </row>
    <row r="77" spans="1:24">
      <c r="A77" s="2" t="str">
        <f>_xlfn.TEXTJOIN("",TRUE,Input!$B$2,ROW(My_Audit!A76))</f>
        <v>X76</v>
      </c>
      <c r="B77" s="2" t="str">
        <f>_xlfn.TEXTJOIN("-",TRUE,"ITD",Input!$A$2,A77)</f>
        <v>ITD-SHR-X76</v>
      </c>
      <c r="C77" s="2" t="str" cm="1">
        <f t="array" ref="C77">IFERROR(_xlfn.LET(
_xlpm.CSVVal,_xlfn.XLOOKUP($A77,CSV!$A:$A,CSV!B:B,""),
_xlpm.MacVal,_xlfn.XLOOKUP($A77,Output_Mac!$A:$A,Output_Mac!B:B,""),
_xlpm.MyAuditVal,_xlfn.XLOOKUP($A77,My_Audit!$A:$A,My_Audit!B:B,""),
_xlfn.IFS(_xlpm.MyAuditVal&lt;&gt;"",UPPER(_xlpm.MyAuditVal),_xlpm.MacVal&lt;&gt;"",_xlpm.MacVal,_xlpm.CSVVal&lt;&gt;"",_xlpm.CSVVal
)),"")</f>
        <v/>
      </c>
      <c r="D77" s="2" t="str" cm="1">
        <f t="array" ref="D77">IFERROR(_xlfn.LET(
_xlpm.CSVVal,_xlfn.XLOOKUP($A77,CSV!$A:$A,CSV!D:D,""),
_xlpm.MacVal,_xlfn.XLOOKUP($A77,Output_Mac!$A:$A,Output_Mac!C:C,""),
_xlpm.MyAuditVal,_xlfn.XLOOKUP($A77,My_Audit!$A:$A,My_Audit!C:C,""),
_xlfn.IFS(_xlpm.MyAuditVal&lt;&gt;"",_xlpm.MyAuditVal,_xlpm.MacVal&lt;&gt;"",_xlpm.MacVal,_xlpm.CSVVal&lt;&gt;"",_xlpm.CSVVal
)),"")</f>
        <v/>
      </c>
      <c r="E77" s="2" t="str">
        <f>_xlfn.XLOOKUP(A77,My_Audit!A:A,My_Audit!D:D,"")</f>
        <v/>
      </c>
      <c r="F77" s="2" t="str" cm="1">
        <f t="array" ref="F77">IFERROR(_xlfn.LET(
_xlpm.CSVVal,_xlfn.XLOOKUP($A77,CSV!$A:$A,CSV!F:F,""),
_xlpm.MacVal,_xlfn.XLOOKUP($A77,Output_Mac!$A:$A,Output_Mac!E:E,""),
_xlpm.MyAuditVal,_xlfn.XLOOKUP($A77,My_Audit!$A:$A,My_Audit!E:E,""),
_xlfn.IFS(_xlpm.MyAuditVal&lt;&gt;"",_xlpm.MyAuditVal,_xlpm.MacVal&lt;&gt;"",_xlpm.MacVal,_xlpm.CSVVal&lt;&gt;"",_xlpm.CSVVal
)),"")</f>
        <v/>
      </c>
      <c r="G77" s="2" t="str" cm="1">
        <f t="array" ref="G77">IFERROR(_xlfn.LET(
_xlpm.CSVVal,_xlfn.XLOOKUP($A77,CSV!$A:$A,CSV!G:G,""),
_xlpm.MacVal,_xlfn.XLOOKUP($A77,Output_Mac!$A:$A,Output_Mac!F:F,""),
_xlpm.MyAuditVal,_xlfn.XLOOKUP($A77,My_Audit!$A:$A,My_Audit!F:F,""),
_xlfn.IFS(_xlpm.MyAuditVal&lt;&gt;"",_xlpm.MyAuditVal,_xlpm.MacVal&lt;&gt;"",_xlpm.MacVal,_xlpm.CSVVal&lt;&gt;"",PROPER(_xlpm.CSVVal)
)),"")</f>
        <v/>
      </c>
      <c r="H77" s="2" t="str" cm="1">
        <f t="array" ref="H77">IFERROR(_xlfn.LET(
_xlpm.CSVVal,_xlfn.XLOOKUP($A77,CSV!$A:$A,CSV!H:H,""),
_xlpm.MacVal,_xlfn.XLOOKUP($A77,Output_Mac!$A:$A,Output_Mac!H:H,""),
_xlpm.MyAuditVal,_xlfn.XLOOKUP($A77,My_Audit!$A:$A,My_Audit!G:G,""),
_xlfn.IFS(_xlpm.MyAuditVal&lt;&gt;"",_xlpm.MyAuditVal,_xlpm.MacVal&lt;&gt;"",_xlpm.MacVal,_xlpm.CSVVal&lt;&gt;"",_xlpm.CSVVal
)),"")</f>
        <v/>
      </c>
      <c r="I77" s="2" t="str">
        <f>_xlfn.XLOOKUP(A77,Output_Mac!A:A,Output_Mac!I:I,"")</f>
        <v/>
      </c>
      <c r="J77" s="2" t="str" cm="1">
        <f t="array" ref="J77">IFERROR(_xlfn.LET(
_xlpm.CSVVal,_xlfn.XLOOKUP($A77,CSV!$A:$A,CSV!I:I,""),
_xlpm.MacVal,_xlfn.XLOOKUP($A77,Output_Mac!$A:$A,Output_Mac!J:J,""),
_xlpm.MyAuditVal,_xlfn.XLOOKUP($A77,My_Audit!$A:$A,My_Audit!I:I,""),
_xlfn.IFS(_xlpm.MyAuditVal&lt;&gt;"",UPPER(_xlpm.MyAuditVal),_xlpm.MacVal&lt;&gt;"",_xlpm.MacVal,_xlpm.CSVVal&lt;&gt;"",_xlpm.CSVVal
)),"")</f>
        <v/>
      </c>
      <c r="K77" s="2" t="str" cm="1">
        <f t="array" ref="K77">IFERROR(_xlfn.LET(
_xlpm.CSVVal,_xlfn.XLOOKUP($A77,CSV!$A:$A,CSV!K:K,""),
_xlpm.MacVal,_xlfn.XLOOKUP($A77,Output_Mac!$A:$A,Output_Mac!K:K,""),
_xlpm.MyAuditVal,_xlfn.XLOOKUP($A77,My_Audit!$A:$A,My_Audit!J:J,""),
_xlfn.IFS(_xlpm.MyAuditVal&lt;&gt;"",UPPER(_xlpm.MyAuditVal),_xlpm.MacVal&lt;&gt;"",_xlpm.MacVal,_xlpm.CSVVal&lt;&gt;"",_xlpm.CSVVal
)),"")</f>
        <v/>
      </c>
      <c r="L77" s="2" t="str" cm="1">
        <f t="array" ref="L77">IFERROR(_xlfn.LET(
_xlpm.CSVVal,_xlfn.XLOOKUP($A77,CSV!$A:$A,CSV!P:P,""),
_xlpm.MacVal,_xlfn.XLOOKUP($A77,Output_Mac!$A:$A,Output_Mac!L:L,""),
_xlpm.MyAuditVal,_xlfn.XLOOKUP($A77,My_Audit!$A:$A,My_Audit!K:K,""),
_xlfn.IFS(_xlpm.MyAuditVal&lt;&gt;"",UPPER(_xlpm.MyAuditVal),_xlpm.MacVal&lt;&gt;"",_xlpm.MacVal,_xlpm.CSVVal&lt;&gt;"",_xlpm.CSVVal
)),"")</f>
        <v/>
      </c>
      <c r="M77" s="2" t="str" cm="1">
        <f t="array" ref="M77">IFERROR(_xlfn.LET(
_xlpm.CSVVal,_xlfn.XLOOKUP($A77,CSV!$A:$A,CSV!Q:Q,""),
_xlpm.MacVal,_xlfn.XLOOKUP($A77,Output_Mac!$A:$A,Output_Mac!M:M,""),
_xlpm.MyAuditVal,_xlfn.XLOOKUP($A77,My_Audit!$A:$A,My_Audit!L:L,""),
_xlfn.IFS(_xlpm.MyAuditVal&lt;&gt;"",UPPER(_xlpm.MyAuditVal),_xlpm.MacVal&lt;&gt;"",_xlpm.MacVal,_xlpm.CSVVal&lt;&gt;"",_xlpm.CSVVal
)),"")</f>
        <v/>
      </c>
      <c r="O77" s="2" t="str">
        <f>_xlfn.LET(
    _xlpm.CSVVal, _xlfn.XLOOKUP($A77, CSV!$A:$A, CSV!AA:AA, ""),
    _xlpm.MacVal, _xlfn.XLOOKUP($A77, Output_Mac!$A:$A, Output_Mac!S:S, ""),
    _xlpm.MyAuditVal, _xlfn.XLOOKUP($A77, My_Audit!$A:$A, My_Audit!P:P, ""),
    _xlfn.TEXTJOIN(", ", TRUE, _xlpm.MyAuditVal, _xlpm.MacVal, _xlpm.CSVVal)
)</f>
        <v/>
      </c>
      <c r="P77" s="2" t="str" cm="1">
        <f t="array" ref="P77">IFERROR(_xlfn.LET(
_xlpm.CSVVal,_xlfn.XLOOKUP($A77,CSV!$A:$A,CSV!AB:AB,""),
_xlpm.MacVal,_xlfn.XLOOKUP($A77,Output_Mac!$A:$A,Output_Mac!T:T,""),
_xlpm.MyAuditVal,_xlfn.XLOOKUP($A77,My_Audit!$A:$A,My_Audit!Q:Q,""),
_xlfn.IFS(_xlpm.MyAuditVal&lt;&gt;"",UPPER(_xlpm.MyAuditVal),_xlpm.MacVal&lt;&gt;"",_xlpm.MacVal,_xlpm.CSVVal&lt;&gt;"",_xlpm.CSVVal
)),"No")</f>
        <v>No</v>
      </c>
      <c r="Q77" s="2" t="str" cm="1">
        <f t="array" ref="Q77">IFERROR(_xlfn.LET(
_xlpm.CSVVal,_xlfn.XLOOKUP($A77,CSV!$A:$A,CSV!AC:AC,""),
_xlpm.MacVal,_xlfn.XLOOKUP($A77,Output_Mac!$A:$A,Output_Mac!U:U,""),
_xlpm.MyAuditVal,_xlfn.XLOOKUP($A77,My_Audit!$A:$A,My_Audit!R:R,""),
_xlfn.IFS(_xlpm.MyAuditVal&lt;&gt;"",UPPER(_xlpm.MyAuditVal),_xlpm.MacVal&lt;&gt;"",_xlpm.MacVal,_xlpm.CSVVal&lt;&gt;"",_xlpm.CSVVal
)),"")</f>
        <v/>
      </c>
      <c r="X77" t="str">
        <f>_xlfn.LET(
    _xlpm.MacVal, _xlfn.XLOOKUP($A77, Output_Mac!$A:$A, Output_Mac!AB:AB, ""),
    _xlpm.MyAuditVal, _xlfn.XLOOKUP($A77, My_Audit!$A:$A, My_Audit!N:N, ""),
    _xlfn.TEXTJOIN(", ", TRUE, _xlpm.MyAuditVal, _xlpm.MacVal)
)</f>
        <v/>
      </c>
    </row>
    <row r="78" spans="1:24">
      <c r="A78" s="2" t="str">
        <f>_xlfn.TEXTJOIN("",TRUE,Input!$B$2,ROW(My_Audit!A77))</f>
        <v>X77</v>
      </c>
      <c r="B78" s="2" t="str">
        <f>_xlfn.TEXTJOIN("-",TRUE,"ITD",Input!$A$2,A78)</f>
        <v>ITD-SHR-X77</v>
      </c>
      <c r="C78" s="2" t="str" cm="1">
        <f t="array" ref="C78">IFERROR(_xlfn.LET(
_xlpm.CSVVal,_xlfn.XLOOKUP($A78,CSV!$A:$A,CSV!B:B,""),
_xlpm.MacVal,_xlfn.XLOOKUP($A78,Output_Mac!$A:$A,Output_Mac!B:B,""),
_xlpm.MyAuditVal,_xlfn.XLOOKUP($A78,My_Audit!$A:$A,My_Audit!B:B,""),
_xlfn.IFS(_xlpm.MyAuditVal&lt;&gt;"",UPPER(_xlpm.MyAuditVal),_xlpm.MacVal&lt;&gt;"",_xlpm.MacVal,_xlpm.CSVVal&lt;&gt;"",_xlpm.CSVVal
)),"")</f>
        <v/>
      </c>
      <c r="D78" s="2" t="str" cm="1">
        <f t="array" ref="D78">IFERROR(_xlfn.LET(
_xlpm.CSVVal,_xlfn.XLOOKUP($A78,CSV!$A:$A,CSV!D:D,""),
_xlpm.MacVal,_xlfn.XLOOKUP($A78,Output_Mac!$A:$A,Output_Mac!C:C,""),
_xlpm.MyAuditVal,_xlfn.XLOOKUP($A78,My_Audit!$A:$A,My_Audit!C:C,""),
_xlfn.IFS(_xlpm.MyAuditVal&lt;&gt;"",_xlpm.MyAuditVal,_xlpm.MacVal&lt;&gt;"",_xlpm.MacVal,_xlpm.CSVVal&lt;&gt;"",_xlpm.CSVVal
)),"")</f>
        <v/>
      </c>
      <c r="E78" s="2" t="str">
        <f>_xlfn.XLOOKUP(A78,My_Audit!A:A,My_Audit!D:D,"")</f>
        <v/>
      </c>
      <c r="F78" s="2" t="str" cm="1">
        <f t="array" ref="F78">IFERROR(_xlfn.LET(
_xlpm.CSVVal,_xlfn.XLOOKUP($A78,CSV!$A:$A,CSV!F:F,""),
_xlpm.MacVal,_xlfn.XLOOKUP($A78,Output_Mac!$A:$A,Output_Mac!E:E,""),
_xlpm.MyAuditVal,_xlfn.XLOOKUP($A78,My_Audit!$A:$A,My_Audit!E:E,""),
_xlfn.IFS(_xlpm.MyAuditVal&lt;&gt;"",_xlpm.MyAuditVal,_xlpm.MacVal&lt;&gt;"",_xlpm.MacVal,_xlpm.CSVVal&lt;&gt;"",_xlpm.CSVVal
)),"")</f>
        <v/>
      </c>
      <c r="G78" s="2" t="str" cm="1">
        <f t="array" ref="G78">IFERROR(_xlfn.LET(
_xlpm.CSVVal,_xlfn.XLOOKUP($A78,CSV!$A:$A,CSV!G:G,""),
_xlpm.MacVal,_xlfn.XLOOKUP($A78,Output_Mac!$A:$A,Output_Mac!F:F,""),
_xlpm.MyAuditVal,_xlfn.XLOOKUP($A78,My_Audit!$A:$A,My_Audit!F:F,""),
_xlfn.IFS(_xlpm.MyAuditVal&lt;&gt;"",_xlpm.MyAuditVal,_xlpm.MacVal&lt;&gt;"",_xlpm.MacVal,_xlpm.CSVVal&lt;&gt;"",PROPER(_xlpm.CSVVal)
)),"")</f>
        <v/>
      </c>
      <c r="H78" s="2" t="str" cm="1">
        <f t="array" ref="H78">IFERROR(_xlfn.LET(
_xlpm.CSVVal,_xlfn.XLOOKUP($A78,CSV!$A:$A,CSV!H:H,""),
_xlpm.MacVal,_xlfn.XLOOKUP($A78,Output_Mac!$A:$A,Output_Mac!H:H,""),
_xlpm.MyAuditVal,_xlfn.XLOOKUP($A78,My_Audit!$A:$A,My_Audit!G:G,""),
_xlfn.IFS(_xlpm.MyAuditVal&lt;&gt;"",_xlpm.MyAuditVal,_xlpm.MacVal&lt;&gt;"",_xlpm.MacVal,_xlpm.CSVVal&lt;&gt;"",_xlpm.CSVVal
)),"")</f>
        <v/>
      </c>
      <c r="I78" s="2" t="str">
        <f>_xlfn.XLOOKUP(A78,Output_Mac!A:A,Output_Mac!I:I,"")</f>
        <v/>
      </c>
      <c r="J78" s="2" t="str" cm="1">
        <f t="array" ref="J78">IFERROR(_xlfn.LET(
_xlpm.CSVVal,_xlfn.XLOOKUP($A78,CSV!$A:$A,CSV!I:I,""),
_xlpm.MacVal,_xlfn.XLOOKUP($A78,Output_Mac!$A:$A,Output_Mac!J:J,""),
_xlpm.MyAuditVal,_xlfn.XLOOKUP($A78,My_Audit!$A:$A,My_Audit!I:I,""),
_xlfn.IFS(_xlpm.MyAuditVal&lt;&gt;"",UPPER(_xlpm.MyAuditVal),_xlpm.MacVal&lt;&gt;"",_xlpm.MacVal,_xlpm.CSVVal&lt;&gt;"",_xlpm.CSVVal
)),"")</f>
        <v/>
      </c>
      <c r="K78" s="2" t="str" cm="1">
        <f t="array" ref="K78">IFERROR(_xlfn.LET(
_xlpm.CSVVal,_xlfn.XLOOKUP($A78,CSV!$A:$A,CSV!K:K,""),
_xlpm.MacVal,_xlfn.XLOOKUP($A78,Output_Mac!$A:$A,Output_Mac!K:K,""),
_xlpm.MyAuditVal,_xlfn.XLOOKUP($A78,My_Audit!$A:$A,My_Audit!J:J,""),
_xlfn.IFS(_xlpm.MyAuditVal&lt;&gt;"",UPPER(_xlpm.MyAuditVal),_xlpm.MacVal&lt;&gt;"",_xlpm.MacVal,_xlpm.CSVVal&lt;&gt;"",_xlpm.CSVVal
)),"")</f>
        <v/>
      </c>
      <c r="L78" s="2" t="str" cm="1">
        <f t="array" ref="L78">IFERROR(_xlfn.LET(
_xlpm.CSVVal,_xlfn.XLOOKUP($A78,CSV!$A:$A,CSV!P:P,""),
_xlpm.MacVal,_xlfn.XLOOKUP($A78,Output_Mac!$A:$A,Output_Mac!L:L,""),
_xlpm.MyAuditVal,_xlfn.XLOOKUP($A78,My_Audit!$A:$A,My_Audit!K:K,""),
_xlfn.IFS(_xlpm.MyAuditVal&lt;&gt;"",UPPER(_xlpm.MyAuditVal),_xlpm.MacVal&lt;&gt;"",_xlpm.MacVal,_xlpm.CSVVal&lt;&gt;"",_xlpm.CSVVal
)),"")</f>
        <v/>
      </c>
      <c r="M78" s="2" t="str" cm="1">
        <f t="array" ref="M78">IFERROR(_xlfn.LET(
_xlpm.CSVVal,_xlfn.XLOOKUP($A78,CSV!$A:$A,CSV!Q:Q,""),
_xlpm.MacVal,_xlfn.XLOOKUP($A78,Output_Mac!$A:$A,Output_Mac!M:M,""),
_xlpm.MyAuditVal,_xlfn.XLOOKUP($A78,My_Audit!$A:$A,My_Audit!L:L,""),
_xlfn.IFS(_xlpm.MyAuditVal&lt;&gt;"",UPPER(_xlpm.MyAuditVal),_xlpm.MacVal&lt;&gt;"",_xlpm.MacVal,_xlpm.CSVVal&lt;&gt;"",_xlpm.CSVVal
)),"")</f>
        <v/>
      </c>
      <c r="O78" s="2" t="str">
        <f>_xlfn.LET(
    _xlpm.CSVVal, _xlfn.XLOOKUP($A78, CSV!$A:$A, CSV!AA:AA, ""),
    _xlpm.MacVal, _xlfn.XLOOKUP($A78, Output_Mac!$A:$A, Output_Mac!S:S, ""),
    _xlpm.MyAuditVal, _xlfn.XLOOKUP($A78, My_Audit!$A:$A, My_Audit!P:P, ""),
    _xlfn.TEXTJOIN(", ", TRUE, _xlpm.MyAuditVal, _xlpm.MacVal, _xlpm.CSVVal)
)</f>
        <v/>
      </c>
      <c r="P78" s="2" t="str" cm="1">
        <f t="array" ref="P78">IFERROR(_xlfn.LET(
_xlpm.CSVVal,_xlfn.XLOOKUP($A78,CSV!$A:$A,CSV!AB:AB,""),
_xlpm.MacVal,_xlfn.XLOOKUP($A78,Output_Mac!$A:$A,Output_Mac!T:T,""),
_xlpm.MyAuditVal,_xlfn.XLOOKUP($A78,My_Audit!$A:$A,My_Audit!Q:Q,""),
_xlfn.IFS(_xlpm.MyAuditVal&lt;&gt;"",UPPER(_xlpm.MyAuditVal),_xlpm.MacVal&lt;&gt;"",_xlpm.MacVal,_xlpm.CSVVal&lt;&gt;"",_xlpm.CSVVal
)),"No")</f>
        <v>No</v>
      </c>
      <c r="Q78" s="2" t="str" cm="1">
        <f t="array" ref="Q78">IFERROR(_xlfn.LET(
_xlpm.CSVVal,_xlfn.XLOOKUP($A78,CSV!$A:$A,CSV!AC:AC,""),
_xlpm.MacVal,_xlfn.XLOOKUP($A78,Output_Mac!$A:$A,Output_Mac!U:U,""),
_xlpm.MyAuditVal,_xlfn.XLOOKUP($A78,My_Audit!$A:$A,My_Audit!R:R,""),
_xlfn.IFS(_xlpm.MyAuditVal&lt;&gt;"",UPPER(_xlpm.MyAuditVal),_xlpm.MacVal&lt;&gt;"",_xlpm.MacVal,_xlpm.CSVVal&lt;&gt;"",_xlpm.CSVVal
)),"")</f>
        <v/>
      </c>
      <c r="X78" t="str">
        <f>_xlfn.LET(
    _xlpm.MacVal, _xlfn.XLOOKUP($A78, Output_Mac!$A:$A, Output_Mac!AB:AB, ""),
    _xlpm.MyAuditVal, _xlfn.XLOOKUP($A78, My_Audit!$A:$A, My_Audit!N:N, ""),
    _xlfn.TEXTJOIN(", ", TRUE, _xlpm.MyAuditVal, _xlpm.MacVal)
)</f>
        <v/>
      </c>
    </row>
    <row r="79" spans="1:24">
      <c r="A79" s="2" t="str">
        <f>_xlfn.TEXTJOIN("",TRUE,Input!$B$2,ROW(My_Audit!A78))</f>
        <v>X78</v>
      </c>
      <c r="B79" s="2" t="str">
        <f>_xlfn.TEXTJOIN("-",TRUE,"ITD",Input!$A$2,A79)</f>
        <v>ITD-SHR-X78</v>
      </c>
      <c r="C79" s="2" t="str" cm="1">
        <f t="array" ref="C79">IFERROR(_xlfn.LET(
_xlpm.CSVVal,_xlfn.XLOOKUP($A79,CSV!$A:$A,CSV!B:B,""),
_xlpm.MacVal,_xlfn.XLOOKUP($A79,Output_Mac!$A:$A,Output_Mac!B:B,""),
_xlpm.MyAuditVal,_xlfn.XLOOKUP($A79,My_Audit!$A:$A,My_Audit!B:B,""),
_xlfn.IFS(_xlpm.MyAuditVal&lt;&gt;"",UPPER(_xlpm.MyAuditVal),_xlpm.MacVal&lt;&gt;"",_xlpm.MacVal,_xlpm.CSVVal&lt;&gt;"",_xlpm.CSVVal
)),"")</f>
        <v/>
      </c>
      <c r="D79" s="2" t="str" cm="1">
        <f t="array" ref="D79">IFERROR(_xlfn.LET(
_xlpm.CSVVal,_xlfn.XLOOKUP($A79,CSV!$A:$A,CSV!D:D,""),
_xlpm.MacVal,_xlfn.XLOOKUP($A79,Output_Mac!$A:$A,Output_Mac!C:C,""),
_xlpm.MyAuditVal,_xlfn.XLOOKUP($A79,My_Audit!$A:$A,My_Audit!C:C,""),
_xlfn.IFS(_xlpm.MyAuditVal&lt;&gt;"",_xlpm.MyAuditVal,_xlpm.MacVal&lt;&gt;"",_xlpm.MacVal,_xlpm.CSVVal&lt;&gt;"",_xlpm.CSVVal
)),"")</f>
        <v/>
      </c>
      <c r="E79" s="2" t="str">
        <f>_xlfn.XLOOKUP(A79,My_Audit!A:A,My_Audit!D:D,"")</f>
        <v/>
      </c>
      <c r="F79" s="2" t="str" cm="1">
        <f t="array" ref="F79">IFERROR(_xlfn.LET(
_xlpm.CSVVal,_xlfn.XLOOKUP($A79,CSV!$A:$A,CSV!F:F,""),
_xlpm.MacVal,_xlfn.XLOOKUP($A79,Output_Mac!$A:$A,Output_Mac!E:E,""),
_xlpm.MyAuditVal,_xlfn.XLOOKUP($A79,My_Audit!$A:$A,My_Audit!E:E,""),
_xlfn.IFS(_xlpm.MyAuditVal&lt;&gt;"",_xlpm.MyAuditVal,_xlpm.MacVal&lt;&gt;"",_xlpm.MacVal,_xlpm.CSVVal&lt;&gt;"",_xlpm.CSVVal
)),"")</f>
        <v/>
      </c>
      <c r="G79" s="2" t="str" cm="1">
        <f t="array" ref="G79">IFERROR(_xlfn.LET(
_xlpm.CSVVal,_xlfn.XLOOKUP($A79,CSV!$A:$A,CSV!G:G,""),
_xlpm.MacVal,_xlfn.XLOOKUP($A79,Output_Mac!$A:$A,Output_Mac!F:F,""),
_xlpm.MyAuditVal,_xlfn.XLOOKUP($A79,My_Audit!$A:$A,My_Audit!F:F,""),
_xlfn.IFS(_xlpm.MyAuditVal&lt;&gt;"",_xlpm.MyAuditVal,_xlpm.MacVal&lt;&gt;"",_xlpm.MacVal,_xlpm.CSVVal&lt;&gt;"",PROPER(_xlpm.CSVVal)
)),"")</f>
        <v/>
      </c>
      <c r="H79" s="2" t="str" cm="1">
        <f t="array" ref="H79">IFERROR(_xlfn.LET(
_xlpm.CSVVal,_xlfn.XLOOKUP($A79,CSV!$A:$A,CSV!H:H,""),
_xlpm.MacVal,_xlfn.XLOOKUP($A79,Output_Mac!$A:$A,Output_Mac!H:H,""),
_xlpm.MyAuditVal,_xlfn.XLOOKUP($A79,My_Audit!$A:$A,My_Audit!G:G,""),
_xlfn.IFS(_xlpm.MyAuditVal&lt;&gt;"",_xlpm.MyAuditVal,_xlpm.MacVal&lt;&gt;"",_xlpm.MacVal,_xlpm.CSVVal&lt;&gt;"",_xlpm.CSVVal
)),"")</f>
        <v/>
      </c>
      <c r="I79" s="2" t="str">
        <f>_xlfn.XLOOKUP(A79,Output_Mac!A:A,Output_Mac!I:I,"")</f>
        <v/>
      </c>
      <c r="J79" s="2" t="str" cm="1">
        <f t="array" ref="J79">IFERROR(_xlfn.LET(
_xlpm.CSVVal,_xlfn.XLOOKUP($A79,CSV!$A:$A,CSV!I:I,""),
_xlpm.MacVal,_xlfn.XLOOKUP($A79,Output_Mac!$A:$A,Output_Mac!J:J,""),
_xlpm.MyAuditVal,_xlfn.XLOOKUP($A79,My_Audit!$A:$A,My_Audit!I:I,""),
_xlfn.IFS(_xlpm.MyAuditVal&lt;&gt;"",UPPER(_xlpm.MyAuditVal),_xlpm.MacVal&lt;&gt;"",_xlpm.MacVal,_xlpm.CSVVal&lt;&gt;"",_xlpm.CSVVal
)),"")</f>
        <v/>
      </c>
      <c r="K79" s="2" t="str" cm="1">
        <f t="array" ref="K79">IFERROR(_xlfn.LET(
_xlpm.CSVVal,_xlfn.XLOOKUP($A79,CSV!$A:$A,CSV!K:K,""),
_xlpm.MacVal,_xlfn.XLOOKUP($A79,Output_Mac!$A:$A,Output_Mac!K:K,""),
_xlpm.MyAuditVal,_xlfn.XLOOKUP($A79,My_Audit!$A:$A,My_Audit!J:J,""),
_xlfn.IFS(_xlpm.MyAuditVal&lt;&gt;"",UPPER(_xlpm.MyAuditVal),_xlpm.MacVal&lt;&gt;"",_xlpm.MacVal,_xlpm.CSVVal&lt;&gt;"",_xlpm.CSVVal
)),"")</f>
        <v/>
      </c>
      <c r="L79" s="2" t="str" cm="1">
        <f t="array" ref="L79">IFERROR(_xlfn.LET(
_xlpm.CSVVal,_xlfn.XLOOKUP($A79,CSV!$A:$A,CSV!P:P,""),
_xlpm.MacVal,_xlfn.XLOOKUP($A79,Output_Mac!$A:$A,Output_Mac!L:L,""),
_xlpm.MyAuditVal,_xlfn.XLOOKUP($A79,My_Audit!$A:$A,My_Audit!K:K,""),
_xlfn.IFS(_xlpm.MyAuditVal&lt;&gt;"",UPPER(_xlpm.MyAuditVal),_xlpm.MacVal&lt;&gt;"",_xlpm.MacVal,_xlpm.CSVVal&lt;&gt;"",_xlpm.CSVVal
)),"")</f>
        <v/>
      </c>
      <c r="M79" s="2" t="str" cm="1">
        <f t="array" ref="M79">IFERROR(_xlfn.LET(
_xlpm.CSVVal,_xlfn.XLOOKUP($A79,CSV!$A:$A,CSV!Q:Q,""),
_xlpm.MacVal,_xlfn.XLOOKUP($A79,Output_Mac!$A:$A,Output_Mac!M:M,""),
_xlpm.MyAuditVal,_xlfn.XLOOKUP($A79,My_Audit!$A:$A,My_Audit!L:L,""),
_xlfn.IFS(_xlpm.MyAuditVal&lt;&gt;"",UPPER(_xlpm.MyAuditVal),_xlpm.MacVal&lt;&gt;"",_xlpm.MacVal,_xlpm.CSVVal&lt;&gt;"",_xlpm.CSVVal
)),"")</f>
        <v/>
      </c>
      <c r="O79" s="2" t="str">
        <f>_xlfn.LET(
    _xlpm.CSVVal, _xlfn.XLOOKUP($A79, CSV!$A:$A, CSV!AA:AA, ""),
    _xlpm.MacVal, _xlfn.XLOOKUP($A79, Output_Mac!$A:$A, Output_Mac!S:S, ""),
    _xlpm.MyAuditVal, _xlfn.XLOOKUP($A79, My_Audit!$A:$A, My_Audit!P:P, ""),
    _xlfn.TEXTJOIN(", ", TRUE, _xlpm.MyAuditVal, _xlpm.MacVal, _xlpm.CSVVal)
)</f>
        <v/>
      </c>
      <c r="P79" s="2" t="str" cm="1">
        <f t="array" ref="P79">IFERROR(_xlfn.LET(
_xlpm.CSVVal,_xlfn.XLOOKUP($A79,CSV!$A:$A,CSV!AB:AB,""),
_xlpm.MacVal,_xlfn.XLOOKUP($A79,Output_Mac!$A:$A,Output_Mac!T:T,""),
_xlpm.MyAuditVal,_xlfn.XLOOKUP($A79,My_Audit!$A:$A,My_Audit!Q:Q,""),
_xlfn.IFS(_xlpm.MyAuditVal&lt;&gt;"",UPPER(_xlpm.MyAuditVal),_xlpm.MacVal&lt;&gt;"",_xlpm.MacVal,_xlpm.CSVVal&lt;&gt;"",_xlpm.CSVVal
)),"No")</f>
        <v>No</v>
      </c>
      <c r="Q79" s="2" t="str" cm="1">
        <f t="array" ref="Q79">IFERROR(_xlfn.LET(
_xlpm.CSVVal,_xlfn.XLOOKUP($A79,CSV!$A:$A,CSV!AC:AC,""),
_xlpm.MacVal,_xlfn.XLOOKUP($A79,Output_Mac!$A:$A,Output_Mac!U:U,""),
_xlpm.MyAuditVal,_xlfn.XLOOKUP($A79,My_Audit!$A:$A,My_Audit!R:R,""),
_xlfn.IFS(_xlpm.MyAuditVal&lt;&gt;"",UPPER(_xlpm.MyAuditVal),_xlpm.MacVal&lt;&gt;"",_xlpm.MacVal,_xlpm.CSVVal&lt;&gt;"",_xlpm.CSVVal
)),"")</f>
        <v/>
      </c>
      <c r="X79" t="str">
        <f>_xlfn.LET(
    _xlpm.MacVal, _xlfn.XLOOKUP($A79, Output_Mac!$A:$A, Output_Mac!AB:AB, ""),
    _xlpm.MyAuditVal, _xlfn.XLOOKUP($A79, My_Audit!$A:$A, My_Audit!N:N, ""),
    _xlfn.TEXTJOIN(", ", TRUE, _xlpm.MyAuditVal, _xlpm.MacVal)
)</f>
        <v/>
      </c>
    </row>
    <row r="80" spans="1:24">
      <c r="A80" s="2" t="str">
        <f>_xlfn.TEXTJOIN("",TRUE,Input!$B$2,ROW(My_Audit!A79))</f>
        <v>X79</v>
      </c>
      <c r="B80" s="2" t="str">
        <f>_xlfn.TEXTJOIN("-",TRUE,"ITD",Input!$A$2,A80)</f>
        <v>ITD-SHR-X79</v>
      </c>
      <c r="C80" s="2" t="str" cm="1">
        <f t="array" ref="C80">IFERROR(_xlfn.LET(
_xlpm.CSVVal,_xlfn.XLOOKUP($A80,CSV!$A:$A,CSV!B:B,""),
_xlpm.MacVal,_xlfn.XLOOKUP($A80,Output_Mac!$A:$A,Output_Mac!B:B,""),
_xlpm.MyAuditVal,_xlfn.XLOOKUP($A80,My_Audit!$A:$A,My_Audit!B:B,""),
_xlfn.IFS(_xlpm.MyAuditVal&lt;&gt;"",UPPER(_xlpm.MyAuditVal),_xlpm.MacVal&lt;&gt;"",_xlpm.MacVal,_xlpm.CSVVal&lt;&gt;"",_xlpm.CSVVal
)),"")</f>
        <v/>
      </c>
      <c r="D80" s="2" t="str" cm="1">
        <f t="array" ref="D80">IFERROR(_xlfn.LET(
_xlpm.CSVVal,_xlfn.XLOOKUP($A80,CSV!$A:$A,CSV!D:D,""),
_xlpm.MacVal,_xlfn.XLOOKUP($A80,Output_Mac!$A:$A,Output_Mac!C:C,""),
_xlpm.MyAuditVal,_xlfn.XLOOKUP($A80,My_Audit!$A:$A,My_Audit!C:C,""),
_xlfn.IFS(_xlpm.MyAuditVal&lt;&gt;"",_xlpm.MyAuditVal,_xlpm.MacVal&lt;&gt;"",_xlpm.MacVal,_xlpm.CSVVal&lt;&gt;"",_xlpm.CSVVal
)),"")</f>
        <v/>
      </c>
      <c r="E80" s="2" t="str">
        <f>_xlfn.XLOOKUP(A80,My_Audit!A:A,My_Audit!D:D,"")</f>
        <v/>
      </c>
      <c r="F80" s="2" t="str" cm="1">
        <f t="array" ref="F80">IFERROR(_xlfn.LET(
_xlpm.CSVVal,_xlfn.XLOOKUP($A80,CSV!$A:$A,CSV!F:F,""),
_xlpm.MacVal,_xlfn.XLOOKUP($A80,Output_Mac!$A:$A,Output_Mac!E:E,""),
_xlpm.MyAuditVal,_xlfn.XLOOKUP($A80,My_Audit!$A:$A,My_Audit!E:E,""),
_xlfn.IFS(_xlpm.MyAuditVal&lt;&gt;"",_xlpm.MyAuditVal,_xlpm.MacVal&lt;&gt;"",_xlpm.MacVal,_xlpm.CSVVal&lt;&gt;"",_xlpm.CSVVal
)),"")</f>
        <v/>
      </c>
      <c r="G80" s="2" t="str" cm="1">
        <f t="array" ref="G80">IFERROR(_xlfn.LET(
_xlpm.CSVVal,_xlfn.XLOOKUP($A80,CSV!$A:$A,CSV!G:G,""),
_xlpm.MacVal,_xlfn.XLOOKUP($A80,Output_Mac!$A:$A,Output_Mac!F:F,""),
_xlpm.MyAuditVal,_xlfn.XLOOKUP($A80,My_Audit!$A:$A,My_Audit!F:F,""),
_xlfn.IFS(_xlpm.MyAuditVal&lt;&gt;"",_xlpm.MyAuditVal,_xlpm.MacVal&lt;&gt;"",_xlpm.MacVal,_xlpm.CSVVal&lt;&gt;"",PROPER(_xlpm.CSVVal)
)),"")</f>
        <v/>
      </c>
      <c r="H80" s="2" t="str" cm="1">
        <f t="array" ref="H80">IFERROR(_xlfn.LET(
_xlpm.CSVVal,_xlfn.XLOOKUP($A80,CSV!$A:$A,CSV!H:H,""),
_xlpm.MacVal,_xlfn.XLOOKUP($A80,Output_Mac!$A:$A,Output_Mac!H:H,""),
_xlpm.MyAuditVal,_xlfn.XLOOKUP($A80,My_Audit!$A:$A,My_Audit!G:G,""),
_xlfn.IFS(_xlpm.MyAuditVal&lt;&gt;"",_xlpm.MyAuditVal,_xlpm.MacVal&lt;&gt;"",_xlpm.MacVal,_xlpm.CSVVal&lt;&gt;"",_xlpm.CSVVal
)),"")</f>
        <v/>
      </c>
      <c r="I80" s="2" t="str">
        <f>_xlfn.XLOOKUP(A80,Output_Mac!A:A,Output_Mac!I:I,"")</f>
        <v/>
      </c>
      <c r="J80" s="2" t="str" cm="1">
        <f t="array" ref="J80">IFERROR(_xlfn.LET(
_xlpm.CSVVal,_xlfn.XLOOKUP($A80,CSV!$A:$A,CSV!I:I,""),
_xlpm.MacVal,_xlfn.XLOOKUP($A80,Output_Mac!$A:$A,Output_Mac!J:J,""),
_xlpm.MyAuditVal,_xlfn.XLOOKUP($A80,My_Audit!$A:$A,My_Audit!I:I,""),
_xlfn.IFS(_xlpm.MyAuditVal&lt;&gt;"",UPPER(_xlpm.MyAuditVal),_xlpm.MacVal&lt;&gt;"",_xlpm.MacVal,_xlpm.CSVVal&lt;&gt;"",_xlpm.CSVVal
)),"")</f>
        <v/>
      </c>
      <c r="K80" s="2" t="str" cm="1">
        <f t="array" ref="K80">IFERROR(_xlfn.LET(
_xlpm.CSVVal,_xlfn.XLOOKUP($A80,CSV!$A:$A,CSV!K:K,""),
_xlpm.MacVal,_xlfn.XLOOKUP($A80,Output_Mac!$A:$A,Output_Mac!K:K,""),
_xlpm.MyAuditVal,_xlfn.XLOOKUP($A80,My_Audit!$A:$A,My_Audit!J:J,""),
_xlfn.IFS(_xlpm.MyAuditVal&lt;&gt;"",UPPER(_xlpm.MyAuditVal),_xlpm.MacVal&lt;&gt;"",_xlpm.MacVal,_xlpm.CSVVal&lt;&gt;"",_xlpm.CSVVal
)),"")</f>
        <v/>
      </c>
      <c r="L80" s="2" t="str" cm="1">
        <f t="array" ref="L80">IFERROR(_xlfn.LET(
_xlpm.CSVVal,_xlfn.XLOOKUP($A80,CSV!$A:$A,CSV!P:P,""),
_xlpm.MacVal,_xlfn.XLOOKUP($A80,Output_Mac!$A:$A,Output_Mac!L:L,""),
_xlpm.MyAuditVal,_xlfn.XLOOKUP($A80,My_Audit!$A:$A,My_Audit!K:K,""),
_xlfn.IFS(_xlpm.MyAuditVal&lt;&gt;"",UPPER(_xlpm.MyAuditVal),_xlpm.MacVal&lt;&gt;"",_xlpm.MacVal,_xlpm.CSVVal&lt;&gt;"",_xlpm.CSVVal
)),"")</f>
        <v/>
      </c>
      <c r="M80" s="2" t="str" cm="1">
        <f t="array" ref="M80">IFERROR(_xlfn.LET(
_xlpm.CSVVal,_xlfn.XLOOKUP($A80,CSV!$A:$A,CSV!Q:Q,""),
_xlpm.MacVal,_xlfn.XLOOKUP($A80,Output_Mac!$A:$A,Output_Mac!M:M,""),
_xlpm.MyAuditVal,_xlfn.XLOOKUP($A80,My_Audit!$A:$A,My_Audit!L:L,""),
_xlfn.IFS(_xlpm.MyAuditVal&lt;&gt;"",UPPER(_xlpm.MyAuditVal),_xlpm.MacVal&lt;&gt;"",_xlpm.MacVal,_xlpm.CSVVal&lt;&gt;"",_xlpm.CSVVal
)),"")</f>
        <v/>
      </c>
      <c r="O80" s="2" t="str">
        <f>_xlfn.LET(
    _xlpm.CSVVal, _xlfn.XLOOKUP($A80, CSV!$A:$A, CSV!AA:AA, ""),
    _xlpm.MacVal, _xlfn.XLOOKUP($A80, Output_Mac!$A:$A, Output_Mac!S:S, ""),
    _xlpm.MyAuditVal, _xlfn.XLOOKUP($A80, My_Audit!$A:$A, My_Audit!P:P, ""),
    _xlfn.TEXTJOIN(", ", TRUE, _xlpm.MyAuditVal, _xlpm.MacVal, _xlpm.CSVVal)
)</f>
        <v/>
      </c>
      <c r="P80" s="2" t="str" cm="1">
        <f t="array" ref="P80">IFERROR(_xlfn.LET(
_xlpm.CSVVal,_xlfn.XLOOKUP($A80,CSV!$A:$A,CSV!AB:AB,""),
_xlpm.MacVal,_xlfn.XLOOKUP($A80,Output_Mac!$A:$A,Output_Mac!T:T,""),
_xlpm.MyAuditVal,_xlfn.XLOOKUP($A80,My_Audit!$A:$A,My_Audit!Q:Q,""),
_xlfn.IFS(_xlpm.MyAuditVal&lt;&gt;"",UPPER(_xlpm.MyAuditVal),_xlpm.MacVal&lt;&gt;"",_xlpm.MacVal,_xlpm.CSVVal&lt;&gt;"",_xlpm.CSVVal
)),"No")</f>
        <v>No</v>
      </c>
      <c r="Q80" s="2" t="str" cm="1">
        <f t="array" ref="Q80">IFERROR(_xlfn.LET(
_xlpm.CSVVal,_xlfn.XLOOKUP($A80,CSV!$A:$A,CSV!AC:AC,""),
_xlpm.MacVal,_xlfn.XLOOKUP($A80,Output_Mac!$A:$A,Output_Mac!U:U,""),
_xlpm.MyAuditVal,_xlfn.XLOOKUP($A80,My_Audit!$A:$A,My_Audit!R:R,""),
_xlfn.IFS(_xlpm.MyAuditVal&lt;&gt;"",UPPER(_xlpm.MyAuditVal),_xlpm.MacVal&lt;&gt;"",_xlpm.MacVal,_xlpm.CSVVal&lt;&gt;"",_xlpm.CSVVal
)),"")</f>
        <v/>
      </c>
      <c r="X80" t="str">
        <f>_xlfn.LET(
    _xlpm.MacVal, _xlfn.XLOOKUP($A80, Output_Mac!$A:$A, Output_Mac!AB:AB, ""),
    _xlpm.MyAuditVal, _xlfn.XLOOKUP($A80, My_Audit!$A:$A, My_Audit!N:N, ""),
    _xlfn.TEXTJOIN(", ", TRUE, _xlpm.MyAuditVal, _xlpm.MacVal)
)</f>
        <v/>
      </c>
    </row>
    <row r="81" spans="1:24">
      <c r="A81" s="2" t="str">
        <f>_xlfn.TEXTJOIN("",TRUE,Input!$B$2,ROW(My_Audit!A80))</f>
        <v>X80</v>
      </c>
      <c r="B81" s="2" t="str">
        <f>_xlfn.TEXTJOIN("-",TRUE,"ITD",Input!$A$2,A81)</f>
        <v>ITD-SHR-X80</v>
      </c>
      <c r="C81" s="2" t="str" cm="1">
        <f t="array" ref="C81">IFERROR(_xlfn.LET(
_xlpm.CSVVal,_xlfn.XLOOKUP($A81,CSV!$A:$A,CSV!B:B,""),
_xlpm.MacVal,_xlfn.XLOOKUP($A81,Output_Mac!$A:$A,Output_Mac!B:B,""),
_xlpm.MyAuditVal,_xlfn.XLOOKUP($A81,My_Audit!$A:$A,My_Audit!B:B,""),
_xlfn.IFS(_xlpm.MyAuditVal&lt;&gt;"",UPPER(_xlpm.MyAuditVal),_xlpm.MacVal&lt;&gt;"",_xlpm.MacVal,_xlpm.CSVVal&lt;&gt;"",_xlpm.CSVVal
)),"")</f>
        <v/>
      </c>
      <c r="D81" s="2" t="str" cm="1">
        <f t="array" ref="D81">IFERROR(_xlfn.LET(
_xlpm.CSVVal,_xlfn.XLOOKUP($A81,CSV!$A:$A,CSV!D:D,""),
_xlpm.MacVal,_xlfn.XLOOKUP($A81,Output_Mac!$A:$A,Output_Mac!C:C,""),
_xlpm.MyAuditVal,_xlfn.XLOOKUP($A81,My_Audit!$A:$A,My_Audit!C:C,""),
_xlfn.IFS(_xlpm.MyAuditVal&lt;&gt;"",_xlpm.MyAuditVal,_xlpm.MacVal&lt;&gt;"",_xlpm.MacVal,_xlpm.CSVVal&lt;&gt;"",_xlpm.CSVVal
)),"")</f>
        <v/>
      </c>
      <c r="E81" s="2" t="str">
        <f>_xlfn.XLOOKUP(A81,My_Audit!A:A,My_Audit!D:D,"")</f>
        <v/>
      </c>
      <c r="F81" s="2" t="str" cm="1">
        <f t="array" ref="F81">IFERROR(_xlfn.LET(
_xlpm.CSVVal,_xlfn.XLOOKUP($A81,CSV!$A:$A,CSV!F:F,""),
_xlpm.MacVal,_xlfn.XLOOKUP($A81,Output_Mac!$A:$A,Output_Mac!E:E,""),
_xlpm.MyAuditVal,_xlfn.XLOOKUP($A81,My_Audit!$A:$A,My_Audit!E:E,""),
_xlfn.IFS(_xlpm.MyAuditVal&lt;&gt;"",_xlpm.MyAuditVal,_xlpm.MacVal&lt;&gt;"",_xlpm.MacVal,_xlpm.CSVVal&lt;&gt;"",_xlpm.CSVVal
)),"")</f>
        <v/>
      </c>
      <c r="G81" s="2" t="str" cm="1">
        <f t="array" ref="G81">IFERROR(_xlfn.LET(
_xlpm.CSVVal,_xlfn.XLOOKUP($A81,CSV!$A:$A,CSV!G:G,""),
_xlpm.MacVal,_xlfn.XLOOKUP($A81,Output_Mac!$A:$A,Output_Mac!F:F,""),
_xlpm.MyAuditVal,_xlfn.XLOOKUP($A81,My_Audit!$A:$A,My_Audit!F:F,""),
_xlfn.IFS(_xlpm.MyAuditVal&lt;&gt;"",_xlpm.MyAuditVal,_xlpm.MacVal&lt;&gt;"",_xlpm.MacVal,_xlpm.CSVVal&lt;&gt;"",PROPER(_xlpm.CSVVal)
)),"")</f>
        <v/>
      </c>
      <c r="H81" s="2" t="str" cm="1">
        <f t="array" ref="H81">IFERROR(_xlfn.LET(
_xlpm.CSVVal,_xlfn.XLOOKUP($A81,CSV!$A:$A,CSV!H:H,""),
_xlpm.MacVal,_xlfn.XLOOKUP($A81,Output_Mac!$A:$A,Output_Mac!H:H,""),
_xlpm.MyAuditVal,_xlfn.XLOOKUP($A81,My_Audit!$A:$A,My_Audit!G:G,""),
_xlfn.IFS(_xlpm.MyAuditVal&lt;&gt;"",_xlpm.MyAuditVal,_xlpm.MacVal&lt;&gt;"",_xlpm.MacVal,_xlpm.CSVVal&lt;&gt;"",_xlpm.CSVVal
)),"")</f>
        <v/>
      </c>
      <c r="I81" s="2" t="str">
        <f>_xlfn.XLOOKUP(A81,Output_Mac!A:A,Output_Mac!I:I,"")</f>
        <v/>
      </c>
      <c r="J81" s="2" t="str" cm="1">
        <f t="array" ref="J81">IFERROR(_xlfn.LET(
_xlpm.CSVVal,_xlfn.XLOOKUP($A81,CSV!$A:$A,CSV!I:I,""),
_xlpm.MacVal,_xlfn.XLOOKUP($A81,Output_Mac!$A:$A,Output_Mac!J:J,""),
_xlpm.MyAuditVal,_xlfn.XLOOKUP($A81,My_Audit!$A:$A,My_Audit!I:I,""),
_xlfn.IFS(_xlpm.MyAuditVal&lt;&gt;"",UPPER(_xlpm.MyAuditVal),_xlpm.MacVal&lt;&gt;"",_xlpm.MacVal,_xlpm.CSVVal&lt;&gt;"",_xlpm.CSVVal
)),"")</f>
        <v/>
      </c>
      <c r="K81" s="2" t="str" cm="1">
        <f t="array" ref="K81">IFERROR(_xlfn.LET(
_xlpm.CSVVal,_xlfn.XLOOKUP($A81,CSV!$A:$A,CSV!K:K,""),
_xlpm.MacVal,_xlfn.XLOOKUP($A81,Output_Mac!$A:$A,Output_Mac!K:K,""),
_xlpm.MyAuditVal,_xlfn.XLOOKUP($A81,My_Audit!$A:$A,My_Audit!J:J,""),
_xlfn.IFS(_xlpm.MyAuditVal&lt;&gt;"",UPPER(_xlpm.MyAuditVal),_xlpm.MacVal&lt;&gt;"",_xlpm.MacVal,_xlpm.CSVVal&lt;&gt;"",_xlpm.CSVVal
)),"")</f>
        <v/>
      </c>
      <c r="L81" s="2" t="str" cm="1">
        <f t="array" ref="L81">IFERROR(_xlfn.LET(
_xlpm.CSVVal,_xlfn.XLOOKUP($A81,CSV!$A:$A,CSV!P:P,""),
_xlpm.MacVal,_xlfn.XLOOKUP($A81,Output_Mac!$A:$A,Output_Mac!L:L,""),
_xlpm.MyAuditVal,_xlfn.XLOOKUP($A81,My_Audit!$A:$A,My_Audit!K:K,""),
_xlfn.IFS(_xlpm.MyAuditVal&lt;&gt;"",UPPER(_xlpm.MyAuditVal),_xlpm.MacVal&lt;&gt;"",_xlpm.MacVal,_xlpm.CSVVal&lt;&gt;"",_xlpm.CSVVal
)),"")</f>
        <v/>
      </c>
      <c r="M81" s="2" t="str" cm="1">
        <f t="array" ref="M81">IFERROR(_xlfn.LET(
_xlpm.CSVVal,_xlfn.XLOOKUP($A81,CSV!$A:$A,CSV!Q:Q,""),
_xlpm.MacVal,_xlfn.XLOOKUP($A81,Output_Mac!$A:$A,Output_Mac!M:M,""),
_xlpm.MyAuditVal,_xlfn.XLOOKUP($A81,My_Audit!$A:$A,My_Audit!L:L,""),
_xlfn.IFS(_xlpm.MyAuditVal&lt;&gt;"",UPPER(_xlpm.MyAuditVal),_xlpm.MacVal&lt;&gt;"",_xlpm.MacVal,_xlpm.CSVVal&lt;&gt;"",_xlpm.CSVVal
)),"")</f>
        <v/>
      </c>
      <c r="O81" s="2" t="str">
        <f>_xlfn.LET(
    _xlpm.CSVVal, _xlfn.XLOOKUP($A81, CSV!$A:$A, CSV!AA:AA, ""),
    _xlpm.MacVal, _xlfn.XLOOKUP($A81, Output_Mac!$A:$A, Output_Mac!S:S, ""),
    _xlpm.MyAuditVal, _xlfn.XLOOKUP($A81, My_Audit!$A:$A, My_Audit!P:P, ""),
    _xlfn.TEXTJOIN(", ", TRUE, _xlpm.MyAuditVal, _xlpm.MacVal, _xlpm.CSVVal)
)</f>
        <v/>
      </c>
      <c r="P81" s="2" t="str" cm="1">
        <f t="array" ref="P81">IFERROR(_xlfn.LET(
_xlpm.CSVVal,_xlfn.XLOOKUP($A81,CSV!$A:$A,CSV!AB:AB,""),
_xlpm.MacVal,_xlfn.XLOOKUP($A81,Output_Mac!$A:$A,Output_Mac!T:T,""),
_xlpm.MyAuditVal,_xlfn.XLOOKUP($A81,My_Audit!$A:$A,My_Audit!Q:Q,""),
_xlfn.IFS(_xlpm.MyAuditVal&lt;&gt;"",UPPER(_xlpm.MyAuditVal),_xlpm.MacVal&lt;&gt;"",_xlpm.MacVal,_xlpm.CSVVal&lt;&gt;"",_xlpm.CSVVal
)),"No")</f>
        <v>No</v>
      </c>
      <c r="Q81" s="2" t="str" cm="1">
        <f t="array" ref="Q81">IFERROR(_xlfn.LET(
_xlpm.CSVVal,_xlfn.XLOOKUP($A81,CSV!$A:$A,CSV!AC:AC,""),
_xlpm.MacVal,_xlfn.XLOOKUP($A81,Output_Mac!$A:$A,Output_Mac!U:U,""),
_xlpm.MyAuditVal,_xlfn.XLOOKUP($A81,My_Audit!$A:$A,My_Audit!R:R,""),
_xlfn.IFS(_xlpm.MyAuditVal&lt;&gt;"",UPPER(_xlpm.MyAuditVal),_xlpm.MacVal&lt;&gt;"",_xlpm.MacVal,_xlpm.CSVVal&lt;&gt;"",_xlpm.CSVVal
)),"")</f>
        <v/>
      </c>
      <c r="X81" t="str">
        <f>_xlfn.LET(
    _xlpm.MacVal, _xlfn.XLOOKUP($A81, Output_Mac!$A:$A, Output_Mac!AB:AB, ""),
    _xlpm.MyAuditVal, _xlfn.XLOOKUP($A81, My_Audit!$A:$A, My_Audit!N:N, ""),
    _xlfn.TEXTJOIN(", ", TRUE, _xlpm.MyAuditVal, _xlpm.MacVal)
)</f>
        <v/>
      </c>
    </row>
    <row r="82" spans="1:24">
      <c r="A82" s="2" t="str">
        <f>_xlfn.TEXTJOIN("",TRUE,Input!$B$2,ROW(My_Audit!A81))</f>
        <v>X81</v>
      </c>
      <c r="B82" s="2" t="str">
        <f>_xlfn.TEXTJOIN("-",TRUE,"ITD",Input!$A$2,A82)</f>
        <v>ITD-SHR-X81</v>
      </c>
      <c r="C82" s="2" t="str" cm="1">
        <f t="array" ref="C82">IFERROR(_xlfn.LET(
_xlpm.CSVVal,_xlfn.XLOOKUP($A82,CSV!$A:$A,CSV!B:B,""),
_xlpm.MacVal,_xlfn.XLOOKUP($A82,Output_Mac!$A:$A,Output_Mac!B:B,""),
_xlpm.MyAuditVal,_xlfn.XLOOKUP($A82,My_Audit!$A:$A,My_Audit!B:B,""),
_xlfn.IFS(_xlpm.MyAuditVal&lt;&gt;"",UPPER(_xlpm.MyAuditVal),_xlpm.MacVal&lt;&gt;"",_xlpm.MacVal,_xlpm.CSVVal&lt;&gt;"",_xlpm.CSVVal
)),"")</f>
        <v/>
      </c>
      <c r="D82" s="2" t="str" cm="1">
        <f t="array" ref="D82">IFERROR(_xlfn.LET(
_xlpm.CSVVal,_xlfn.XLOOKUP($A82,CSV!$A:$A,CSV!D:D,""),
_xlpm.MacVal,_xlfn.XLOOKUP($A82,Output_Mac!$A:$A,Output_Mac!C:C,""),
_xlpm.MyAuditVal,_xlfn.XLOOKUP($A82,My_Audit!$A:$A,My_Audit!C:C,""),
_xlfn.IFS(_xlpm.MyAuditVal&lt;&gt;"",_xlpm.MyAuditVal,_xlpm.MacVal&lt;&gt;"",_xlpm.MacVal,_xlpm.CSVVal&lt;&gt;"",_xlpm.CSVVal
)),"")</f>
        <v/>
      </c>
      <c r="E82" s="2" t="str">
        <f>_xlfn.XLOOKUP(A82,My_Audit!A:A,My_Audit!D:D,"")</f>
        <v/>
      </c>
      <c r="F82" s="2" t="str" cm="1">
        <f t="array" ref="F82">IFERROR(_xlfn.LET(
_xlpm.CSVVal,_xlfn.XLOOKUP($A82,CSV!$A:$A,CSV!F:F,""),
_xlpm.MacVal,_xlfn.XLOOKUP($A82,Output_Mac!$A:$A,Output_Mac!E:E,""),
_xlpm.MyAuditVal,_xlfn.XLOOKUP($A82,My_Audit!$A:$A,My_Audit!E:E,""),
_xlfn.IFS(_xlpm.MyAuditVal&lt;&gt;"",_xlpm.MyAuditVal,_xlpm.MacVal&lt;&gt;"",_xlpm.MacVal,_xlpm.CSVVal&lt;&gt;"",_xlpm.CSVVal
)),"")</f>
        <v/>
      </c>
      <c r="G82" s="2" t="str" cm="1">
        <f t="array" ref="G82">IFERROR(_xlfn.LET(
_xlpm.CSVVal,_xlfn.XLOOKUP($A82,CSV!$A:$A,CSV!G:G,""),
_xlpm.MacVal,_xlfn.XLOOKUP($A82,Output_Mac!$A:$A,Output_Mac!F:F,""),
_xlpm.MyAuditVal,_xlfn.XLOOKUP($A82,My_Audit!$A:$A,My_Audit!F:F,""),
_xlfn.IFS(_xlpm.MyAuditVal&lt;&gt;"",_xlpm.MyAuditVal,_xlpm.MacVal&lt;&gt;"",_xlpm.MacVal,_xlpm.CSVVal&lt;&gt;"",PROPER(_xlpm.CSVVal)
)),"")</f>
        <v/>
      </c>
      <c r="H82" s="2" t="str" cm="1">
        <f t="array" ref="H82">IFERROR(_xlfn.LET(
_xlpm.CSVVal,_xlfn.XLOOKUP($A82,CSV!$A:$A,CSV!H:H,""),
_xlpm.MacVal,_xlfn.XLOOKUP($A82,Output_Mac!$A:$A,Output_Mac!H:H,""),
_xlpm.MyAuditVal,_xlfn.XLOOKUP($A82,My_Audit!$A:$A,My_Audit!G:G,""),
_xlfn.IFS(_xlpm.MyAuditVal&lt;&gt;"",_xlpm.MyAuditVal,_xlpm.MacVal&lt;&gt;"",_xlpm.MacVal,_xlpm.CSVVal&lt;&gt;"",_xlpm.CSVVal
)),"")</f>
        <v/>
      </c>
      <c r="I82" s="2" t="str">
        <f>_xlfn.XLOOKUP(A82,Output_Mac!A:A,Output_Mac!I:I,"")</f>
        <v/>
      </c>
      <c r="J82" s="2" t="str" cm="1">
        <f t="array" ref="J82">IFERROR(_xlfn.LET(
_xlpm.CSVVal,_xlfn.XLOOKUP($A82,CSV!$A:$A,CSV!I:I,""),
_xlpm.MacVal,_xlfn.XLOOKUP($A82,Output_Mac!$A:$A,Output_Mac!J:J,""),
_xlpm.MyAuditVal,_xlfn.XLOOKUP($A82,My_Audit!$A:$A,My_Audit!I:I,""),
_xlfn.IFS(_xlpm.MyAuditVal&lt;&gt;"",UPPER(_xlpm.MyAuditVal),_xlpm.MacVal&lt;&gt;"",_xlpm.MacVal,_xlpm.CSVVal&lt;&gt;"",_xlpm.CSVVal
)),"")</f>
        <v/>
      </c>
      <c r="K82" s="2" t="str" cm="1">
        <f t="array" ref="K82">IFERROR(_xlfn.LET(
_xlpm.CSVVal,_xlfn.XLOOKUP($A82,CSV!$A:$A,CSV!K:K,""),
_xlpm.MacVal,_xlfn.XLOOKUP($A82,Output_Mac!$A:$A,Output_Mac!K:K,""),
_xlpm.MyAuditVal,_xlfn.XLOOKUP($A82,My_Audit!$A:$A,My_Audit!J:J,""),
_xlfn.IFS(_xlpm.MyAuditVal&lt;&gt;"",UPPER(_xlpm.MyAuditVal),_xlpm.MacVal&lt;&gt;"",_xlpm.MacVal,_xlpm.CSVVal&lt;&gt;"",_xlpm.CSVVal
)),"")</f>
        <v/>
      </c>
      <c r="L82" s="2" t="str" cm="1">
        <f t="array" ref="L82">IFERROR(_xlfn.LET(
_xlpm.CSVVal,_xlfn.XLOOKUP($A82,CSV!$A:$A,CSV!P:P,""),
_xlpm.MacVal,_xlfn.XLOOKUP($A82,Output_Mac!$A:$A,Output_Mac!L:L,""),
_xlpm.MyAuditVal,_xlfn.XLOOKUP($A82,My_Audit!$A:$A,My_Audit!K:K,""),
_xlfn.IFS(_xlpm.MyAuditVal&lt;&gt;"",UPPER(_xlpm.MyAuditVal),_xlpm.MacVal&lt;&gt;"",_xlpm.MacVal,_xlpm.CSVVal&lt;&gt;"",_xlpm.CSVVal
)),"")</f>
        <v/>
      </c>
      <c r="M82" s="2" t="str" cm="1">
        <f t="array" ref="M82">IFERROR(_xlfn.LET(
_xlpm.CSVVal,_xlfn.XLOOKUP($A82,CSV!$A:$A,CSV!Q:Q,""),
_xlpm.MacVal,_xlfn.XLOOKUP($A82,Output_Mac!$A:$A,Output_Mac!M:M,""),
_xlpm.MyAuditVal,_xlfn.XLOOKUP($A82,My_Audit!$A:$A,My_Audit!L:L,""),
_xlfn.IFS(_xlpm.MyAuditVal&lt;&gt;"",UPPER(_xlpm.MyAuditVal),_xlpm.MacVal&lt;&gt;"",_xlpm.MacVal,_xlpm.CSVVal&lt;&gt;"",_xlpm.CSVVal
)),"")</f>
        <v/>
      </c>
      <c r="O82" s="2" t="str">
        <f>_xlfn.LET(
    _xlpm.CSVVal, _xlfn.XLOOKUP($A82, CSV!$A:$A, CSV!AA:AA, ""),
    _xlpm.MacVal, _xlfn.XLOOKUP($A82, Output_Mac!$A:$A, Output_Mac!S:S, ""),
    _xlpm.MyAuditVal, _xlfn.XLOOKUP($A82, My_Audit!$A:$A, My_Audit!P:P, ""),
    _xlfn.TEXTJOIN(", ", TRUE, _xlpm.MyAuditVal, _xlpm.MacVal, _xlpm.CSVVal)
)</f>
        <v/>
      </c>
      <c r="P82" s="2" t="str" cm="1">
        <f t="array" ref="P82">IFERROR(_xlfn.LET(
_xlpm.CSVVal,_xlfn.XLOOKUP($A82,CSV!$A:$A,CSV!AB:AB,""),
_xlpm.MacVal,_xlfn.XLOOKUP($A82,Output_Mac!$A:$A,Output_Mac!T:T,""),
_xlpm.MyAuditVal,_xlfn.XLOOKUP($A82,My_Audit!$A:$A,My_Audit!Q:Q,""),
_xlfn.IFS(_xlpm.MyAuditVal&lt;&gt;"",UPPER(_xlpm.MyAuditVal),_xlpm.MacVal&lt;&gt;"",_xlpm.MacVal,_xlpm.CSVVal&lt;&gt;"",_xlpm.CSVVal
)),"No")</f>
        <v>No</v>
      </c>
      <c r="Q82" s="2" t="str" cm="1">
        <f t="array" ref="Q82">IFERROR(_xlfn.LET(
_xlpm.CSVVal,_xlfn.XLOOKUP($A82,CSV!$A:$A,CSV!AC:AC,""),
_xlpm.MacVal,_xlfn.XLOOKUP($A82,Output_Mac!$A:$A,Output_Mac!U:U,""),
_xlpm.MyAuditVal,_xlfn.XLOOKUP($A82,My_Audit!$A:$A,My_Audit!R:R,""),
_xlfn.IFS(_xlpm.MyAuditVal&lt;&gt;"",UPPER(_xlpm.MyAuditVal),_xlpm.MacVal&lt;&gt;"",_xlpm.MacVal,_xlpm.CSVVal&lt;&gt;"",_xlpm.CSVVal
)),"")</f>
        <v/>
      </c>
      <c r="X82" t="str">
        <f>_xlfn.LET(
    _xlpm.MacVal, _xlfn.XLOOKUP($A82, Output_Mac!$A:$A, Output_Mac!AB:AB, ""),
    _xlpm.MyAuditVal, _xlfn.XLOOKUP($A82, My_Audit!$A:$A, My_Audit!N:N, ""),
    _xlfn.TEXTJOIN(", ", TRUE, _xlpm.MyAuditVal, _xlpm.MacVal)
)</f>
        <v/>
      </c>
    </row>
    <row r="83" spans="1:24">
      <c r="A83" s="2" t="str">
        <f>_xlfn.TEXTJOIN("",TRUE,Input!$B$2,ROW(My_Audit!A82))</f>
        <v>X82</v>
      </c>
      <c r="B83" s="2" t="str">
        <f>_xlfn.TEXTJOIN("-",TRUE,"ITD",Input!$A$2,A83)</f>
        <v>ITD-SHR-X82</v>
      </c>
      <c r="C83" s="2" t="str" cm="1">
        <f t="array" ref="C83">IFERROR(_xlfn.LET(
_xlpm.CSVVal,_xlfn.XLOOKUP($A83,CSV!$A:$A,CSV!B:B,""),
_xlpm.MacVal,_xlfn.XLOOKUP($A83,Output_Mac!$A:$A,Output_Mac!B:B,""),
_xlpm.MyAuditVal,_xlfn.XLOOKUP($A83,My_Audit!$A:$A,My_Audit!B:B,""),
_xlfn.IFS(_xlpm.MyAuditVal&lt;&gt;"",UPPER(_xlpm.MyAuditVal),_xlpm.MacVal&lt;&gt;"",_xlpm.MacVal,_xlpm.CSVVal&lt;&gt;"",_xlpm.CSVVal
)),"")</f>
        <v/>
      </c>
      <c r="D83" s="2" t="str" cm="1">
        <f t="array" ref="D83">IFERROR(_xlfn.LET(
_xlpm.CSVVal,_xlfn.XLOOKUP($A83,CSV!$A:$A,CSV!D:D,""),
_xlpm.MacVal,_xlfn.XLOOKUP($A83,Output_Mac!$A:$A,Output_Mac!C:C,""),
_xlpm.MyAuditVal,_xlfn.XLOOKUP($A83,My_Audit!$A:$A,My_Audit!C:C,""),
_xlfn.IFS(_xlpm.MyAuditVal&lt;&gt;"",_xlpm.MyAuditVal,_xlpm.MacVal&lt;&gt;"",_xlpm.MacVal,_xlpm.CSVVal&lt;&gt;"",_xlpm.CSVVal
)),"")</f>
        <v/>
      </c>
      <c r="E83" s="2" t="str">
        <f>_xlfn.XLOOKUP(A83,My_Audit!A:A,My_Audit!D:D,"")</f>
        <v/>
      </c>
      <c r="F83" s="2" t="str" cm="1">
        <f t="array" ref="F83">IFERROR(_xlfn.LET(
_xlpm.CSVVal,_xlfn.XLOOKUP($A83,CSV!$A:$A,CSV!F:F,""),
_xlpm.MacVal,_xlfn.XLOOKUP($A83,Output_Mac!$A:$A,Output_Mac!E:E,""),
_xlpm.MyAuditVal,_xlfn.XLOOKUP($A83,My_Audit!$A:$A,My_Audit!E:E,""),
_xlfn.IFS(_xlpm.MyAuditVal&lt;&gt;"",_xlpm.MyAuditVal,_xlpm.MacVal&lt;&gt;"",_xlpm.MacVal,_xlpm.CSVVal&lt;&gt;"",_xlpm.CSVVal
)),"")</f>
        <v/>
      </c>
      <c r="G83" s="2" t="str" cm="1">
        <f t="array" ref="G83">IFERROR(_xlfn.LET(
_xlpm.CSVVal,_xlfn.XLOOKUP($A83,CSV!$A:$A,CSV!G:G,""),
_xlpm.MacVal,_xlfn.XLOOKUP($A83,Output_Mac!$A:$A,Output_Mac!F:F,""),
_xlpm.MyAuditVal,_xlfn.XLOOKUP($A83,My_Audit!$A:$A,My_Audit!F:F,""),
_xlfn.IFS(_xlpm.MyAuditVal&lt;&gt;"",_xlpm.MyAuditVal,_xlpm.MacVal&lt;&gt;"",_xlpm.MacVal,_xlpm.CSVVal&lt;&gt;"",PROPER(_xlpm.CSVVal)
)),"")</f>
        <v/>
      </c>
      <c r="H83" s="2" t="str" cm="1">
        <f t="array" ref="H83">IFERROR(_xlfn.LET(
_xlpm.CSVVal,_xlfn.XLOOKUP($A83,CSV!$A:$A,CSV!H:H,""),
_xlpm.MacVal,_xlfn.XLOOKUP($A83,Output_Mac!$A:$A,Output_Mac!H:H,""),
_xlpm.MyAuditVal,_xlfn.XLOOKUP($A83,My_Audit!$A:$A,My_Audit!G:G,""),
_xlfn.IFS(_xlpm.MyAuditVal&lt;&gt;"",_xlpm.MyAuditVal,_xlpm.MacVal&lt;&gt;"",_xlpm.MacVal,_xlpm.CSVVal&lt;&gt;"",_xlpm.CSVVal
)),"")</f>
        <v/>
      </c>
      <c r="I83" s="2" t="str">
        <f>_xlfn.XLOOKUP(A83,Output_Mac!A:A,Output_Mac!I:I,"")</f>
        <v/>
      </c>
      <c r="J83" s="2" t="str" cm="1">
        <f t="array" ref="J83">IFERROR(_xlfn.LET(
_xlpm.CSVVal,_xlfn.XLOOKUP($A83,CSV!$A:$A,CSV!I:I,""),
_xlpm.MacVal,_xlfn.XLOOKUP($A83,Output_Mac!$A:$A,Output_Mac!J:J,""),
_xlpm.MyAuditVal,_xlfn.XLOOKUP($A83,My_Audit!$A:$A,My_Audit!I:I,""),
_xlfn.IFS(_xlpm.MyAuditVal&lt;&gt;"",UPPER(_xlpm.MyAuditVal),_xlpm.MacVal&lt;&gt;"",_xlpm.MacVal,_xlpm.CSVVal&lt;&gt;"",_xlpm.CSVVal
)),"")</f>
        <v/>
      </c>
      <c r="K83" s="2" t="str" cm="1">
        <f t="array" ref="K83">IFERROR(_xlfn.LET(
_xlpm.CSVVal,_xlfn.XLOOKUP($A83,CSV!$A:$A,CSV!K:K,""),
_xlpm.MacVal,_xlfn.XLOOKUP($A83,Output_Mac!$A:$A,Output_Mac!K:K,""),
_xlpm.MyAuditVal,_xlfn.XLOOKUP($A83,My_Audit!$A:$A,My_Audit!J:J,""),
_xlfn.IFS(_xlpm.MyAuditVal&lt;&gt;"",UPPER(_xlpm.MyAuditVal),_xlpm.MacVal&lt;&gt;"",_xlpm.MacVal,_xlpm.CSVVal&lt;&gt;"",_xlpm.CSVVal
)),"")</f>
        <v/>
      </c>
      <c r="L83" s="2" t="str" cm="1">
        <f t="array" ref="L83">IFERROR(_xlfn.LET(
_xlpm.CSVVal,_xlfn.XLOOKUP($A83,CSV!$A:$A,CSV!P:P,""),
_xlpm.MacVal,_xlfn.XLOOKUP($A83,Output_Mac!$A:$A,Output_Mac!L:L,""),
_xlpm.MyAuditVal,_xlfn.XLOOKUP($A83,My_Audit!$A:$A,My_Audit!K:K,""),
_xlfn.IFS(_xlpm.MyAuditVal&lt;&gt;"",UPPER(_xlpm.MyAuditVal),_xlpm.MacVal&lt;&gt;"",_xlpm.MacVal,_xlpm.CSVVal&lt;&gt;"",_xlpm.CSVVal
)),"")</f>
        <v/>
      </c>
      <c r="M83" s="2" t="str" cm="1">
        <f t="array" ref="M83">IFERROR(_xlfn.LET(
_xlpm.CSVVal,_xlfn.XLOOKUP($A83,CSV!$A:$A,CSV!Q:Q,""),
_xlpm.MacVal,_xlfn.XLOOKUP($A83,Output_Mac!$A:$A,Output_Mac!M:M,""),
_xlpm.MyAuditVal,_xlfn.XLOOKUP($A83,My_Audit!$A:$A,My_Audit!L:L,""),
_xlfn.IFS(_xlpm.MyAuditVal&lt;&gt;"",UPPER(_xlpm.MyAuditVal),_xlpm.MacVal&lt;&gt;"",_xlpm.MacVal,_xlpm.CSVVal&lt;&gt;"",_xlpm.CSVVal
)),"")</f>
        <v/>
      </c>
      <c r="O83" s="2" t="str">
        <f>_xlfn.LET(
    _xlpm.CSVVal, _xlfn.XLOOKUP($A83, CSV!$A:$A, CSV!AA:AA, ""),
    _xlpm.MacVal, _xlfn.XLOOKUP($A83, Output_Mac!$A:$A, Output_Mac!S:S, ""),
    _xlpm.MyAuditVal, _xlfn.XLOOKUP($A83, My_Audit!$A:$A, My_Audit!P:P, ""),
    _xlfn.TEXTJOIN(", ", TRUE, _xlpm.MyAuditVal, _xlpm.MacVal, _xlpm.CSVVal)
)</f>
        <v/>
      </c>
      <c r="P83" s="2" t="str" cm="1">
        <f t="array" ref="P83">IFERROR(_xlfn.LET(
_xlpm.CSVVal,_xlfn.XLOOKUP($A83,CSV!$A:$A,CSV!AB:AB,""),
_xlpm.MacVal,_xlfn.XLOOKUP($A83,Output_Mac!$A:$A,Output_Mac!T:T,""),
_xlpm.MyAuditVal,_xlfn.XLOOKUP($A83,My_Audit!$A:$A,My_Audit!Q:Q,""),
_xlfn.IFS(_xlpm.MyAuditVal&lt;&gt;"",UPPER(_xlpm.MyAuditVal),_xlpm.MacVal&lt;&gt;"",_xlpm.MacVal,_xlpm.CSVVal&lt;&gt;"",_xlpm.CSVVal
)),"No")</f>
        <v>No</v>
      </c>
      <c r="Q83" s="2" t="str" cm="1">
        <f t="array" ref="Q83">IFERROR(_xlfn.LET(
_xlpm.CSVVal,_xlfn.XLOOKUP($A83,CSV!$A:$A,CSV!AC:AC,""),
_xlpm.MacVal,_xlfn.XLOOKUP($A83,Output_Mac!$A:$A,Output_Mac!U:U,""),
_xlpm.MyAuditVal,_xlfn.XLOOKUP($A83,My_Audit!$A:$A,My_Audit!R:R,""),
_xlfn.IFS(_xlpm.MyAuditVal&lt;&gt;"",UPPER(_xlpm.MyAuditVal),_xlpm.MacVal&lt;&gt;"",_xlpm.MacVal,_xlpm.CSVVal&lt;&gt;"",_xlpm.CSVVal
)),"")</f>
        <v/>
      </c>
      <c r="X83" t="str">
        <f>_xlfn.LET(
    _xlpm.MacVal, _xlfn.XLOOKUP($A83, Output_Mac!$A:$A, Output_Mac!AB:AB, ""),
    _xlpm.MyAuditVal, _xlfn.XLOOKUP($A83, My_Audit!$A:$A, My_Audit!N:N, ""),
    _xlfn.TEXTJOIN(", ", TRUE, _xlpm.MyAuditVal, _xlpm.MacVal)
)</f>
        <v/>
      </c>
    </row>
    <row r="84" spans="1:24">
      <c r="A84" s="2" t="str">
        <f>_xlfn.TEXTJOIN("",TRUE,Input!$B$2,ROW(My_Audit!A83))</f>
        <v>X83</v>
      </c>
      <c r="B84" s="2" t="str">
        <f>_xlfn.TEXTJOIN("-",TRUE,"ITD",Input!$A$2,A84)</f>
        <v>ITD-SHR-X83</v>
      </c>
      <c r="C84" s="2" t="str" cm="1">
        <f t="array" ref="C84">IFERROR(_xlfn.LET(
_xlpm.CSVVal,_xlfn.XLOOKUP($A84,CSV!$A:$A,CSV!B:B,""),
_xlpm.MacVal,_xlfn.XLOOKUP($A84,Output_Mac!$A:$A,Output_Mac!B:B,""),
_xlpm.MyAuditVal,_xlfn.XLOOKUP($A84,My_Audit!$A:$A,My_Audit!B:B,""),
_xlfn.IFS(_xlpm.MyAuditVal&lt;&gt;"",UPPER(_xlpm.MyAuditVal),_xlpm.MacVal&lt;&gt;"",_xlpm.MacVal,_xlpm.CSVVal&lt;&gt;"",_xlpm.CSVVal
)),"")</f>
        <v/>
      </c>
      <c r="D84" s="2" t="str" cm="1">
        <f t="array" ref="D84">IFERROR(_xlfn.LET(
_xlpm.CSVVal,_xlfn.XLOOKUP($A84,CSV!$A:$A,CSV!D:D,""),
_xlpm.MacVal,_xlfn.XLOOKUP($A84,Output_Mac!$A:$A,Output_Mac!C:C,""),
_xlpm.MyAuditVal,_xlfn.XLOOKUP($A84,My_Audit!$A:$A,My_Audit!C:C,""),
_xlfn.IFS(_xlpm.MyAuditVal&lt;&gt;"",_xlpm.MyAuditVal,_xlpm.MacVal&lt;&gt;"",_xlpm.MacVal,_xlpm.CSVVal&lt;&gt;"",_xlpm.CSVVal
)),"")</f>
        <v/>
      </c>
      <c r="E84" s="2" t="str">
        <f>_xlfn.XLOOKUP(A84,My_Audit!A:A,My_Audit!D:D,"")</f>
        <v/>
      </c>
      <c r="F84" s="2" t="str" cm="1">
        <f t="array" ref="F84">IFERROR(_xlfn.LET(
_xlpm.CSVVal,_xlfn.XLOOKUP($A84,CSV!$A:$A,CSV!F:F,""),
_xlpm.MacVal,_xlfn.XLOOKUP($A84,Output_Mac!$A:$A,Output_Mac!E:E,""),
_xlpm.MyAuditVal,_xlfn.XLOOKUP($A84,My_Audit!$A:$A,My_Audit!E:E,""),
_xlfn.IFS(_xlpm.MyAuditVal&lt;&gt;"",_xlpm.MyAuditVal,_xlpm.MacVal&lt;&gt;"",_xlpm.MacVal,_xlpm.CSVVal&lt;&gt;"",_xlpm.CSVVal
)),"")</f>
        <v/>
      </c>
      <c r="G84" s="2" t="str" cm="1">
        <f t="array" ref="G84">IFERROR(_xlfn.LET(
_xlpm.CSVVal,_xlfn.XLOOKUP($A84,CSV!$A:$A,CSV!G:G,""),
_xlpm.MacVal,_xlfn.XLOOKUP($A84,Output_Mac!$A:$A,Output_Mac!F:F,""),
_xlpm.MyAuditVal,_xlfn.XLOOKUP($A84,My_Audit!$A:$A,My_Audit!F:F,""),
_xlfn.IFS(_xlpm.MyAuditVal&lt;&gt;"",_xlpm.MyAuditVal,_xlpm.MacVal&lt;&gt;"",_xlpm.MacVal,_xlpm.CSVVal&lt;&gt;"",PROPER(_xlpm.CSVVal)
)),"")</f>
        <v/>
      </c>
      <c r="H84" s="2" t="str" cm="1">
        <f t="array" ref="H84">IFERROR(_xlfn.LET(
_xlpm.CSVVal,_xlfn.XLOOKUP($A84,CSV!$A:$A,CSV!H:H,""),
_xlpm.MacVal,_xlfn.XLOOKUP($A84,Output_Mac!$A:$A,Output_Mac!H:H,""),
_xlpm.MyAuditVal,_xlfn.XLOOKUP($A84,My_Audit!$A:$A,My_Audit!G:G,""),
_xlfn.IFS(_xlpm.MyAuditVal&lt;&gt;"",_xlpm.MyAuditVal,_xlpm.MacVal&lt;&gt;"",_xlpm.MacVal,_xlpm.CSVVal&lt;&gt;"",_xlpm.CSVVal
)),"")</f>
        <v/>
      </c>
      <c r="I84" s="2" t="str">
        <f>_xlfn.XLOOKUP(A84,Output_Mac!A:A,Output_Mac!I:I,"")</f>
        <v/>
      </c>
      <c r="J84" s="2" t="str" cm="1">
        <f t="array" ref="J84">IFERROR(_xlfn.LET(
_xlpm.CSVVal,_xlfn.XLOOKUP($A84,CSV!$A:$A,CSV!I:I,""),
_xlpm.MacVal,_xlfn.XLOOKUP($A84,Output_Mac!$A:$A,Output_Mac!J:J,""),
_xlpm.MyAuditVal,_xlfn.XLOOKUP($A84,My_Audit!$A:$A,My_Audit!I:I,""),
_xlfn.IFS(_xlpm.MyAuditVal&lt;&gt;"",UPPER(_xlpm.MyAuditVal),_xlpm.MacVal&lt;&gt;"",_xlpm.MacVal,_xlpm.CSVVal&lt;&gt;"",_xlpm.CSVVal
)),"")</f>
        <v/>
      </c>
      <c r="K84" s="2" t="str" cm="1">
        <f t="array" ref="K84">IFERROR(_xlfn.LET(
_xlpm.CSVVal,_xlfn.XLOOKUP($A84,CSV!$A:$A,CSV!K:K,""),
_xlpm.MacVal,_xlfn.XLOOKUP($A84,Output_Mac!$A:$A,Output_Mac!K:K,""),
_xlpm.MyAuditVal,_xlfn.XLOOKUP($A84,My_Audit!$A:$A,My_Audit!J:J,""),
_xlfn.IFS(_xlpm.MyAuditVal&lt;&gt;"",UPPER(_xlpm.MyAuditVal),_xlpm.MacVal&lt;&gt;"",_xlpm.MacVal,_xlpm.CSVVal&lt;&gt;"",_xlpm.CSVVal
)),"")</f>
        <v/>
      </c>
      <c r="L84" s="2" t="str" cm="1">
        <f t="array" ref="L84">IFERROR(_xlfn.LET(
_xlpm.CSVVal,_xlfn.XLOOKUP($A84,CSV!$A:$A,CSV!P:P,""),
_xlpm.MacVal,_xlfn.XLOOKUP($A84,Output_Mac!$A:$A,Output_Mac!L:L,""),
_xlpm.MyAuditVal,_xlfn.XLOOKUP($A84,My_Audit!$A:$A,My_Audit!K:K,""),
_xlfn.IFS(_xlpm.MyAuditVal&lt;&gt;"",UPPER(_xlpm.MyAuditVal),_xlpm.MacVal&lt;&gt;"",_xlpm.MacVal,_xlpm.CSVVal&lt;&gt;"",_xlpm.CSVVal
)),"")</f>
        <v/>
      </c>
      <c r="M84" s="2" t="str" cm="1">
        <f t="array" ref="M84">IFERROR(_xlfn.LET(
_xlpm.CSVVal,_xlfn.XLOOKUP($A84,CSV!$A:$A,CSV!Q:Q,""),
_xlpm.MacVal,_xlfn.XLOOKUP($A84,Output_Mac!$A:$A,Output_Mac!M:M,""),
_xlpm.MyAuditVal,_xlfn.XLOOKUP($A84,My_Audit!$A:$A,My_Audit!L:L,""),
_xlfn.IFS(_xlpm.MyAuditVal&lt;&gt;"",UPPER(_xlpm.MyAuditVal),_xlpm.MacVal&lt;&gt;"",_xlpm.MacVal,_xlpm.CSVVal&lt;&gt;"",_xlpm.CSVVal
)),"")</f>
        <v/>
      </c>
      <c r="O84" s="2" t="str">
        <f>_xlfn.LET(
    _xlpm.CSVVal, _xlfn.XLOOKUP($A84, CSV!$A:$A, CSV!AA:AA, ""),
    _xlpm.MacVal, _xlfn.XLOOKUP($A84, Output_Mac!$A:$A, Output_Mac!S:S, ""),
    _xlpm.MyAuditVal, _xlfn.XLOOKUP($A84, My_Audit!$A:$A, My_Audit!P:P, ""),
    _xlfn.TEXTJOIN(", ", TRUE, _xlpm.MyAuditVal, _xlpm.MacVal, _xlpm.CSVVal)
)</f>
        <v/>
      </c>
      <c r="P84" s="2" t="str" cm="1">
        <f t="array" ref="P84">IFERROR(_xlfn.LET(
_xlpm.CSVVal,_xlfn.XLOOKUP($A84,CSV!$A:$A,CSV!AB:AB,""),
_xlpm.MacVal,_xlfn.XLOOKUP($A84,Output_Mac!$A:$A,Output_Mac!T:T,""),
_xlpm.MyAuditVal,_xlfn.XLOOKUP($A84,My_Audit!$A:$A,My_Audit!Q:Q,""),
_xlfn.IFS(_xlpm.MyAuditVal&lt;&gt;"",UPPER(_xlpm.MyAuditVal),_xlpm.MacVal&lt;&gt;"",_xlpm.MacVal,_xlpm.CSVVal&lt;&gt;"",_xlpm.CSVVal
)),"No")</f>
        <v>No</v>
      </c>
      <c r="Q84" s="2" t="str" cm="1">
        <f t="array" ref="Q84">IFERROR(_xlfn.LET(
_xlpm.CSVVal,_xlfn.XLOOKUP($A84,CSV!$A:$A,CSV!AC:AC,""),
_xlpm.MacVal,_xlfn.XLOOKUP($A84,Output_Mac!$A:$A,Output_Mac!U:U,""),
_xlpm.MyAuditVal,_xlfn.XLOOKUP($A84,My_Audit!$A:$A,My_Audit!R:R,""),
_xlfn.IFS(_xlpm.MyAuditVal&lt;&gt;"",UPPER(_xlpm.MyAuditVal),_xlpm.MacVal&lt;&gt;"",_xlpm.MacVal,_xlpm.CSVVal&lt;&gt;"",_xlpm.CSVVal
)),"")</f>
        <v/>
      </c>
      <c r="X84" t="str">
        <f>_xlfn.LET(
    _xlpm.MacVal, _xlfn.XLOOKUP($A84, Output_Mac!$A:$A, Output_Mac!AB:AB, ""),
    _xlpm.MyAuditVal, _xlfn.XLOOKUP($A84, My_Audit!$A:$A, My_Audit!N:N, ""),
    _xlfn.TEXTJOIN(", ", TRUE, _xlpm.MyAuditVal, _xlpm.MacVal)
)</f>
        <v/>
      </c>
    </row>
    <row r="85" spans="1:24">
      <c r="A85" s="2" t="str">
        <f>_xlfn.TEXTJOIN("",TRUE,Input!$B$2,ROW(My_Audit!A84))</f>
        <v>X84</v>
      </c>
      <c r="B85" s="2" t="str">
        <f>_xlfn.TEXTJOIN("-",TRUE,"ITD",Input!$A$2,A85)</f>
        <v>ITD-SHR-X84</v>
      </c>
      <c r="C85" s="2" t="str" cm="1">
        <f t="array" ref="C85">IFERROR(_xlfn.LET(
_xlpm.CSVVal,_xlfn.XLOOKUP($A85,CSV!$A:$A,CSV!B:B,""),
_xlpm.MacVal,_xlfn.XLOOKUP($A85,Output_Mac!$A:$A,Output_Mac!B:B,""),
_xlpm.MyAuditVal,_xlfn.XLOOKUP($A85,My_Audit!$A:$A,My_Audit!B:B,""),
_xlfn.IFS(_xlpm.MyAuditVal&lt;&gt;"",UPPER(_xlpm.MyAuditVal),_xlpm.MacVal&lt;&gt;"",_xlpm.MacVal,_xlpm.CSVVal&lt;&gt;"",_xlpm.CSVVal
)),"")</f>
        <v/>
      </c>
      <c r="D85" s="2" t="str" cm="1">
        <f t="array" ref="D85">IFERROR(_xlfn.LET(
_xlpm.CSVVal,_xlfn.XLOOKUP($A85,CSV!$A:$A,CSV!D:D,""),
_xlpm.MacVal,_xlfn.XLOOKUP($A85,Output_Mac!$A:$A,Output_Mac!C:C,""),
_xlpm.MyAuditVal,_xlfn.XLOOKUP($A85,My_Audit!$A:$A,My_Audit!C:C,""),
_xlfn.IFS(_xlpm.MyAuditVal&lt;&gt;"",_xlpm.MyAuditVal,_xlpm.MacVal&lt;&gt;"",_xlpm.MacVal,_xlpm.CSVVal&lt;&gt;"",_xlpm.CSVVal
)),"")</f>
        <v/>
      </c>
      <c r="E85" s="2" t="str">
        <f>_xlfn.XLOOKUP(A85,My_Audit!A:A,My_Audit!D:D,"")</f>
        <v/>
      </c>
      <c r="F85" s="2" t="str" cm="1">
        <f t="array" ref="F85">IFERROR(_xlfn.LET(
_xlpm.CSVVal,_xlfn.XLOOKUP($A85,CSV!$A:$A,CSV!F:F,""),
_xlpm.MacVal,_xlfn.XLOOKUP($A85,Output_Mac!$A:$A,Output_Mac!E:E,""),
_xlpm.MyAuditVal,_xlfn.XLOOKUP($A85,My_Audit!$A:$A,My_Audit!E:E,""),
_xlfn.IFS(_xlpm.MyAuditVal&lt;&gt;"",_xlpm.MyAuditVal,_xlpm.MacVal&lt;&gt;"",_xlpm.MacVal,_xlpm.CSVVal&lt;&gt;"",_xlpm.CSVVal
)),"")</f>
        <v/>
      </c>
      <c r="G85" s="2" t="str" cm="1">
        <f t="array" ref="G85">IFERROR(_xlfn.LET(
_xlpm.CSVVal,_xlfn.XLOOKUP($A85,CSV!$A:$A,CSV!G:G,""),
_xlpm.MacVal,_xlfn.XLOOKUP($A85,Output_Mac!$A:$A,Output_Mac!F:F,""),
_xlpm.MyAuditVal,_xlfn.XLOOKUP($A85,My_Audit!$A:$A,My_Audit!F:F,""),
_xlfn.IFS(_xlpm.MyAuditVal&lt;&gt;"",_xlpm.MyAuditVal,_xlpm.MacVal&lt;&gt;"",_xlpm.MacVal,_xlpm.CSVVal&lt;&gt;"",PROPER(_xlpm.CSVVal)
)),"")</f>
        <v/>
      </c>
      <c r="H85" s="2" t="str" cm="1">
        <f t="array" ref="H85">IFERROR(_xlfn.LET(
_xlpm.CSVVal,_xlfn.XLOOKUP($A85,CSV!$A:$A,CSV!H:H,""),
_xlpm.MacVal,_xlfn.XLOOKUP($A85,Output_Mac!$A:$A,Output_Mac!H:H,""),
_xlpm.MyAuditVal,_xlfn.XLOOKUP($A85,My_Audit!$A:$A,My_Audit!G:G,""),
_xlfn.IFS(_xlpm.MyAuditVal&lt;&gt;"",_xlpm.MyAuditVal,_xlpm.MacVal&lt;&gt;"",_xlpm.MacVal,_xlpm.CSVVal&lt;&gt;"",_xlpm.CSVVal
)),"")</f>
        <v/>
      </c>
      <c r="I85" s="2" t="str">
        <f>_xlfn.XLOOKUP(A85,Output_Mac!A:A,Output_Mac!I:I,"")</f>
        <v/>
      </c>
      <c r="J85" s="2" t="str" cm="1">
        <f t="array" ref="J85">IFERROR(_xlfn.LET(
_xlpm.CSVVal,_xlfn.XLOOKUP($A85,CSV!$A:$A,CSV!I:I,""),
_xlpm.MacVal,_xlfn.XLOOKUP($A85,Output_Mac!$A:$A,Output_Mac!J:J,""),
_xlpm.MyAuditVal,_xlfn.XLOOKUP($A85,My_Audit!$A:$A,My_Audit!I:I,""),
_xlfn.IFS(_xlpm.MyAuditVal&lt;&gt;"",UPPER(_xlpm.MyAuditVal),_xlpm.MacVal&lt;&gt;"",_xlpm.MacVal,_xlpm.CSVVal&lt;&gt;"",_xlpm.CSVVal
)),"")</f>
        <v/>
      </c>
      <c r="K85" s="2" t="str" cm="1">
        <f t="array" ref="K85">IFERROR(_xlfn.LET(
_xlpm.CSVVal,_xlfn.XLOOKUP($A85,CSV!$A:$A,CSV!K:K,""),
_xlpm.MacVal,_xlfn.XLOOKUP($A85,Output_Mac!$A:$A,Output_Mac!K:K,""),
_xlpm.MyAuditVal,_xlfn.XLOOKUP($A85,My_Audit!$A:$A,My_Audit!J:J,""),
_xlfn.IFS(_xlpm.MyAuditVal&lt;&gt;"",UPPER(_xlpm.MyAuditVal),_xlpm.MacVal&lt;&gt;"",_xlpm.MacVal,_xlpm.CSVVal&lt;&gt;"",_xlpm.CSVVal
)),"")</f>
        <v/>
      </c>
      <c r="L85" s="2" t="str" cm="1">
        <f t="array" ref="L85">IFERROR(_xlfn.LET(
_xlpm.CSVVal,_xlfn.XLOOKUP($A85,CSV!$A:$A,CSV!P:P,""),
_xlpm.MacVal,_xlfn.XLOOKUP($A85,Output_Mac!$A:$A,Output_Mac!L:L,""),
_xlpm.MyAuditVal,_xlfn.XLOOKUP($A85,My_Audit!$A:$A,My_Audit!K:K,""),
_xlfn.IFS(_xlpm.MyAuditVal&lt;&gt;"",UPPER(_xlpm.MyAuditVal),_xlpm.MacVal&lt;&gt;"",_xlpm.MacVal,_xlpm.CSVVal&lt;&gt;"",_xlpm.CSVVal
)),"")</f>
        <v/>
      </c>
      <c r="M85" s="2" t="str" cm="1">
        <f t="array" ref="M85">IFERROR(_xlfn.LET(
_xlpm.CSVVal,_xlfn.XLOOKUP($A85,CSV!$A:$A,CSV!Q:Q,""),
_xlpm.MacVal,_xlfn.XLOOKUP($A85,Output_Mac!$A:$A,Output_Mac!M:M,""),
_xlpm.MyAuditVal,_xlfn.XLOOKUP($A85,My_Audit!$A:$A,My_Audit!L:L,""),
_xlfn.IFS(_xlpm.MyAuditVal&lt;&gt;"",UPPER(_xlpm.MyAuditVal),_xlpm.MacVal&lt;&gt;"",_xlpm.MacVal,_xlpm.CSVVal&lt;&gt;"",_xlpm.CSVVal
)),"")</f>
        <v/>
      </c>
      <c r="O85" s="2" t="str">
        <f>_xlfn.LET(
    _xlpm.CSVVal, _xlfn.XLOOKUP($A85, CSV!$A:$A, CSV!AA:AA, ""),
    _xlpm.MacVal, _xlfn.XLOOKUP($A85, Output_Mac!$A:$A, Output_Mac!S:S, ""),
    _xlpm.MyAuditVal, _xlfn.XLOOKUP($A85, My_Audit!$A:$A, My_Audit!P:P, ""),
    _xlfn.TEXTJOIN(", ", TRUE, _xlpm.MyAuditVal, _xlpm.MacVal, _xlpm.CSVVal)
)</f>
        <v/>
      </c>
      <c r="P85" s="2" t="str" cm="1">
        <f t="array" ref="P85">IFERROR(_xlfn.LET(
_xlpm.CSVVal,_xlfn.XLOOKUP($A85,CSV!$A:$A,CSV!AB:AB,""),
_xlpm.MacVal,_xlfn.XLOOKUP($A85,Output_Mac!$A:$A,Output_Mac!T:T,""),
_xlpm.MyAuditVal,_xlfn.XLOOKUP($A85,My_Audit!$A:$A,My_Audit!Q:Q,""),
_xlfn.IFS(_xlpm.MyAuditVal&lt;&gt;"",UPPER(_xlpm.MyAuditVal),_xlpm.MacVal&lt;&gt;"",_xlpm.MacVal,_xlpm.CSVVal&lt;&gt;"",_xlpm.CSVVal
)),"No")</f>
        <v>No</v>
      </c>
      <c r="Q85" s="2" t="str" cm="1">
        <f t="array" ref="Q85">IFERROR(_xlfn.LET(
_xlpm.CSVVal,_xlfn.XLOOKUP($A85,CSV!$A:$A,CSV!AC:AC,""),
_xlpm.MacVal,_xlfn.XLOOKUP($A85,Output_Mac!$A:$A,Output_Mac!U:U,""),
_xlpm.MyAuditVal,_xlfn.XLOOKUP($A85,My_Audit!$A:$A,My_Audit!R:R,""),
_xlfn.IFS(_xlpm.MyAuditVal&lt;&gt;"",UPPER(_xlpm.MyAuditVal),_xlpm.MacVal&lt;&gt;"",_xlpm.MacVal,_xlpm.CSVVal&lt;&gt;"",_xlpm.CSVVal
)),"")</f>
        <v/>
      </c>
      <c r="X85" t="str">
        <f>_xlfn.LET(
    _xlpm.MacVal, _xlfn.XLOOKUP($A85, Output_Mac!$A:$A, Output_Mac!AB:AB, ""),
    _xlpm.MyAuditVal, _xlfn.XLOOKUP($A85, My_Audit!$A:$A, My_Audit!N:N, ""),
    _xlfn.TEXTJOIN(", ", TRUE, _xlpm.MyAuditVal, _xlpm.MacVal)
)</f>
        <v/>
      </c>
    </row>
    <row r="86" spans="1:24">
      <c r="A86" s="2" t="str">
        <f>_xlfn.TEXTJOIN("",TRUE,Input!$B$2,ROW(My_Audit!A85))</f>
        <v>X85</v>
      </c>
      <c r="B86" s="2" t="str">
        <f>_xlfn.TEXTJOIN("-",TRUE,"ITD",Input!$A$2,A86)</f>
        <v>ITD-SHR-X85</v>
      </c>
      <c r="C86" s="2" t="str" cm="1">
        <f t="array" ref="C86">IFERROR(_xlfn.LET(
_xlpm.CSVVal,_xlfn.XLOOKUP($A86,CSV!$A:$A,CSV!B:B,""),
_xlpm.MacVal,_xlfn.XLOOKUP($A86,Output_Mac!$A:$A,Output_Mac!B:B,""),
_xlpm.MyAuditVal,_xlfn.XLOOKUP($A86,My_Audit!$A:$A,My_Audit!B:B,""),
_xlfn.IFS(_xlpm.MyAuditVal&lt;&gt;"",UPPER(_xlpm.MyAuditVal),_xlpm.MacVal&lt;&gt;"",_xlpm.MacVal,_xlpm.CSVVal&lt;&gt;"",_xlpm.CSVVal
)),"")</f>
        <v/>
      </c>
      <c r="D86" s="2" t="str" cm="1">
        <f t="array" ref="D86">IFERROR(_xlfn.LET(
_xlpm.CSVVal,_xlfn.XLOOKUP($A86,CSV!$A:$A,CSV!D:D,""),
_xlpm.MacVal,_xlfn.XLOOKUP($A86,Output_Mac!$A:$A,Output_Mac!C:C,""),
_xlpm.MyAuditVal,_xlfn.XLOOKUP($A86,My_Audit!$A:$A,My_Audit!C:C,""),
_xlfn.IFS(_xlpm.MyAuditVal&lt;&gt;"",_xlpm.MyAuditVal,_xlpm.MacVal&lt;&gt;"",_xlpm.MacVal,_xlpm.CSVVal&lt;&gt;"",_xlpm.CSVVal
)),"")</f>
        <v/>
      </c>
      <c r="E86" s="2" t="str">
        <f>_xlfn.XLOOKUP(A86,My_Audit!A:A,My_Audit!D:D,"")</f>
        <v/>
      </c>
      <c r="F86" s="2" t="str" cm="1">
        <f t="array" ref="F86">IFERROR(_xlfn.LET(
_xlpm.CSVVal,_xlfn.XLOOKUP($A86,CSV!$A:$A,CSV!F:F,""),
_xlpm.MacVal,_xlfn.XLOOKUP($A86,Output_Mac!$A:$A,Output_Mac!E:E,""),
_xlpm.MyAuditVal,_xlfn.XLOOKUP($A86,My_Audit!$A:$A,My_Audit!E:E,""),
_xlfn.IFS(_xlpm.MyAuditVal&lt;&gt;"",_xlpm.MyAuditVal,_xlpm.MacVal&lt;&gt;"",_xlpm.MacVal,_xlpm.CSVVal&lt;&gt;"",_xlpm.CSVVal
)),"")</f>
        <v/>
      </c>
      <c r="G86" s="2" t="str" cm="1">
        <f t="array" ref="G86">IFERROR(_xlfn.LET(
_xlpm.CSVVal,_xlfn.XLOOKUP($A86,CSV!$A:$A,CSV!G:G,""),
_xlpm.MacVal,_xlfn.XLOOKUP($A86,Output_Mac!$A:$A,Output_Mac!F:F,""),
_xlpm.MyAuditVal,_xlfn.XLOOKUP($A86,My_Audit!$A:$A,My_Audit!F:F,""),
_xlfn.IFS(_xlpm.MyAuditVal&lt;&gt;"",_xlpm.MyAuditVal,_xlpm.MacVal&lt;&gt;"",_xlpm.MacVal,_xlpm.CSVVal&lt;&gt;"",PROPER(_xlpm.CSVVal)
)),"")</f>
        <v/>
      </c>
      <c r="H86" s="2" t="str" cm="1">
        <f t="array" ref="H86">IFERROR(_xlfn.LET(
_xlpm.CSVVal,_xlfn.XLOOKUP($A86,CSV!$A:$A,CSV!H:H,""),
_xlpm.MacVal,_xlfn.XLOOKUP($A86,Output_Mac!$A:$A,Output_Mac!H:H,""),
_xlpm.MyAuditVal,_xlfn.XLOOKUP($A86,My_Audit!$A:$A,My_Audit!G:G,""),
_xlfn.IFS(_xlpm.MyAuditVal&lt;&gt;"",_xlpm.MyAuditVal,_xlpm.MacVal&lt;&gt;"",_xlpm.MacVal,_xlpm.CSVVal&lt;&gt;"",_xlpm.CSVVal
)),"")</f>
        <v/>
      </c>
      <c r="I86" s="2" t="str">
        <f>_xlfn.XLOOKUP(A86,Output_Mac!A:A,Output_Mac!I:I,"")</f>
        <v/>
      </c>
      <c r="J86" s="2" t="str" cm="1">
        <f t="array" ref="J86">IFERROR(_xlfn.LET(
_xlpm.CSVVal,_xlfn.XLOOKUP($A86,CSV!$A:$A,CSV!I:I,""),
_xlpm.MacVal,_xlfn.XLOOKUP($A86,Output_Mac!$A:$A,Output_Mac!J:J,""),
_xlpm.MyAuditVal,_xlfn.XLOOKUP($A86,My_Audit!$A:$A,My_Audit!I:I,""),
_xlfn.IFS(_xlpm.MyAuditVal&lt;&gt;"",UPPER(_xlpm.MyAuditVal),_xlpm.MacVal&lt;&gt;"",_xlpm.MacVal,_xlpm.CSVVal&lt;&gt;"",_xlpm.CSVVal
)),"")</f>
        <v/>
      </c>
      <c r="K86" s="2" t="str" cm="1">
        <f t="array" ref="K86">IFERROR(_xlfn.LET(
_xlpm.CSVVal,_xlfn.XLOOKUP($A86,CSV!$A:$A,CSV!K:K,""),
_xlpm.MacVal,_xlfn.XLOOKUP($A86,Output_Mac!$A:$A,Output_Mac!K:K,""),
_xlpm.MyAuditVal,_xlfn.XLOOKUP($A86,My_Audit!$A:$A,My_Audit!J:J,""),
_xlfn.IFS(_xlpm.MyAuditVal&lt;&gt;"",UPPER(_xlpm.MyAuditVal),_xlpm.MacVal&lt;&gt;"",_xlpm.MacVal,_xlpm.CSVVal&lt;&gt;"",_xlpm.CSVVal
)),"")</f>
        <v/>
      </c>
      <c r="L86" s="2" t="str" cm="1">
        <f t="array" ref="L86">IFERROR(_xlfn.LET(
_xlpm.CSVVal,_xlfn.XLOOKUP($A86,CSV!$A:$A,CSV!P:P,""),
_xlpm.MacVal,_xlfn.XLOOKUP($A86,Output_Mac!$A:$A,Output_Mac!L:L,""),
_xlpm.MyAuditVal,_xlfn.XLOOKUP($A86,My_Audit!$A:$A,My_Audit!K:K,""),
_xlfn.IFS(_xlpm.MyAuditVal&lt;&gt;"",UPPER(_xlpm.MyAuditVal),_xlpm.MacVal&lt;&gt;"",_xlpm.MacVal,_xlpm.CSVVal&lt;&gt;"",_xlpm.CSVVal
)),"")</f>
        <v/>
      </c>
      <c r="M86" s="2" t="str" cm="1">
        <f t="array" ref="M86">IFERROR(_xlfn.LET(
_xlpm.CSVVal,_xlfn.XLOOKUP($A86,CSV!$A:$A,CSV!Q:Q,""),
_xlpm.MacVal,_xlfn.XLOOKUP($A86,Output_Mac!$A:$A,Output_Mac!M:M,""),
_xlpm.MyAuditVal,_xlfn.XLOOKUP($A86,My_Audit!$A:$A,My_Audit!L:L,""),
_xlfn.IFS(_xlpm.MyAuditVal&lt;&gt;"",UPPER(_xlpm.MyAuditVal),_xlpm.MacVal&lt;&gt;"",_xlpm.MacVal,_xlpm.CSVVal&lt;&gt;"",_xlpm.CSVVal
)),"")</f>
        <v/>
      </c>
      <c r="O86" s="2" t="str">
        <f>_xlfn.LET(
    _xlpm.CSVVal, _xlfn.XLOOKUP($A86, CSV!$A:$A, CSV!AA:AA, ""),
    _xlpm.MacVal, _xlfn.XLOOKUP($A86, Output_Mac!$A:$A, Output_Mac!S:S, ""),
    _xlpm.MyAuditVal, _xlfn.XLOOKUP($A86, My_Audit!$A:$A, My_Audit!P:P, ""),
    _xlfn.TEXTJOIN(", ", TRUE, _xlpm.MyAuditVal, _xlpm.MacVal, _xlpm.CSVVal)
)</f>
        <v/>
      </c>
      <c r="P86" s="2" t="str" cm="1">
        <f t="array" ref="P86">IFERROR(_xlfn.LET(
_xlpm.CSVVal,_xlfn.XLOOKUP($A86,CSV!$A:$A,CSV!AB:AB,""),
_xlpm.MacVal,_xlfn.XLOOKUP($A86,Output_Mac!$A:$A,Output_Mac!T:T,""),
_xlpm.MyAuditVal,_xlfn.XLOOKUP($A86,My_Audit!$A:$A,My_Audit!Q:Q,""),
_xlfn.IFS(_xlpm.MyAuditVal&lt;&gt;"",UPPER(_xlpm.MyAuditVal),_xlpm.MacVal&lt;&gt;"",_xlpm.MacVal,_xlpm.CSVVal&lt;&gt;"",_xlpm.CSVVal
)),"No")</f>
        <v>No</v>
      </c>
      <c r="Q86" s="2" t="str" cm="1">
        <f t="array" ref="Q86">IFERROR(_xlfn.LET(
_xlpm.CSVVal,_xlfn.XLOOKUP($A86,CSV!$A:$A,CSV!AC:AC,""),
_xlpm.MacVal,_xlfn.XLOOKUP($A86,Output_Mac!$A:$A,Output_Mac!U:U,""),
_xlpm.MyAuditVal,_xlfn.XLOOKUP($A86,My_Audit!$A:$A,My_Audit!R:R,""),
_xlfn.IFS(_xlpm.MyAuditVal&lt;&gt;"",UPPER(_xlpm.MyAuditVal),_xlpm.MacVal&lt;&gt;"",_xlpm.MacVal,_xlpm.CSVVal&lt;&gt;"",_xlpm.CSVVal
)),"")</f>
        <v/>
      </c>
      <c r="X86" t="str">
        <f>_xlfn.LET(
    _xlpm.MacVal, _xlfn.XLOOKUP($A86, Output_Mac!$A:$A, Output_Mac!AB:AB, ""),
    _xlpm.MyAuditVal, _xlfn.XLOOKUP($A86, My_Audit!$A:$A, My_Audit!N:N, ""),
    _xlfn.TEXTJOIN(", ", TRUE, _xlpm.MyAuditVal, _xlpm.MacVal)
)</f>
        <v/>
      </c>
    </row>
    <row r="87" spans="1:24">
      <c r="A87" s="2" t="str">
        <f>_xlfn.TEXTJOIN("",TRUE,Input!$B$2,ROW(My_Audit!A86))</f>
        <v>X86</v>
      </c>
      <c r="B87" s="2" t="str">
        <f>_xlfn.TEXTJOIN("-",TRUE,"ITD",Input!$A$2,A87)</f>
        <v>ITD-SHR-X86</v>
      </c>
      <c r="C87" s="2" t="str" cm="1">
        <f t="array" ref="C87">IFERROR(_xlfn.LET(
_xlpm.CSVVal,_xlfn.XLOOKUP($A87,CSV!$A:$A,CSV!B:B,""),
_xlpm.MacVal,_xlfn.XLOOKUP($A87,Output_Mac!$A:$A,Output_Mac!B:B,""),
_xlpm.MyAuditVal,_xlfn.XLOOKUP($A87,My_Audit!$A:$A,My_Audit!B:B,""),
_xlfn.IFS(_xlpm.MyAuditVal&lt;&gt;"",UPPER(_xlpm.MyAuditVal),_xlpm.MacVal&lt;&gt;"",_xlpm.MacVal,_xlpm.CSVVal&lt;&gt;"",_xlpm.CSVVal
)),"")</f>
        <v/>
      </c>
      <c r="D87" s="2" t="str" cm="1">
        <f t="array" ref="D87">IFERROR(_xlfn.LET(
_xlpm.CSVVal,_xlfn.XLOOKUP($A87,CSV!$A:$A,CSV!D:D,""),
_xlpm.MacVal,_xlfn.XLOOKUP($A87,Output_Mac!$A:$A,Output_Mac!C:C,""),
_xlpm.MyAuditVal,_xlfn.XLOOKUP($A87,My_Audit!$A:$A,My_Audit!C:C,""),
_xlfn.IFS(_xlpm.MyAuditVal&lt;&gt;"",_xlpm.MyAuditVal,_xlpm.MacVal&lt;&gt;"",_xlpm.MacVal,_xlpm.CSVVal&lt;&gt;"",_xlpm.CSVVal
)),"")</f>
        <v/>
      </c>
      <c r="E87" s="2" t="str">
        <f>_xlfn.XLOOKUP(A87,My_Audit!A:A,My_Audit!D:D,"")</f>
        <v/>
      </c>
      <c r="F87" s="2" t="str" cm="1">
        <f t="array" ref="F87">IFERROR(_xlfn.LET(
_xlpm.CSVVal,_xlfn.XLOOKUP($A87,CSV!$A:$A,CSV!F:F,""),
_xlpm.MacVal,_xlfn.XLOOKUP($A87,Output_Mac!$A:$A,Output_Mac!E:E,""),
_xlpm.MyAuditVal,_xlfn.XLOOKUP($A87,My_Audit!$A:$A,My_Audit!E:E,""),
_xlfn.IFS(_xlpm.MyAuditVal&lt;&gt;"",_xlpm.MyAuditVal,_xlpm.MacVal&lt;&gt;"",_xlpm.MacVal,_xlpm.CSVVal&lt;&gt;"",_xlpm.CSVVal
)),"")</f>
        <v/>
      </c>
      <c r="G87" s="2" t="str" cm="1">
        <f t="array" ref="G87">IFERROR(_xlfn.LET(
_xlpm.CSVVal,_xlfn.XLOOKUP($A87,CSV!$A:$A,CSV!G:G,""),
_xlpm.MacVal,_xlfn.XLOOKUP($A87,Output_Mac!$A:$A,Output_Mac!F:F,""),
_xlpm.MyAuditVal,_xlfn.XLOOKUP($A87,My_Audit!$A:$A,My_Audit!F:F,""),
_xlfn.IFS(_xlpm.MyAuditVal&lt;&gt;"",_xlpm.MyAuditVal,_xlpm.MacVal&lt;&gt;"",_xlpm.MacVal,_xlpm.CSVVal&lt;&gt;"",PROPER(_xlpm.CSVVal)
)),"")</f>
        <v/>
      </c>
      <c r="H87" s="2" t="str" cm="1">
        <f t="array" ref="H87">IFERROR(_xlfn.LET(
_xlpm.CSVVal,_xlfn.XLOOKUP($A87,CSV!$A:$A,CSV!H:H,""),
_xlpm.MacVal,_xlfn.XLOOKUP($A87,Output_Mac!$A:$A,Output_Mac!H:H,""),
_xlpm.MyAuditVal,_xlfn.XLOOKUP($A87,My_Audit!$A:$A,My_Audit!G:G,""),
_xlfn.IFS(_xlpm.MyAuditVal&lt;&gt;"",_xlpm.MyAuditVal,_xlpm.MacVal&lt;&gt;"",_xlpm.MacVal,_xlpm.CSVVal&lt;&gt;"",_xlpm.CSVVal
)),"")</f>
        <v/>
      </c>
      <c r="I87" s="2" t="str">
        <f>_xlfn.XLOOKUP(A87,Output_Mac!A:A,Output_Mac!I:I,"")</f>
        <v/>
      </c>
      <c r="J87" s="2" t="str" cm="1">
        <f t="array" ref="J87">IFERROR(_xlfn.LET(
_xlpm.CSVVal,_xlfn.XLOOKUP($A87,CSV!$A:$A,CSV!I:I,""),
_xlpm.MacVal,_xlfn.XLOOKUP($A87,Output_Mac!$A:$A,Output_Mac!J:J,""),
_xlpm.MyAuditVal,_xlfn.XLOOKUP($A87,My_Audit!$A:$A,My_Audit!I:I,""),
_xlfn.IFS(_xlpm.MyAuditVal&lt;&gt;"",UPPER(_xlpm.MyAuditVal),_xlpm.MacVal&lt;&gt;"",_xlpm.MacVal,_xlpm.CSVVal&lt;&gt;"",_xlpm.CSVVal
)),"")</f>
        <v/>
      </c>
      <c r="K87" s="2" t="str" cm="1">
        <f t="array" ref="K87">IFERROR(_xlfn.LET(
_xlpm.CSVVal,_xlfn.XLOOKUP($A87,CSV!$A:$A,CSV!K:K,""),
_xlpm.MacVal,_xlfn.XLOOKUP($A87,Output_Mac!$A:$A,Output_Mac!K:K,""),
_xlpm.MyAuditVal,_xlfn.XLOOKUP($A87,My_Audit!$A:$A,My_Audit!J:J,""),
_xlfn.IFS(_xlpm.MyAuditVal&lt;&gt;"",UPPER(_xlpm.MyAuditVal),_xlpm.MacVal&lt;&gt;"",_xlpm.MacVal,_xlpm.CSVVal&lt;&gt;"",_xlpm.CSVVal
)),"")</f>
        <v/>
      </c>
      <c r="L87" s="2" t="str" cm="1">
        <f t="array" ref="L87">IFERROR(_xlfn.LET(
_xlpm.CSVVal,_xlfn.XLOOKUP($A87,CSV!$A:$A,CSV!P:P,""),
_xlpm.MacVal,_xlfn.XLOOKUP($A87,Output_Mac!$A:$A,Output_Mac!L:L,""),
_xlpm.MyAuditVal,_xlfn.XLOOKUP($A87,My_Audit!$A:$A,My_Audit!K:K,""),
_xlfn.IFS(_xlpm.MyAuditVal&lt;&gt;"",UPPER(_xlpm.MyAuditVal),_xlpm.MacVal&lt;&gt;"",_xlpm.MacVal,_xlpm.CSVVal&lt;&gt;"",_xlpm.CSVVal
)),"")</f>
        <v/>
      </c>
      <c r="M87" s="2" t="str" cm="1">
        <f t="array" ref="M87">IFERROR(_xlfn.LET(
_xlpm.CSVVal,_xlfn.XLOOKUP($A87,CSV!$A:$A,CSV!Q:Q,""),
_xlpm.MacVal,_xlfn.XLOOKUP($A87,Output_Mac!$A:$A,Output_Mac!M:M,""),
_xlpm.MyAuditVal,_xlfn.XLOOKUP($A87,My_Audit!$A:$A,My_Audit!L:L,""),
_xlfn.IFS(_xlpm.MyAuditVal&lt;&gt;"",UPPER(_xlpm.MyAuditVal),_xlpm.MacVal&lt;&gt;"",_xlpm.MacVal,_xlpm.CSVVal&lt;&gt;"",_xlpm.CSVVal
)),"")</f>
        <v/>
      </c>
      <c r="O87" s="2" t="str">
        <f>_xlfn.LET(
    _xlpm.CSVVal, _xlfn.XLOOKUP($A87, CSV!$A:$A, CSV!AA:AA, ""),
    _xlpm.MacVal, _xlfn.XLOOKUP($A87, Output_Mac!$A:$A, Output_Mac!S:S, ""),
    _xlpm.MyAuditVal, _xlfn.XLOOKUP($A87, My_Audit!$A:$A, My_Audit!P:P, ""),
    _xlfn.TEXTJOIN(", ", TRUE, _xlpm.MyAuditVal, _xlpm.MacVal, _xlpm.CSVVal)
)</f>
        <v/>
      </c>
      <c r="P87" s="2" t="str" cm="1">
        <f t="array" ref="P87">IFERROR(_xlfn.LET(
_xlpm.CSVVal,_xlfn.XLOOKUP($A87,CSV!$A:$A,CSV!AB:AB,""),
_xlpm.MacVal,_xlfn.XLOOKUP($A87,Output_Mac!$A:$A,Output_Mac!T:T,""),
_xlpm.MyAuditVal,_xlfn.XLOOKUP($A87,My_Audit!$A:$A,My_Audit!Q:Q,""),
_xlfn.IFS(_xlpm.MyAuditVal&lt;&gt;"",UPPER(_xlpm.MyAuditVal),_xlpm.MacVal&lt;&gt;"",_xlpm.MacVal,_xlpm.CSVVal&lt;&gt;"",_xlpm.CSVVal
)),"No")</f>
        <v>No</v>
      </c>
      <c r="Q87" s="2" t="str" cm="1">
        <f t="array" ref="Q87">IFERROR(_xlfn.LET(
_xlpm.CSVVal,_xlfn.XLOOKUP($A87,CSV!$A:$A,CSV!AC:AC,""),
_xlpm.MacVal,_xlfn.XLOOKUP($A87,Output_Mac!$A:$A,Output_Mac!U:U,""),
_xlpm.MyAuditVal,_xlfn.XLOOKUP($A87,My_Audit!$A:$A,My_Audit!R:R,""),
_xlfn.IFS(_xlpm.MyAuditVal&lt;&gt;"",UPPER(_xlpm.MyAuditVal),_xlpm.MacVal&lt;&gt;"",_xlpm.MacVal,_xlpm.CSVVal&lt;&gt;"",_xlpm.CSVVal
)),"")</f>
        <v/>
      </c>
      <c r="X87" t="str">
        <f>_xlfn.LET(
    _xlpm.MacVal, _xlfn.XLOOKUP($A87, Output_Mac!$A:$A, Output_Mac!AB:AB, ""),
    _xlpm.MyAuditVal, _xlfn.XLOOKUP($A87, My_Audit!$A:$A, My_Audit!N:N, ""),
    _xlfn.TEXTJOIN(", ", TRUE, _xlpm.MyAuditVal, _xlpm.MacVal)
)</f>
        <v/>
      </c>
    </row>
    <row r="88" spans="1:24">
      <c r="A88" s="2" t="str">
        <f>_xlfn.TEXTJOIN("",TRUE,Input!$B$2,ROW(My_Audit!A87))</f>
        <v>X87</v>
      </c>
      <c r="B88" s="2" t="str">
        <f>_xlfn.TEXTJOIN("-",TRUE,"ITD",Input!$A$2,A88)</f>
        <v>ITD-SHR-X87</v>
      </c>
      <c r="C88" s="2" t="str" cm="1">
        <f t="array" ref="C88">IFERROR(_xlfn.LET(
_xlpm.CSVVal,_xlfn.XLOOKUP($A88,CSV!$A:$A,CSV!B:B,""),
_xlpm.MacVal,_xlfn.XLOOKUP($A88,Output_Mac!$A:$A,Output_Mac!B:B,""),
_xlpm.MyAuditVal,_xlfn.XLOOKUP($A88,My_Audit!$A:$A,My_Audit!B:B,""),
_xlfn.IFS(_xlpm.MyAuditVal&lt;&gt;"",UPPER(_xlpm.MyAuditVal),_xlpm.MacVal&lt;&gt;"",_xlpm.MacVal,_xlpm.CSVVal&lt;&gt;"",_xlpm.CSVVal
)),"")</f>
        <v/>
      </c>
      <c r="D88" s="2" t="str" cm="1">
        <f t="array" ref="D88">IFERROR(_xlfn.LET(
_xlpm.CSVVal,_xlfn.XLOOKUP($A88,CSV!$A:$A,CSV!D:D,""),
_xlpm.MacVal,_xlfn.XLOOKUP($A88,Output_Mac!$A:$A,Output_Mac!C:C,""),
_xlpm.MyAuditVal,_xlfn.XLOOKUP($A88,My_Audit!$A:$A,My_Audit!C:C,""),
_xlfn.IFS(_xlpm.MyAuditVal&lt;&gt;"",_xlpm.MyAuditVal,_xlpm.MacVal&lt;&gt;"",_xlpm.MacVal,_xlpm.CSVVal&lt;&gt;"",_xlpm.CSVVal
)),"")</f>
        <v/>
      </c>
      <c r="E88" s="2" t="str">
        <f>_xlfn.XLOOKUP(A88,My_Audit!A:A,My_Audit!D:D,"")</f>
        <v/>
      </c>
      <c r="F88" s="2" t="str" cm="1">
        <f t="array" ref="F88">IFERROR(_xlfn.LET(
_xlpm.CSVVal,_xlfn.XLOOKUP($A88,CSV!$A:$A,CSV!F:F,""),
_xlpm.MacVal,_xlfn.XLOOKUP($A88,Output_Mac!$A:$A,Output_Mac!E:E,""),
_xlpm.MyAuditVal,_xlfn.XLOOKUP($A88,My_Audit!$A:$A,My_Audit!E:E,""),
_xlfn.IFS(_xlpm.MyAuditVal&lt;&gt;"",_xlpm.MyAuditVal,_xlpm.MacVal&lt;&gt;"",_xlpm.MacVal,_xlpm.CSVVal&lt;&gt;"",_xlpm.CSVVal
)),"")</f>
        <v/>
      </c>
      <c r="G88" s="2" t="str" cm="1">
        <f t="array" ref="G88">IFERROR(_xlfn.LET(
_xlpm.CSVVal,_xlfn.XLOOKUP($A88,CSV!$A:$A,CSV!G:G,""),
_xlpm.MacVal,_xlfn.XLOOKUP($A88,Output_Mac!$A:$A,Output_Mac!F:F,""),
_xlpm.MyAuditVal,_xlfn.XLOOKUP($A88,My_Audit!$A:$A,My_Audit!F:F,""),
_xlfn.IFS(_xlpm.MyAuditVal&lt;&gt;"",_xlpm.MyAuditVal,_xlpm.MacVal&lt;&gt;"",_xlpm.MacVal,_xlpm.CSVVal&lt;&gt;"",PROPER(_xlpm.CSVVal)
)),"")</f>
        <v/>
      </c>
      <c r="H88" s="2" t="str" cm="1">
        <f t="array" ref="H88">IFERROR(_xlfn.LET(
_xlpm.CSVVal,_xlfn.XLOOKUP($A88,CSV!$A:$A,CSV!H:H,""),
_xlpm.MacVal,_xlfn.XLOOKUP($A88,Output_Mac!$A:$A,Output_Mac!H:H,""),
_xlpm.MyAuditVal,_xlfn.XLOOKUP($A88,My_Audit!$A:$A,My_Audit!G:G,""),
_xlfn.IFS(_xlpm.MyAuditVal&lt;&gt;"",_xlpm.MyAuditVal,_xlpm.MacVal&lt;&gt;"",_xlpm.MacVal,_xlpm.CSVVal&lt;&gt;"",_xlpm.CSVVal
)),"")</f>
        <v/>
      </c>
      <c r="I88" s="2" t="str">
        <f>_xlfn.XLOOKUP(A88,Output_Mac!A:A,Output_Mac!I:I,"")</f>
        <v/>
      </c>
      <c r="J88" s="2" t="str" cm="1">
        <f t="array" ref="J88">IFERROR(_xlfn.LET(
_xlpm.CSVVal,_xlfn.XLOOKUP($A88,CSV!$A:$A,CSV!I:I,""),
_xlpm.MacVal,_xlfn.XLOOKUP($A88,Output_Mac!$A:$A,Output_Mac!J:J,""),
_xlpm.MyAuditVal,_xlfn.XLOOKUP($A88,My_Audit!$A:$A,My_Audit!I:I,""),
_xlfn.IFS(_xlpm.MyAuditVal&lt;&gt;"",UPPER(_xlpm.MyAuditVal),_xlpm.MacVal&lt;&gt;"",_xlpm.MacVal,_xlpm.CSVVal&lt;&gt;"",_xlpm.CSVVal
)),"")</f>
        <v/>
      </c>
      <c r="K88" s="2" t="str" cm="1">
        <f t="array" ref="K88">IFERROR(_xlfn.LET(
_xlpm.CSVVal,_xlfn.XLOOKUP($A88,CSV!$A:$A,CSV!K:K,""),
_xlpm.MacVal,_xlfn.XLOOKUP($A88,Output_Mac!$A:$A,Output_Mac!K:K,""),
_xlpm.MyAuditVal,_xlfn.XLOOKUP($A88,My_Audit!$A:$A,My_Audit!J:J,""),
_xlfn.IFS(_xlpm.MyAuditVal&lt;&gt;"",UPPER(_xlpm.MyAuditVal),_xlpm.MacVal&lt;&gt;"",_xlpm.MacVal,_xlpm.CSVVal&lt;&gt;"",_xlpm.CSVVal
)),"")</f>
        <v/>
      </c>
      <c r="L88" s="2" t="str" cm="1">
        <f t="array" ref="L88">IFERROR(_xlfn.LET(
_xlpm.CSVVal,_xlfn.XLOOKUP($A88,CSV!$A:$A,CSV!P:P,""),
_xlpm.MacVal,_xlfn.XLOOKUP($A88,Output_Mac!$A:$A,Output_Mac!L:L,""),
_xlpm.MyAuditVal,_xlfn.XLOOKUP($A88,My_Audit!$A:$A,My_Audit!K:K,""),
_xlfn.IFS(_xlpm.MyAuditVal&lt;&gt;"",UPPER(_xlpm.MyAuditVal),_xlpm.MacVal&lt;&gt;"",_xlpm.MacVal,_xlpm.CSVVal&lt;&gt;"",_xlpm.CSVVal
)),"")</f>
        <v/>
      </c>
      <c r="M88" s="2" t="str" cm="1">
        <f t="array" ref="M88">IFERROR(_xlfn.LET(
_xlpm.CSVVal,_xlfn.XLOOKUP($A88,CSV!$A:$A,CSV!Q:Q,""),
_xlpm.MacVal,_xlfn.XLOOKUP($A88,Output_Mac!$A:$A,Output_Mac!M:M,""),
_xlpm.MyAuditVal,_xlfn.XLOOKUP($A88,My_Audit!$A:$A,My_Audit!L:L,""),
_xlfn.IFS(_xlpm.MyAuditVal&lt;&gt;"",UPPER(_xlpm.MyAuditVal),_xlpm.MacVal&lt;&gt;"",_xlpm.MacVal,_xlpm.CSVVal&lt;&gt;"",_xlpm.CSVVal
)),"")</f>
        <v/>
      </c>
      <c r="O88" s="2" t="str">
        <f>_xlfn.LET(
    _xlpm.CSVVal, _xlfn.XLOOKUP($A88, CSV!$A:$A, CSV!AA:AA, ""),
    _xlpm.MacVal, _xlfn.XLOOKUP($A88, Output_Mac!$A:$A, Output_Mac!S:S, ""),
    _xlpm.MyAuditVal, _xlfn.XLOOKUP($A88, My_Audit!$A:$A, My_Audit!P:P, ""),
    _xlfn.TEXTJOIN(", ", TRUE, _xlpm.MyAuditVal, _xlpm.MacVal, _xlpm.CSVVal)
)</f>
        <v/>
      </c>
      <c r="P88" s="2" t="str" cm="1">
        <f t="array" ref="P88">IFERROR(_xlfn.LET(
_xlpm.CSVVal,_xlfn.XLOOKUP($A88,CSV!$A:$A,CSV!AB:AB,""),
_xlpm.MacVal,_xlfn.XLOOKUP($A88,Output_Mac!$A:$A,Output_Mac!T:T,""),
_xlpm.MyAuditVal,_xlfn.XLOOKUP($A88,My_Audit!$A:$A,My_Audit!Q:Q,""),
_xlfn.IFS(_xlpm.MyAuditVal&lt;&gt;"",UPPER(_xlpm.MyAuditVal),_xlpm.MacVal&lt;&gt;"",_xlpm.MacVal,_xlpm.CSVVal&lt;&gt;"",_xlpm.CSVVal
)),"No")</f>
        <v>No</v>
      </c>
      <c r="Q88" s="2" t="str" cm="1">
        <f t="array" ref="Q88">IFERROR(_xlfn.LET(
_xlpm.CSVVal,_xlfn.XLOOKUP($A88,CSV!$A:$A,CSV!AC:AC,""),
_xlpm.MacVal,_xlfn.XLOOKUP($A88,Output_Mac!$A:$A,Output_Mac!U:U,""),
_xlpm.MyAuditVal,_xlfn.XLOOKUP($A88,My_Audit!$A:$A,My_Audit!R:R,""),
_xlfn.IFS(_xlpm.MyAuditVal&lt;&gt;"",UPPER(_xlpm.MyAuditVal),_xlpm.MacVal&lt;&gt;"",_xlpm.MacVal,_xlpm.CSVVal&lt;&gt;"",_xlpm.CSVVal
)),"")</f>
        <v/>
      </c>
      <c r="X88" t="str">
        <f>_xlfn.LET(
    _xlpm.MacVal, _xlfn.XLOOKUP($A88, Output_Mac!$A:$A, Output_Mac!AB:AB, ""),
    _xlpm.MyAuditVal, _xlfn.XLOOKUP($A88, My_Audit!$A:$A, My_Audit!N:N, ""),
    _xlfn.TEXTJOIN(", ", TRUE, _xlpm.MyAuditVal, _xlpm.MacVal)
)</f>
        <v/>
      </c>
    </row>
    <row r="89" spans="1:24">
      <c r="A89" s="2" t="str">
        <f>_xlfn.TEXTJOIN("",TRUE,Input!$B$2,ROW(My_Audit!A88))</f>
        <v>X88</v>
      </c>
      <c r="B89" s="2" t="str">
        <f>_xlfn.TEXTJOIN("-",TRUE,"ITD",Input!$A$2,A89)</f>
        <v>ITD-SHR-X88</v>
      </c>
      <c r="C89" s="2" t="str" cm="1">
        <f t="array" ref="C89">IFERROR(_xlfn.LET(
_xlpm.CSVVal,_xlfn.XLOOKUP($A89,CSV!$A:$A,CSV!B:B,""),
_xlpm.MacVal,_xlfn.XLOOKUP($A89,Output_Mac!$A:$A,Output_Mac!B:B,""),
_xlpm.MyAuditVal,_xlfn.XLOOKUP($A89,My_Audit!$A:$A,My_Audit!B:B,""),
_xlfn.IFS(_xlpm.MyAuditVal&lt;&gt;"",UPPER(_xlpm.MyAuditVal),_xlpm.MacVal&lt;&gt;"",_xlpm.MacVal,_xlpm.CSVVal&lt;&gt;"",_xlpm.CSVVal
)),"")</f>
        <v/>
      </c>
      <c r="D89" s="2" t="str" cm="1">
        <f t="array" ref="D89">IFERROR(_xlfn.LET(
_xlpm.CSVVal,_xlfn.XLOOKUP($A89,CSV!$A:$A,CSV!D:D,""),
_xlpm.MacVal,_xlfn.XLOOKUP($A89,Output_Mac!$A:$A,Output_Mac!C:C,""),
_xlpm.MyAuditVal,_xlfn.XLOOKUP($A89,My_Audit!$A:$A,My_Audit!C:C,""),
_xlfn.IFS(_xlpm.MyAuditVal&lt;&gt;"",_xlpm.MyAuditVal,_xlpm.MacVal&lt;&gt;"",_xlpm.MacVal,_xlpm.CSVVal&lt;&gt;"",_xlpm.CSVVal
)),"")</f>
        <v/>
      </c>
      <c r="E89" s="2" t="str">
        <f>_xlfn.XLOOKUP(A89,My_Audit!A:A,My_Audit!D:D,"")</f>
        <v/>
      </c>
      <c r="F89" s="2" t="str" cm="1">
        <f t="array" ref="F89">IFERROR(_xlfn.LET(
_xlpm.CSVVal,_xlfn.XLOOKUP($A89,CSV!$A:$A,CSV!F:F,""),
_xlpm.MacVal,_xlfn.XLOOKUP($A89,Output_Mac!$A:$A,Output_Mac!E:E,""),
_xlpm.MyAuditVal,_xlfn.XLOOKUP($A89,My_Audit!$A:$A,My_Audit!E:E,""),
_xlfn.IFS(_xlpm.MyAuditVal&lt;&gt;"",_xlpm.MyAuditVal,_xlpm.MacVal&lt;&gt;"",_xlpm.MacVal,_xlpm.CSVVal&lt;&gt;"",_xlpm.CSVVal
)),"")</f>
        <v/>
      </c>
      <c r="G89" s="2" t="str" cm="1">
        <f t="array" ref="G89">IFERROR(_xlfn.LET(
_xlpm.CSVVal,_xlfn.XLOOKUP($A89,CSV!$A:$A,CSV!G:G,""),
_xlpm.MacVal,_xlfn.XLOOKUP($A89,Output_Mac!$A:$A,Output_Mac!F:F,""),
_xlpm.MyAuditVal,_xlfn.XLOOKUP($A89,My_Audit!$A:$A,My_Audit!F:F,""),
_xlfn.IFS(_xlpm.MyAuditVal&lt;&gt;"",_xlpm.MyAuditVal,_xlpm.MacVal&lt;&gt;"",_xlpm.MacVal,_xlpm.CSVVal&lt;&gt;"",PROPER(_xlpm.CSVVal)
)),"")</f>
        <v/>
      </c>
      <c r="H89" s="2" t="str" cm="1">
        <f t="array" ref="H89">IFERROR(_xlfn.LET(
_xlpm.CSVVal,_xlfn.XLOOKUP($A89,CSV!$A:$A,CSV!H:H,""),
_xlpm.MacVal,_xlfn.XLOOKUP($A89,Output_Mac!$A:$A,Output_Mac!H:H,""),
_xlpm.MyAuditVal,_xlfn.XLOOKUP($A89,My_Audit!$A:$A,My_Audit!G:G,""),
_xlfn.IFS(_xlpm.MyAuditVal&lt;&gt;"",_xlpm.MyAuditVal,_xlpm.MacVal&lt;&gt;"",_xlpm.MacVal,_xlpm.CSVVal&lt;&gt;"",_xlpm.CSVVal
)),"")</f>
        <v/>
      </c>
      <c r="I89" s="2" t="str">
        <f>_xlfn.XLOOKUP(A89,Output_Mac!A:A,Output_Mac!I:I,"")</f>
        <v/>
      </c>
      <c r="J89" s="2" t="str" cm="1">
        <f t="array" ref="J89">IFERROR(_xlfn.LET(
_xlpm.CSVVal,_xlfn.XLOOKUP($A89,CSV!$A:$A,CSV!I:I,""),
_xlpm.MacVal,_xlfn.XLOOKUP($A89,Output_Mac!$A:$A,Output_Mac!J:J,""),
_xlpm.MyAuditVal,_xlfn.XLOOKUP($A89,My_Audit!$A:$A,My_Audit!I:I,""),
_xlfn.IFS(_xlpm.MyAuditVal&lt;&gt;"",UPPER(_xlpm.MyAuditVal),_xlpm.MacVal&lt;&gt;"",_xlpm.MacVal,_xlpm.CSVVal&lt;&gt;"",_xlpm.CSVVal
)),"")</f>
        <v/>
      </c>
      <c r="K89" s="2" t="str" cm="1">
        <f t="array" ref="K89">IFERROR(_xlfn.LET(
_xlpm.CSVVal,_xlfn.XLOOKUP($A89,CSV!$A:$A,CSV!K:K,""),
_xlpm.MacVal,_xlfn.XLOOKUP($A89,Output_Mac!$A:$A,Output_Mac!K:K,""),
_xlpm.MyAuditVal,_xlfn.XLOOKUP($A89,My_Audit!$A:$A,My_Audit!J:J,""),
_xlfn.IFS(_xlpm.MyAuditVal&lt;&gt;"",UPPER(_xlpm.MyAuditVal),_xlpm.MacVal&lt;&gt;"",_xlpm.MacVal,_xlpm.CSVVal&lt;&gt;"",_xlpm.CSVVal
)),"")</f>
        <v/>
      </c>
      <c r="L89" s="2" t="str" cm="1">
        <f t="array" ref="L89">IFERROR(_xlfn.LET(
_xlpm.CSVVal,_xlfn.XLOOKUP($A89,CSV!$A:$A,CSV!P:P,""),
_xlpm.MacVal,_xlfn.XLOOKUP($A89,Output_Mac!$A:$A,Output_Mac!L:L,""),
_xlpm.MyAuditVal,_xlfn.XLOOKUP($A89,My_Audit!$A:$A,My_Audit!K:K,""),
_xlfn.IFS(_xlpm.MyAuditVal&lt;&gt;"",UPPER(_xlpm.MyAuditVal),_xlpm.MacVal&lt;&gt;"",_xlpm.MacVal,_xlpm.CSVVal&lt;&gt;"",_xlpm.CSVVal
)),"")</f>
        <v/>
      </c>
      <c r="M89" s="2" t="str" cm="1">
        <f t="array" ref="M89">IFERROR(_xlfn.LET(
_xlpm.CSVVal,_xlfn.XLOOKUP($A89,CSV!$A:$A,CSV!Q:Q,""),
_xlpm.MacVal,_xlfn.XLOOKUP($A89,Output_Mac!$A:$A,Output_Mac!M:M,""),
_xlpm.MyAuditVal,_xlfn.XLOOKUP($A89,My_Audit!$A:$A,My_Audit!L:L,""),
_xlfn.IFS(_xlpm.MyAuditVal&lt;&gt;"",UPPER(_xlpm.MyAuditVal),_xlpm.MacVal&lt;&gt;"",_xlpm.MacVal,_xlpm.CSVVal&lt;&gt;"",_xlpm.CSVVal
)),"")</f>
        <v/>
      </c>
      <c r="O89" s="2" t="str">
        <f>_xlfn.LET(
    _xlpm.CSVVal, _xlfn.XLOOKUP($A89, CSV!$A:$A, CSV!AA:AA, ""),
    _xlpm.MacVal, _xlfn.XLOOKUP($A89, Output_Mac!$A:$A, Output_Mac!S:S, ""),
    _xlpm.MyAuditVal, _xlfn.XLOOKUP($A89, My_Audit!$A:$A, My_Audit!P:P, ""),
    _xlfn.TEXTJOIN(", ", TRUE, _xlpm.MyAuditVal, _xlpm.MacVal, _xlpm.CSVVal)
)</f>
        <v/>
      </c>
      <c r="P89" s="2" t="str" cm="1">
        <f t="array" ref="P89">IFERROR(_xlfn.LET(
_xlpm.CSVVal,_xlfn.XLOOKUP($A89,CSV!$A:$A,CSV!AB:AB,""),
_xlpm.MacVal,_xlfn.XLOOKUP($A89,Output_Mac!$A:$A,Output_Mac!T:T,""),
_xlpm.MyAuditVal,_xlfn.XLOOKUP($A89,My_Audit!$A:$A,My_Audit!Q:Q,""),
_xlfn.IFS(_xlpm.MyAuditVal&lt;&gt;"",UPPER(_xlpm.MyAuditVal),_xlpm.MacVal&lt;&gt;"",_xlpm.MacVal,_xlpm.CSVVal&lt;&gt;"",_xlpm.CSVVal
)),"No")</f>
        <v>No</v>
      </c>
      <c r="Q89" s="2" t="str" cm="1">
        <f t="array" ref="Q89">IFERROR(_xlfn.LET(
_xlpm.CSVVal,_xlfn.XLOOKUP($A89,CSV!$A:$A,CSV!AC:AC,""),
_xlpm.MacVal,_xlfn.XLOOKUP($A89,Output_Mac!$A:$A,Output_Mac!U:U,""),
_xlpm.MyAuditVal,_xlfn.XLOOKUP($A89,My_Audit!$A:$A,My_Audit!R:R,""),
_xlfn.IFS(_xlpm.MyAuditVal&lt;&gt;"",UPPER(_xlpm.MyAuditVal),_xlpm.MacVal&lt;&gt;"",_xlpm.MacVal,_xlpm.CSVVal&lt;&gt;"",_xlpm.CSVVal
)),"")</f>
        <v/>
      </c>
      <c r="X89" t="str">
        <f>_xlfn.LET(
    _xlpm.MacVal, _xlfn.XLOOKUP($A89, Output_Mac!$A:$A, Output_Mac!AB:AB, ""),
    _xlpm.MyAuditVal, _xlfn.XLOOKUP($A89, My_Audit!$A:$A, My_Audit!N:N, ""),
    _xlfn.TEXTJOIN(", ", TRUE, _xlpm.MyAuditVal, _xlpm.MacVal)
)</f>
        <v/>
      </c>
    </row>
    <row r="90" spans="1:24">
      <c r="A90" s="2" t="str">
        <f>_xlfn.TEXTJOIN("",TRUE,Input!$B$2,ROW(My_Audit!A89))</f>
        <v>X89</v>
      </c>
      <c r="B90" s="2" t="str">
        <f>_xlfn.TEXTJOIN("-",TRUE,"ITD",Input!$A$2,A90)</f>
        <v>ITD-SHR-X89</v>
      </c>
      <c r="C90" s="2" t="str" cm="1">
        <f t="array" ref="C90">IFERROR(_xlfn.LET(
_xlpm.CSVVal,_xlfn.XLOOKUP($A90,CSV!$A:$A,CSV!B:B,""),
_xlpm.MacVal,_xlfn.XLOOKUP($A90,Output_Mac!$A:$A,Output_Mac!B:B,""),
_xlpm.MyAuditVal,_xlfn.XLOOKUP($A90,My_Audit!$A:$A,My_Audit!B:B,""),
_xlfn.IFS(_xlpm.MyAuditVal&lt;&gt;"",UPPER(_xlpm.MyAuditVal),_xlpm.MacVal&lt;&gt;"",_xlpm.MacVal,_xlpm.CSVVal&lt;&gt;"",_xlpm.CSVVal
)),"")</f>
        <v/>
      </c>
      <c r="D90" s="2" t="str" cm="1">
        <f t="array" ref="D90">IFERROR(_xlfn.LET(
_xlpm.CSVVal,_xlfn.XLOOKUP($A90,CSV!$A:$A,CSV!D:D,""),
_xlpm.MacVal,_xlfn.XLOOKUP($A90,Output_Mac!$A:$A,Output_Mac!C:C,""),
_xlpm.MyAuditVal,_xlfn.XLOOKUP($A90,My_Audit!$A:$A,My_Audit!C:C,""),
_xlfn.IFS(_xlpm.MyAuditVal&lt;&gt;"",_xlpm.MyAuditVal,_xlpm.MacVal&lt;&gt;"",_xlpm.MacVal,_xlpm.CSVVal&lt;&gt;"",_xlpm.CSVVal
)),"")</f>
        <v/>
      </c>
      <c r="E90" s="2" t="str">
        <f>_xlfn.XLOOKUP(A90,My_Audit!A:A,My_Audit!D:D,"")</f>
        <v/>
      </c>
      <c r="F90" s="2" t="str" cm="1">
        <f t="array" ref="F90">IFERROR(_xlfn.LET(
_xlpm.CSVVal,_xlfn.XLOOKUP($A90,CSV!$A:$A,CSV!F:F,""),
_xlpm.MacVal,_xlfn.XLOOKUP($A90,Output_Mac!$A:$A,Output_Mac!E:E,""),
_xlpm.MyAuditVal,_xlfn.XLOOKUP($A90,My_Audit!$A:$A,My_Audit!E:E,""),
_xlfn.IFS(_xlpm.MyAuditVal&lt;&gt;"",_xlpm.MyAuditVal,_xlpm.MacVal&lt;&gt;"",_xlpm.MacVal,_xlpm.CSVVal&lt;&gt;"",_xlpm.CSVVal
)),"")</f>
        <v/>
      </c>
      <c r="G90" s="2" t="str" cm="1">
        <f t="array" ref="G90">IFERROR(_xlfn.LET(
_xlpm.CSVVal,_xlfn.XLOOKUP($A90,CSV!$A:$A,CSV!G:G,""),
_xlpm.MacVal,_xlfn.XLOOKUP($A90,Output_Mac!$A:$A,Output_Mac!F:F,""),
_xlpm.MyAuditVal,_xlfn.XLOOKUP($A90,My_Audit!$A:$A,My_Audit!F:F,""),
_xlfn.IFS(_xlpm.MyAuditVal&lt;&gt;"",_xlpm.MyAuditVal,_xlpm.MacVal&lt;&gt;"",_xlpm.MacVal,_xlpm.CSVVal&lt;&gt;"",PROPER(_xlpm.CSVVal)
)),"")</f>
        <v/>
      </c>
      <c r="H90" s="2" t="str" cm="1">
        <f t="array" ref="H90">IFERROR(_xlfn.LET(
_xlpm.CSVVal,_xlfn.XLOOKUP($A90,CSV!$A:$A,CSV!H:H,""),
_xlpm.MacVal,_xlfn.XLOOKUP($A90,Output_Mac!$A:$A,Output_Mac!H:H,""),
_xlpm.MyAuditVal,_xlfn.XLOOKUP($A90,My_Audit!$A:$A,My_Audit!G:G,""),
_xlfn.IFS(_xlpm.MyAuditVal&lt;&gt;"",_xlpm.MyAuditVal,_xlpm.MacVal&lt;&gt;"",_xlpm.MacVal,_xlpm.CSVVal&lt;&gt;"",_xlpm.CSVVal
)),"")</f>
        <v/>
      </c>
      <c r="I90" s="2" t="str">
        <f>_xlfn.XLOOKUP(A90,Output_Mac!A:A,Output_Mac!I:I,"")</f>
        <v/>
      </c>
      <c r="J90" s="2" t="str" cm="1">
        <f t="array" ref="J90">IFERROR(_xlfn.LET(
_xlpm.CSVVal,_xlfn.XLOOKUP($A90,CSV!$A:$A,CSV!I:I,""),
_xlpm.MacVal,_xlfn.XLOOKUP($A90,Output_Mac!$A:$A,Output_Mac!J:J,""),
_xlpm.MyAuditVal,_xlfn.XLOOKUP($A90,My_Audit!$A:$A,My_Audit!I:I,""),
_xlfn.IFS(_xlpm.MyAuditVal&lt;&gt;"",UPPER(_xlpm.MyAuditVal),_xlpm.MacVal&lt;&gt;"",_xlpm.MacVal,_xlpm.CSVVal&lt;&gt;"",_xlpm.CSVVal
)),"")</f>
        <v/>
      </c>
      <c r="K90" s="2" t="str" cm="1">
        <f t="array" ref="K90">IFERROR(_xlfn.LET(
_xlpm.CSVVal,_xlfn.XLOOKUP($A90,CSV!$A:$A,CSV!K:K,""),
_xlpm.MacVal,_xlfn.XLOOKUP($A90,Output_Mac!$A:$A,Output_Mac!K:K,""),
_xlpm.MyAuditVal,_xlfn.XLOOKUP($A90,My_Audit!$A:$A,My_Audit!J:J,""),
_xlfn.IFS(_xlpm.MyAuditVal&lt;&gt;"",UPPER(_xlpm.MyAuditVal),_xlpm.MacVal&lt;&gt;"",_xlpm.MacVal,_xlpm.CSVVal&lt;&gt;"",_xlpm.CSVVal
)),"")</f>
        <v/>
      </c>
      <c r="L90" s="2" t="str" cm="1">
        <f t="array" ref="L90">IFERROR(_xlfn.LET(
_xlpm.CSVVal,_xlfn.XLOOKUP($A90,CSV!$A:$A,CSV!P:P,""),
_xlpm.MacVal,_xlfn.XLOOKUP($A90,Output_Mac!$A:$A,Output_Mac!L:L,""),
_xlpm.MyAuditVal,_xlfn.XLOOKUP($A90,My_Audit!$A:$A,My_Audit!K:K,""),
_xlfn.IFS(_xlpm.MyAuditVal&lt;&gt;"",UPPER(_xlpm.MyAuditVal),_xlpm.MacVal&lt;&gt;"",_xlpm.MacVal,_xlpm.CSVVal&lt;&gt;"",_xlpm.CSVVal
)),"")</f>
        <v/>
      </c>
      <c r="M90" s="2" t="str" cm="1">
        <f t="array" ref="M90">IFERROR(_xlfn.LET(
_xlpm.CSVVal,_xlfn.XLOOKUP($A90,CSV!$A:$A,CSV!Q:Q,""),
_xlpm.MacVal,_xlfn.XLOOKUP($A90,Output_Mac!$A:$A,Output_Mac!M:M,""),
_xlpm.MyAuditVal,_xlfn.XLOOKUP($A90,My_Audit!$A:$A,My_Audit!L:L,""),
_xlfn.IFS(_xlpm.MyAuditVal&lt;&gt;"",UPPER(_xlpm.MyAuditVal),_xlpm.MacVal&lt;&gt;"",_xlpm.MacVal,_xlpm.CSVVal&lt;&gt;"",_xlpm.CSVVal
)),"")</f>
        <v/>
      </c>
      <c r="O90" s="2" t="str">
        <f>_xlfn.LET(
    _xlpm.CSVVal, _xlfn.XLOOKUP($A90, CSV!$A:$A, CSV!AA:AA, ""),
    _xlpm.MacVal, _xlfn.XLOOKUP($A90, Output_Mac!$A:$A, Output_Mac!S:S, ""),
    _xlpm.MyAuditVal, _xlfn.XLOOKUP($A90, My_Audit!$A:$A, My_Audit!P:P, ""),
    _xlfn.TEXTJOIN(", ", TRUE, _xlpm.MyAuditVal, _xlpm.MacVal, _xlpm.CSVVal)
)</f>
        <v/>
      </c>
      <c r="P90" s="2" t="str" cm="1">
        <f t="array" ref="P90">IFERROR(_xlfn.LET(
_xlpm.CSVVal,_xlfn.XLOOKUP($A90,CSV!$A:$A,CSV!AB:AB,""),
_xlpm.MacVal,_xlfn.XLOOKUP($A90,Output_Mac!$A:$A,Output_Mac!T:T,""),
_xlpm.MyAuditVal,_xlfn.XLOOKUP($A90,My_Audit!$A:$A,My_Audit!Q:Q,""),
_xlfn.IFS(_xlpm.MyAuditVal&lt;&gt;"",UPPER(_xlpm.MyAuditVal),_xlpm.MacVal&lt;&gt;"",_xlpm.MacVal,_xlpm.CSVVal&lt;&gt;"",_xlpm.CSVVal
)),"No")</f>
        <v>No</v>
      </c>
      <c r="Q90" s="2" t="str" cm="1">
        <f t="array" ref="Q90">IFERROR(_xlfn.LET(
_xlpm.CSVVal,_xlfn.XLOOKUP($A90,CSV!$A:$A,CSV!AC:AC,""),
_xlpm.MacVal,_xlfn.XLOOKUP($A90,Output_Mac!$A:$A,Output_Mac!U:U,""),
_xlpm.MyAuditVal,_xlfn.XLOOKUP($A90,My_Audit!$A:$A,My_Audit!R:R,""),
_xlfn.IFS(_xlpm.MyAuditVal&lt;&gt;"",UPPER(_xlpm.MyAuditVal),_xlpm.MacVal&lt;&gt;"",_xlpm.MacVal,_xlpm.CSVVal&lt;&gt;"",_xlpm.CSVVal
)),"")</f>
        <v/>
      </c>
      <c r="X90" t="str">
        <f>_xlfn.LET(
    _xlpm.MacVal, _xlfn.XLOOKUP($A90, Output_Mac!$A:$A, Output_Mac!AB:AB, ""),
    _xlpm.MyAuditVal, _xlfn.XLOOKUP($A90, My_Audit!$A:$A, My_Audit!N:N, ""),
    _xlfn.TEXTJOIN(", ", TRUE, _xlpm.MyAuditVal, _xlpm.MacVal)
)</f>
        <v/>
      </c>
    </row>
    <row r="91" spans="1:24">
      <c r="A91" s="2" t="str">
        <f>_xlfn.TEXTJOIN("",TRUE,Input!$B$2,ROW(My_Audit!A90))</f>
        <v>X90</v>
      </c>
      <c r="B91" s="2" t="str">
        <f>_xlfn.TEXTJOIN("-",TRUE,"ITD",Input!$A$2,A91)</f>
        <v>ITD-SHR-X90</v>
      </c>
      <c r="C91" s="2" t="str" cm="1">
        <f t="array" ref="C91">IFERROR(_xlfn.LET(
_xlpm.CSVVal,_xlfn.XLOOKUP($A91,CSV!$A:$A,CSV!B:B,""),
_xlpm.MacVal,_xlfn.XLOOKUP($A91,Output_Mac!$A:$A,Output_Mac!B:B,""),
_xlpm.MyAuditVal,_xlfn.XLOOKUP($A91,My_Audit!$A:$A,My_Audit!B:B,""),
_xlfn.IFS(_xlpm.MyAuditVal&lt;&gt;"",UPPER(_xlpm.MyAuditVal),_xlpm.MacVal&lt;&gt;"",_xlpm.MacVal,_xlpm.CSVVal&lt;&gt;"",_xlpm.CSVVal
)),"")</f>
        <v/>
      </c>
      <c r="D91" s="2" t="str" cm="1">
        <f t="array" ref="D91">IFERROR(_xlfn.LET(
_xlpm.CSVVal,_xlfn.XLOOKUP($A91,CSV!$A:$A,CSV!D:D,""),
_xlpm.MacVal,_xlfn.XLOOKUP($A91,Output_Mac!$A:$A,Output_Mac!C:C,""),
_xlpm.MyAuditVal,_xlfn.XLOOKUP($A91,My_Audit!$A:$A,My_Audit!C:C,""),
_xlfn.IFS(_xlpm.MyAuditVal&lt;&gt;"",_xlpm.MyAuditVal,_xlpm.MacVal&lt;&gt;"",_xlpm.MacVal,_xlpm.CSVVal&lt;&gt;"",_xlpm.CSVVal
)),"")</f>
        <v/>
      </c>
      <c r="E91" s="2" t="str">
        <f>_xlfn.XLOOKUP(A91,My_Audit!A:A,My_Audit!D:D,"")</f>
        <v/>
      </c>
      <c r="F91" s="2" t="str" cm="1">
        <f t="array" ref="F91">IFERROR(_xlfn.LET(
_xlpm.CSVVal,_xlfn.XLOOKUP($A91,CSV!$A:$A,CSV!F:F,""),
_xlpm.MacVal,_xlfn.XLOOKUP($A91,Output_Mac!$A:$A,Output_Mac!E:E,""),
_xlpm.MyAuditVal,_xlfn.XLOOKUP($A91,My_Audit!$A:$A,My_Audit!E:E,""),
_xlfn.IFS(_xlpm.MyAuditVal&lt;&gt;"",_xlpm.MyAuditVal,_xlpm.MacVal&lt;&gt;"",_xlpm.MacVal,_xlpm.CSVVal&lt;&gt;"",_xlpm.CSVVal
)),"")</f>
        <v/>
      </c>
      <c r="G91" s="2" t="str" cm="1">
        <f t="array" ref="G91">IFERROR(_xlfn.LET(
_xlpm.CSVVal,_xlfn.XLOOKUP($A91,CSV!$A:$A,CSV!G:G,""),
_xlpm.MacVal,_xlfn.XLOOKUP($A91,Output_Mac!$A:$A,Output_Mac!F:F,""),
_xlpm.MyAuditVal,_xlfn.XLOOKUP($A91,My_Audit!$A:$A,My_Audit!F:F,""),
_xlfn.IFS(_xlpm.MyAuditVal&lt;&gt;"",_xlpm.MyAuditVal,_xlpm.MacVal&lt;&gt;"",_xlpm.MacVal,_xlpm.CSVVal&lt;&gt;"",PROPER(_xlpm.CSVVal)
)),"")</f>
        <v/>
      </c>
      <c r="H91" s="2" t="str" cm="1">
        <f t="array" ref="H91">IFERROR(_xlfn.LET(
_xlpm.CSVVal,_xlfn.XLOOKUP($A91,CSV!$A:$A,CSV!H:H,""),
_xlpm.MacVal,_xlfn.XLOOKUP($A91,Output_Mac!$A:$A,Output_Mac!H:H,""),
_xlpm.MyAuditVal,_xlfn.XLOOKUP($A91,My_Audit!$A:$A,My_Audit!G:G,""),
_xlfn.IFS(_xlpm.MyAuditVal&lt;&gt;"",_xlpm.MyAuditVal,_xlpm.MacVal&lt;&gt;"",_xlpm.MacVal,_xlpm.CSVVal&lt;&gt;"",_xlpm.CSVVal
)),"")</f>
        <v/>
      </c>
      <c r="I91" s="2" t="str">
        <f>_xlfn.XLOOKUP(A91,Output_Mac!A:A,Output_Mac!I:I,"")</f>
        <v/>
      </c>
      <c r="J91" s="2" t="str" cm="1">
        <f t="array" ref="J91">IFERROR(_xlfn.LET(
_xlpm.CSVVal,_xlfn.XLOOKUP($A91,CSV!$A:$A,CSV!I:I,""),
_xlpm.MacVal,_xlfn.XLOOKUP($A91,Output_Mac!$A:$A,Output_Mac!J:J,""),
_xlpm.MyAuditVal,_xlfn.XLOOKUP($A91,My_Audit!$A:$A,My_Audit!I:I,""),
_xlfn.IFS(_xlpm.MyAuditVal&lt;&gt;"",UPPER(_xlpm.MyAuditVal),_xlpm.MacVal&lt;&gt;"",_xlpm.MacVal,_xlpm.CSVVal&lt;&gt;"",_xlpm.CSVVal
)),"")</f>
        <v/>
      </c>
      <c r="K91" s="2" t="str" cm="1">
        <f t="array" ref="K91">IFERROR(_xlfn.LET(
_xlpm.CSVVal,_xlfn.XLOOKUP($A91,CSV!$A:$A,CSV!K:K,""),
_xlpm.MacVal,_xlfn.XLOOKUP($A91,Output_Mac!$A:$A,Output_Mac!K:K,""),
_xlpm.MyAuditVal,_xlfn.XLOOKUP($A91,My_Audit!$A:$A,My_Audit!J:J,""),
_xlfn.IFS(_xlpm.MyAuditVal&lt;&gt;"",UPPER(_xlpm.MyAuditVal),_xlpm.MacVal&lt;&gt;"",_xlpm.MacVal,_xlpm.CSVVal&lt;&gt;"",_xlpm.CSVVal
)),"")</f>
        <v/>
      </c>
      <c r="L91" s="2" t="str" cm="1">
        <f t="array" ref="L91">IFERROR(_xlfn.LET(
_xlpm.CSVVal,_xlfn.XLOOKUP($A91,CSV!$A:$A,CSV!P:P,""),
_xlpm.MacVal,_xlfn.XLOOKUP($A91,Output_Mac!$A:$A,Output_Mac!L:L,""),
_xlpm.MyAuditVal,_xlfn.XLOOKUP($A91,My_Audit!$A:$A,My_Audit!K:K,""),
_xlfn.IFS(_xlpm.MyAuditVal&lt;&gt;"",UPPER(_xlpm.MyAuditVal),_xlpm.MacVal&lt;&gt;"",_xlpm.MacVal,_xlpm.CSVVal&lt;&gt;"",_xlpm.CSVVal
)),"")</f>
        <v/>
      </c>
      <c r="M91" s="2" t="str" cm="1">
        <f t="array" ref="M91">IFERROR(_xlfn.LET(
_xlpm.CSVVal,_xlfn.XLOOKUP($A91,CSV!$A:$A,CSV!Q:Q,""),
_xlpm.MacVal,_xlfn.XLOOKUP($A91,Output_Mac!$A:$A,Output_Mac!M:M,""),
_xlpm.MyAuditVal,_xlfn.XLOOKUP($A91,My_Audit!$A:$A,My_Audit!L:L,""),
_xlfn.IFS(_xlpm.MyAuditVal&lt;&gt;"",UPPER(_xlpm.MyAuditVal),_xlpm.MacVal&lt;&gt;"",_xlpm.MacVal,_xlpm.CSVVal&lt;&gt;"",_xlpm.CSVVal
)),"")</f>
        <v/>
      </c>
      <c r="O91" s="2" t="str">
        <f>_xlfn.LET(
    _xlpm.CSVVal, _xlfn.XLOOKUP($A91, CSV!$A:$A, CSV!AA:AA, ""),
    _xlpm.MacVal, _xlfn.XLOOKUP($A91, Output_Mac!$A:$A, Output_Mac!S:S, ""),
    _xlpm.MyAuditVal, _xlfn.XLOOKUP($A91, My_Audit!$A:$A, My_Audit!P:P, ""),
    _xlfn.TEXTJOIN(", ", TRUE, _xlpm.MyAuditVal, _xlpm.MacVal, _xlpm.CSVVal)
)</f>
        <v/>
      </c>
      <c r="P91" s="2" t="str" cm="1">
        <f t="array" ref="P91">IFERROR(_xlfn.LET(
_xlpm.CSVVal,_xlfn.XLOOKUP($A91,CSV!$A:$A,CSV!AB:AB,""),
_xlpm.MacVal,_xlfn.XLOOKUP($A91,Output_Mac!$A:$A,Output_Mac!T:T,""),
_xlpm.MyAuditVal,_xlfn.XLOOKUP($A91,My_Audit!$A:$A,My_Audit!Q:Q,""),
_xlfn.IFS(_xlpm.MyAuditVal&lt;&gt;"",UPPER(_xlpm.MyAuditVal),_xlpm.MacVal&lt;&gt;"",_xlpm.MacVal,_xlpm.CSVVal&lt;&gt;"",_xlpm.CSVVal
)),"No")</f>
        <v>No</v>
      </c>
      <c r="Q91" s="2" t="str" cm="1">
        <f t="array" ref="Q91">IFERROR(_xlfn.LET(
_xlpm.CSVVal,_xlfn.XLOOKUP($A91,CSV!$A:$A,CSV!AC:AC,""),
_xlpm.MacVal,_xlfn.XLOOKUP($A91,Output_Mac!$A:$A,Output_Mac!U:U,""),
_xlpm.MyAuditVal,_xlfn.XLOOKUP($A91,My_Audit!$A:$A,My_Audit!R:R,""),
_xlfn.IFS(_xlpm.MyAuditVal&lt;&gt;"",UPPER(_xlpm.MyAuditVal),_xlpm.MacVal&lt;&gt;"",_xlpm.MacVal,_xlpm.CSVVal&lt;&gt;"",_xlpm.CSVVal
)),"")</f>
        <v/>
      </c>
      <c r="X91" t="str">
        <f>_xlfn.LET(
    _xlpm.MacVal, _xlfn.XLOOKUP($A91, Output_Mac!$A:$A, Output_Mac!AB:AB, ""),
    _xlpm.MyAuditVal, _xlfn.XLOOKUP($A91, My_Audit!$A:$A, My_Audit!N:N, ""),
    _xlfn.TEXTJOIN(", ", TRUE, _xlpm.MyAuditVal, _xlpm.MacVal)
)</f>
        <v/>
      </c>
    </row>
    <row r="92" spans="1:24">
      <c r="A92" s="2" t="str">
        <f>_xlfn.TEXTJOIN("",TRUE,Input!$B$2,ROW(My_Audit!A91))</f>
        <v>X91</v>
      </c>
      <c r="B92" s="2" t="str">
        <f>_xlfn.TEXTJOIN("-",TRUE,"ITD",Input!$A$2,A92)</f>
        <v>ITD-SHR-X91</v>
      </c>
      <c r="C92" s="2" t="str" cm="1">
        <f t="array" ref="C92">IFERROR(_xlfn.LET(
_xlpm.CSVVal,_xlfn.XLOOKUP($A92,CSV!$A:$A,CSV!B:B,""),
_xlpm.MacVal,_xlfn.XLOOKUP($A92,Output_Mac!$A:$A,Output_Mac!B:B,""),
_xlpm.MyAuditVal,_xlfn.XLOOKUP($A92,My_Audit!$A:$A,My_Audit!B:B,""),
_xlfn.IFS(_xlpm.MyAuditVal&lt;&gt;"",UPPER(_xlpm.MyAuditVal),_xlpm.MacVal&lt;&gt;"",_xlpm.MacVal,_xlpm.CSVVal&lt;&gt;"",_xlpm.CSVVal
)),"")</f>
        <v/>
      </c>
      <c r="D92" s="2" t="str" cm="1">
        <f t="array" ref="D92">IFERROR(_xlfn.LET(
_xlpm.CSVVal,_xlfn.XLOOKUP($A92,CSV!$A:$A,CSV!D:D,""),
_xlpm.MacVal,_xlfn.XLOOKUP($A92,Output_Mac!$A:$A,Output_Mac!C:C,""),
_xlpm.MyAuditVal,_xlfn.XLOOKUP($A92,My_Audit!$A:$A,My_Audit!C:C,""),
_xlfn.IFS(_xlpm.MyAuditVal&lt;&gt;"",_xlpm.MyAuditVal,_xlpm.MacVal&lt;&gt;"",_xlpm.MacVal,_xlpm.CSVVal&lt;&gt;"",_xlpm.CSVVal
)),"")</f>
        <v/>
      </c>
      <c r="E92" s="2" t="str">
        <f>_xlfn.XLOOKUP(A92,My_Audit!A:A,My_Audit!D:D,"")</f>
        <v/>
      </c>
      <c r="F92" s="2" t="str" cm="1">
        <f t="array" ref="F92">IFERROR(_xlfn.LET(
_xlpm.CSVVal,_xlfn.XLOOKUP($A92,CSV!$A:$A,CSV!F:F,""),
_xlpm.MacVal,_xlfn.XLOOKUP($A92,Output_Mac!$A:$A,Output_Mac!E:E,""),
_xlpm.MyAuditVal,_xlfn.XLOOKUP($A92,My_Audit!$A:$A,My_Audit!E:E,""),
_xlfn.IFS(_xlpm.MyAuditVal&lt;&gt;"",_xlpm.MyAuditVal,_xlpm.MacVal&lt;&gt;"",_xlpm.MacVal,_xlpm.CSVVal&lt;&gt;"",_xlpm.CSVVal
)),"")</f>
        <v/>
      </c>
      <c r="G92" s="2" t="str" cm="1">
        <f t="array" ref="G92">IFERROR(_xlfn.LET(
_xlpm.CSVVal,_xlfn.XLOOKUP($A92,CSV!$A:$A,CSV!G:G,""),
_xlpm.MacVal,_xlfn.XLOOKUP($A92,Output_Mac!$A:$A,Output_Mac!F:F,""),
_xlpm.MyAuditVal,_xlfn.XLOOKUP($A92,My_Audit!$A:$A,My_Audit!F:F,""),
_xlfn.IFS(_xlpm.MyAuditVal&lt;&gt;"",_xlpm.MyAuditVal,_xlpm.MacVal&lt;&gt;"",_xlpm.MacVal,_xlpm.CSVVal&lt;&gt;"",PROPER(_xlpm.CSVVal)
)),"")</f>
        <v/>
      </c>
      <c r="H92" s="2" t="str" cm="1">
        <f t="array" ref="H92">IFERROR(_xlfn.LET(
_xlpm.CSVVal,_xlfn.XLOOKUP($A92,CSV!$A:$A,CSV!H:H,""),
_xlpm.MacVal,_xlfn.XLOOKUP($A92,Output_Mac!$A:$A,Output_Mac!H:H,""),
_xlpm.MyAuditVal,_xlfn.XLOOKUP($A92,My_Audit!$A:$A,My_Audit!G:G,""),
_xlfn.IFS(_xlpm.MyAuditVal&lt;&gt;"",_xlpm.MyAuditVal,_xlpm.MacVal&lt;&gt;"",_xlpm.MacVal,_xlpm.CSVVal&lt;&gt;"",_xlpm.CSVVal
)),"")</f>
        <v/>
      </c>
      <c r="I92" s="2" t="str">
        <f>_xlfn.XLOOKUP(A92,Output_Mac!A:A,Output_Mac!I:I,"")</f>
        <v/>
      </c>
      <c r="J92" s="2" t="str" cm="1">
        <f t="array" ref="J92">IFERROR(_xlfn.LET(
_xlpm.CSVVal,_xlfn.XLOOKUP($A92,CSV!$A:$A,CSV!I:I,""),
_xlpm.MacVal,_xlfn.XLOOKUP($A92,Output_Mac!$A:$A,Output_Mac!J:J,""),
_xlpm.MyAuditVal,_xlfn.XLOOKUP($A92,My_Audit!$A:$A,My_Audit!I:I,""),
_xlfn.IFS(_xlpm.MyAuditVal&lt;&gt;"",UPPER(_xlpm.MyAuditVal),_xlpm.MacVal&lt;&gt;"",_xlpm.MacVal,_xlpm.CSVVal&lt;&gt;"",_xlpm.CSVVal
)),"")</f>
        <v/>
      </c>
      <c r="K92" s="2" t="str" cm="1">
        <f t="array" ref="K92">IFERROR(_xlfn.LET(
_xlpm.CSVVal,_xlfn.XLOOKUP($A92,CSV!$A:$A,CSV!K:K,""),
_xlpm.MacVal,_xlfn.XLOOKUP($A92,Output_Mac!$A:$A,Output_Mac!K:K,""),
_xlpm.MyAuditVal,_xlfn.XLOOKUP($A92,My_Audit!$A:$A,My_Audit!J:J,""),
_xlfn.IFS(_xlpm.MyAuditVal&lt;&gt;"",UPPER(_xlpm.MyAuditVal),_xlpm.MacVal&lt;&gt;"",_xlpm.MacVal,_xlpm.CSVVal&lt;&gt;"",_xlpm.CSVVal
)),"")</f>
        <v/>
      </c>
      <c r="L92" s="2" t="str" cm="1">
        <f t="array" ref="L92">IFERROR(_xlfn.LET(
_xlpm.CSVVal,_xlfn.XLOOKUP($A92,CSV!$A:$A,CSV!P:P,""),
_xlpm.MacVal,_xlfn.XLOOKUP($A92,Output_Mac!$A:$A,Output_Mac!L:L,""),
_xlpm.MyAuditVal,_xlfn.XLOOKUP($A92,My_Audit!$A:$A,My_Audit!K:K,""),
_xlfn.IFS(_xlpm.MyAuditVal&lt;&gt;"",UPPER(_xlpm.MyAuditVal),_xlpm.MacVal&lt;&gt;"",_xlpm.MacVal,_xlpm.CSVVal&lt;&gt;"",_xlpm.CSVVal
)),"")</f>
        <v/>
      </c>
      <c r="M92" s="2" t="str" cm="1">
        <f t="array" ref="M92">IFERROR(_xlfn.LET(
_xlpm.CSVVal,_xlfn.XLOOKUP($A92,CSV!$A:$A,CSV!Q:Q,""),
_xlpm.MacVal,_xlfn.XLOOKUP($A92,Output_Mac!$A:$A,Output_Mac!M:M,""),
_xlpm.MyAuditVal,_xlfn.XLOOKUP($A92,My_Audit!$A:$A,My_Audit!L:L,""),
_xlfn.IFS(_xlpm.MyAuditVal&lt;&gt;"",UPPER(_xlpm.MyAuditVal),_xlpm.MacVal&lt;&gt;"",_xlpm.MacVal,_xlpm.CSVVal&lt;&gt;"",_xlpm.CSVVal
)),"")</f>
        <v/>
      </c>
      <c r="O92" s="2" t="str">
        <f>_xlfn.LET(
    _xlpm.CSVVal, _xlfn.XLOOKUP($A92, CSV!$A:$A, CSV!AA:AA, ""),
    _xlpm.MacVal, _xlfn.XLOOKUP($A92, Output_Mac!$A:$A, Output_Mac!S:S, ""),
    _xlpm.MyAuditVal, _xlfn.XLOOKUP($A92, My_Audit!$A:$A, My_Audit!P:P, ""),
    _xlfn.TEXTJOIN(", ", TRUE, _xlpm.MyAuditVal, _xlpm.MacVal, _xlpm.CSVVal)
)</f>
        <v/>
      </c>
      <c r="P92" s="2" t="str" cm="1">
        <f t="array" ref="P92">IFERROR(_xlfn.LET(
_xlpm.CSVVal,_xlfn.XLOOKUP($A92,CSV!$A:$A,CSV!AB:AB,""),
_xlpm.MacVal,_xlfn.XLOOKUP($A92,Output_Mac!$A:$A,Output_Mac!T:T,""),
_xlpm.MyAuditVal,_xlfn.XLOOKUP($A92,My_Audit!$A:$A,My_Audit!Q:Q,""),
_xlfn.IFS(_xlpm.MyAuditVal&lt;&gt;"",UPPER(_xlpm.MyAuditVal),_xlpm.MacVal&lt;&gt;"",_xlpm.MacVal,_xlpm.CSVVal&lt;&gt;"",_xlpm.CSVVal
)),"No")</f>
        <v>No</v>
      </c>
      <c r="Q92" s="2" t="str" cm="1">
        <f t="array" ref="Q92">IFERROR(_xlfn.LET(
_xlpm.CSVVal,_xlfn.XLOOKUP($A92,CSV!$A:$A,CSV!AC:AC,""),
_xlpm.MacVal,_xlfn.XLOOKUP($A92,Output_Mac!$A:$A,Output_Mac!U:U,""),
_xlpm.MyAuditVal,_xlfn.XLOOKUP($A92,My_Audit!$A:$A,My_Audit!R:R,""),
_xlfn.IFS(_xlpm.MyAuditVal&lt;&gt;"",UPPER(_xlpm.MyAuditVal),_xlpm.MacVal&lt;&gt;"",_xlpm.MacVal,_xlpm.CSVVal&lt;&gt;"",_xlpm.CSVVal
)),"")</f>
        <v/>
      </c>
      <c r="X92" t="str">
        <f>_xlfn.LET(
    _xlpm.MacVal, _xlfn.XLOOKUP($A92, Output_Mac!$A:$A, Output_Mac!AB:AB, ""),
    _xlpm.MyAuditVal, _xlfn.XLOOKUP($A92, My_Audit!$A:$A, My_Audit!N:N, ""),
    _xlfn.TEXTJOIN(", ", TRUE, _xlpm.MyAuditVal, _xlpm.MacVal)
)</f>
        <v/>
      </c>
    </row>
    <row r="93" spans="1:24">
      <c r="A93" s="2" t="str">
        <f>_xlfn.TEXTJOIN("",TRUE,Input!$B$2,ROW(My_Audit!A92))</f>
        <v>X92</v>
      </c>
      <c r="B93" s="2" t="str">
        <f>_xlfn.TEXTJOIN("-",TRUE,"ITD",Input!$A$2,A93)</f>
        <v>ITD-SHR-X92</v>
      </c>
      <c r="C93" s="2" t="str" cm="1">
        <f t="array" ref="C93">IFERROR(_xlfn.LET(
_xlpm.CSVVal,_xlfn.XLOOKUP($A93,CSV!$A:$A,CSV!B:B,""),
_xlpm.MacVal,_xlfn.XLOOKUP($A93,Output_Mac!$A:$A,Output_Mac!B:B,""),
_xlpm.MyAuditVal,_xlfn.XLOOKUP($A93,My_Audit!$A:$A,My_Audit!B:B,""),
_xlfn.IFS(_xlpm.MyAuditVal&lt;&gt;"",UPPER(_xlpm.MyAuditVal),_xlpm.MacVal&lt;&gt;"",_xlpm.MacVal,_xlpm.CSVVal&lt;&gt;"",_xlpm.CSVVal
)),"")</f>
        <v/>
      </c>
      <c r="D93" s="2" t="str" cm="1">
        <f t="array" ref="D93">IFERROR(_xlfn.LET(
_xlpm.CSVVal,_xlfn.XLOOKUP($A93,CSV!$A:$A,CSV!D:D,""),
_xlpm.MacVal,_xlfn.XLOOKUP($A93,Output_Mac!$A:$A,Output_Mac!C:C,""),
_xlpm.MyAuditVal,_xlfn.XLOOKUP($A93,My_Audit!$A:$A,My_Audit!C:C,""),
_xlfn.IFS(_xlpm.MyAuditVal&lt;&gt;"",_xlpm.MyAuditVal,_xlpm.MacVal&lt;&gt;"",_xlpm.MacVal,_xlpm.CSVVal&lt;&gt;"",_xlpm.CSVVal
)),"")</f>
        <v/>
      </c>
      <c r="E93" s="2" t="str">
        <f>_xlfn.XLOOKUP(A93,My_Audit!A:A,My_Audit!D:D,"")</f>
        <v/>
      </c>
      <c r="F93" s="2" t="str" cm="1">
        <f t="array" ref="F93">IFERROR(_xlfn.LET(
_xlpm.CSVVal,_xlfn.XLOOKUP($A93,CSV!$A:$A,CSV!F:F,""),
_xlpm.MacVal,_xlfn.XLOOKUP($A93,Output_Mac!$A:$A,Output_Mac!E:E,""),
_xlpm.MyAuditVal,_xlfn.XLOOKUP($A93,My_Audit!$A:$A,My_Audit!E:E,""),
_xlfn.IFS(_xlpm.MyAuditVal&lt;&gt;"",_xlpm.MyAuditVal,_xlpm.MacVal&lt;&gt;"",_xlpm.MacVal,_xlpm.CSVVal&lt;&gt;"",_xlpm.CSVVal
)),"")</f>
        <v/>
      </c>
      <c r="G93" s="2" t="str" cm="1">
        <f t="array" ref="G93">IFERROR(_xlfn.LET(
_xlpm.CSVVal,_xlfn.XLOOKUP($A93,CSV!$A:$A,CSV!G:G,""),
_xlpm.MacVal,_xlfn.XLOOKUP($A93,Output_Mac!$A:$A,Output_Mac!F:F,""),
_xlpm.MyAuditVal,_xlfn.XLOOKUP($A93,My_Audit!$A:$A,My_Audit!F:F,""),
_xlfn.IFS(_xlpm.MyAuditVal&lt;&gt;"",_xlpm.MyAuditVal,_xlpm.MacVal&lt;&gt;"",_xlpm.MacVal,_xlpm.CSVVal&lt;&gt;"",PROPER(_xlpm.CSVVal)
)),"")</f>
        <v/>
      </c>
      <c r="H93" s="2" t="str" cm="1">
        <f t="array" ref="H93">IFERROR(_xlfn.LET(
_xlpm.CSVVal,_xlfn.XLOOKUP($A93,CSV!$A:$A,CSV!H:H,""),
_xlpm.MacVal,_xlfn.XLOOKUP($A93,Output_Mac!$A:$A,Output_Mac!H:H,""),
_xlpm.MyAuditVal,_xlfn.XLOOKUP($A93,My_Audit!$A:$A,My_Audit!G:G,""),
_xlfn.IFS(_xlpm.MyAuditVal&lt;&gt;"",_xlpm.MyAuditVal,_xlpm.MacVal&lt;&gt;"",_xlpm.MacVal,_xlpm.CSVVal&lt;&gt;"",_xlpm.CSVVal
)),"")</f>
        <v/>
      </c>
      <c r="I93" s="2" t="str">
        <f>_xlfn.XLOOKUP(A93,Output_Mac!A:A,Output_Mac!I:I,"")</f>
        <v/>
      </c>
      <c r="J93" s="2" t="str" cm="1">
        <f t="array" ref="J93">IFERROR(_xlfn.LET(
_xlpm.CSVVal,_xlfn.XLOOKUP($A93,CSV!$A:$A,CSV!I:I,""),
_xlpm.MacVal,_xlfn.XLOOKUP($A93,Output_Mac!$A:$A,Output_Mac!J:J,""),
_xlpm.MyAuditVal,_xlfn.XLOOKUP($A93,My_Audit!$A:$A,My_Audit!I:I,""),
_xlfn.IFS(_xlpm.MyAuditVal&lt;&gt;"",UPPER(_xlpm.MyAuditVal),_xlpm.MacVal&lt;&gt;"",_xlpm.MacVal,_xlpm.CSVVal&lt;&gt;"",_xlpm.CSVVal
)),"")</f>
        <v/>
      </c>
      <c r="K93" s="2" t="str" cm="1">
        <f t="array" ref="K93">IFERROR(_xlfn.LET(
_xlpm.CSVVal,_xlfn.XLOOKUP($A93,CSV!$A:$A,CSV!K:K,""),
_xlpm.MacVal,_xlfn.XLOOKUP($A93,Output_Mac!$A:$A,Output_Mac!K:K,""),
_xlpm.MyAuditVal,_xlfn.XLOOKUP($A93,My_Audit!$A:$A,My_Audit!J:J,""),
_xlfn.IFS(_xlpm.MyAuditVal&lt;&gt;"",UPPER(_xlpm.MyAuditVal),_xlpm.MacVal&lt;&gt;"",_xlpm.MacVal,_xlpm.CSVVal&lt;&gt;"",_xlpm.CSVVal
)),"")</f>
        <v/>
      </c>
      <c r="L93" s="2" t="str" cm="1">
        <f t="array" ref="L93">IFERROR(_xlfn.LET(
_xlpm.CSVVal,_xlfn.XLOOKUP($A93,CSV!$A:$A,CSV!P:P,""),
_xlpm.MacVal,_xlfn.XLOOKUP($A93,Output_Mac!$A:$A,Output_Mac!L:L,""),
_xlpm.MyAuditVal,_xlfn.XLOOKUP($A93,My_Audit!$A:$A,My_Audit!K:K,""),
_xlfn.IFS(_xlpm.MyAuditVal&lt;&gt;"",UPPER(_xlpm.MyAuditVal),_xlpm.MacVal&lt;&gt;"",_xlpm.MacVal,_xlpm.CSVVal&lt;&gt;"",_xlpm.CSVVal
)),"")</f>
        <v/>
      </c>
      <c r="M93" s="2" t="str" cm="1">
        <f t="array" ref="M93">IFERROR(_xlfn.LET(
_xlpm.CSVVal,_xlfn.XLOOKUP($A93,CSV!$A:$A,CSV!Q:Q,""),
_xlpm.MacVal,_xlfn.XLOOKUP($A93,Output_Mac!$A:$A,Output_Mac!M:M,""),
_xlpm.MyAuditVal,_xlfn.XLOOKUP($A93,My_Audit!$A:$A,My_Audit!L:L,""),
_xlfn.IFS(_xlpm.MyAuditVal&lt;&gt;"",UPPER(_xlpm.MyAuditVal),_xlpm.MacVal&lt;&gt;"",_xlpm.MacVal,_xlpm.CSVVal&lt;&gt;"",_xlpm.CSVVal
)),"")</f>
        <v/>
      </c>
      <c r="O93" s="2" t="str">
        <f>_xlfn.LET(
    _xlpm.CSVVal, _xlfn.XLOOKUP($A93, CSV!$A:$A, CSV!AA:AA, ""),
    _xlpm.MacVal, _xlfn.XLOOKUP($A93, Output_Mac!$A:$A, Output_Mac!S:S, ""),
    _xlpm.MyAuditVal, _xlfn.XLOOKUP($A93, My_Audit!$A:$A, My_Audit!P:P, ""),
    _xlfn.TEXTJOIN(", ", TRUE, _xlpm.MyAuditVal, _xlpm.MacVal, _xlpm.CSVVal)
)</f>
        <v/>
      </c>
      <c r="P93" s="2" t="str" cm="1">
        <f t="array" ref="P93">IFERROR(_xlfn.LET(
_xlpm.CSVVal,_xlfn.XLOOKUP($A93,CSV!$A:$A,CSV!AB:AB,""),
_xlpm.MacVal,_xlfn.XLOOKUP($A93,Output_Mac!$A:$A,Output_Mac!T:T,""),
_xlpm.MyAuditVal,_xlfn.XLOOKUP($A93,My_Audit!$A:$A,My_Audit!Q:Q,""),
_xlfn.IFS(_xlpm.MyAuditVal&lt;&gt;"",UPPER(_xlpm.MyAuditVal),_xlpm.MacVal&lt;&gt;"",_xlpm.MacVal,_xlpm.CSVVal&lt;&gt;"",_xlpm.CSVVal
)),"No")</f>
        <v>No</v>
      </c>
      <c r="Q93" s="2" t="str" cm="1">
        <f t="array" ref="Q93">IFERROR(_xlfn.LET(
_xlpm.CSVVal,_xlfn.XLOOKUP($A93,CSV!$A:$A,CSV!AC:AC,""),
_xlpm.MacVal,_xlfn.XLOOKUP($A93,Output_Mac!$A:$A,Output_Mac!U:U,""),
_xlpm.MyAuditVal,_xlfn.XLOOKUP($A93,My_Audit!$A:$A,My_Audit!R:R,""),
_xlfn.IFS(_xlpm.MyAuditVal&lt;&gt;"",UPPER(_xlpm.MyAuditVal),_xlpm.MacVal&lt;&gt;"",_xlpm.MacVal,_xlpm.CSVVal&lt;&gt;"",_xlpm.CSVVal
)),"")</f>
        <v/>
      </c>
      <c r="X93" t="str">
        <f>_xlfn.LET(
    _xlpm.MacVal, _xlfn.XLOOKUP($A93, Output_Mac!$A:$A, Output_Mac!AB:AB, ""),
    _xlpm.MyAuditVal, _xlfn.XLOOKUP($A93, My_Audit!$A:$A, My_Audit!N:N, ""),
    _xlfn.TEXTJOIN(", ", TRUE, _xlpm.MyAuditVal, _xlpm.MacVal)
)</f>
        <v/>
      </c>
    </row>
    <row r="94" spans="1:24">
      <c r="A94" s="2" t="str">
        <f>_xlfn.TEXTJOIN("",TRUE,Input!$B$2,ROW(My_Audit!A93))</f>
        <v>X93</v>
      </c>
      <c r="B94" s="2" t="str">
        <f>_xlfn.TEXTJOIN("-",TRUE,"ITD",Input!$A$2,A94)</f>
        <v>ITD-SHR-X93</v>
      </c>
      <c r="C94" s="2" t="str" cm="1">
        <f t="array" ref="C94">IFERROR(_xlfn.LET(
_xlpm.CSVVal,_xlfn.XLOOKUP($A94,CSV!$A:$A,CSV!B:B,""),
_xlpm.MacVal,_xlfn.XLOOKUP($A94,Output_Mac!$A:$A,Output_Mac!B:B,""),
_xlpm.MyAuditVal,_xlfn.XLOOKUP($A94,My_Audit!$A:$A,My_Audit!B:B,""),
_xlfn.IFS(_xlpm.MyAuditVal&lt;&gt;"",UPPER(_xlpm.MyAuditVal),_xlpm.MacVal&lt;&gt;"",_xlpm.MacVal,_xlpm.CSVVal&lt;&gt;"",_xlpm.CSVVal
)),"")</f>
        <v/>
      </c>
      <c r="D94" s="2" t="str" cm="1">
        <f t="array" ref="D94">IFERROR(_xlfn.LET(
_xlpm.CSVVal,_xlfn.XLOOKUP($A94,CSV!$A:$A,CSV!D:D,""),
_xlpm.MacVal,_xlfn.XLOOKUP($A94,Output_Mac!$A:$A,Output_Mac!C:C,""),
_xlpm.MyAuditVal,_xlfn.XLOOKUP($A94,My_Audit!$A:$A,My_Audit!C:C,""),
_xlfn.IFS(_xlpm.MyAuditVal&lt;&gt;"",_xlpm.MyAuditVal,_xlpm.MacVal&lt;&gt;"",_xlpm.MacVal,_xlpm.CSVVal&lt;&gt;"",_xlpm.CSVVal
)),"")</f>
        <v/>
      </c>
      <c r="E94" s="2" t="str">
        <f>_xlfn.XLOOKUP(A94,My_Audit!A:A,My_Audit!D:D,"")</f>
        <v/>
      </c>
      <c r="F94" s="2" t="str" cm="1">
        <f t="array" ref="F94">IFERROR(_xlfn.LET(
_xlpm.CSVVal,_xlfn.XLOOKUP($A94,CSV!$A:$A,CSV!F:F,""),
_xlpm.MacVal,_xlfn.XLOOKUP($A94,Output_Mac!$A:$A,Output_Mac!E:E,""),
_xlpm.MyAuditVal,_xlfn.XLOOKUP($A94,My_Audit!$A:$A,My_Audit!E:E,""),
_xlfn.IFS(_xlpm.MyAuditVal&lt;&gt;"",_xlpm.MyAuditVal,_xlpm.MacVal&lt;&gt;"",_xlpm.MacVal,_xlpm.CSVVal&lt;&gt;"",_xlpm.CSVVal
)),"")</f>
        <v/>
      </c>
      <c r="G94" s="2" t="str" cm="1">
        <f t="array" ref="G94">IFERROR(_xlfn.LET(
_xlpm.CSVVal,_xlfn.XLOOKUP($A94,CSV!$A:$A,CSV!G:G,""),
_xlpm.MacVal,_xlfn.XLOOKUP($A94,Output_Mac!$A:$A,Output_Mac!F:F,""),
_xlpm.MyAuditVal,_xlfn.XLOOKUP($A94,My_Audit!$A:$A,My_Audit!F:F,""),
_xlfn.IFS(_xlpm.MyAuditVal&lt;&gt;"",_xlpm.MyAuditVal,_xlpm.MacVal&lt;&gt;"",_xlpm.MacVal,_xlpm.CSVVal&lt;&gt;"",PROPER(_xlpm.CSVVal)
)),"")</f>
        <v/>
      </c>
      <c r="H94" s="2" t="str" cm="1">
        <f t="array" ref="H94">IFERROR(_xlfn.LET(
_xlpm.CSVVal,_xlfn.XLOOKUP($A94,CSV!$A:$A,CSV!H:H,""),
_xlpm.MacVal,_xlfn.XLOOKUP($A94,Output_Mac!$A:$A,Output_Mac!H:H,""),
_xlpm.MyAuditVal,_xlfn.XLOOKUP($A94,My_Audit!$A:$A,My_Audit!G:G,""),
_xlfn.IFS(_xlpm.MyAuditVal&lt;&gt;"",_xlpm.MyAuditVal,_xlpm.MacVal&lt;&gt;"",_xlpm.MacVal,_xlpm.CSVVal&lt;&gt;"",_xlpm.CSVVal
)),"")</f>
        <v/>
      </c>
      <c r="I94" s="2" t="str">
        <f>_xlfn.XLOOKUP(A94,Output_Mac!A:A,Output_Mac!I:I,"")</f>
        <v/>
      </c>
      <c r="J94" s="2" t="str" cm="1">
        <f t="array" ref="J94">IFERROR(_xlfn.LET(
_xlpm.CSVVal,_xlfn.XLOOKUP($A94,CSV!$A:$A,CSV!I:I,""),
_xlpm.MacVal,_xlfn.XLOOKUP($A94,Output_Mac!$A:$A,Output_Mac!J:J,""),
_xlpm.MyAuditVal,_xlfn.XLOOKUP($A94,My_Audit!$A:$A,My_Audit!I:I,""),
_xlfn.IFS(_xlpm.MyAuditVal&lt;&gt;"",UPPER(_xlpm.MyAuditVal),_xlpm.MacVal&lt;&gt;"",_xlpm.MacVal,_xlpm.CSVVal&lt;&gt;"",_xlpm.CSVVal
)),"")</f>
        <v/>
      </c>
      <c r="K94" s="2" t="str" cm="1">
        <f t="array" ref="K94">IFERROR(_xlfn.LET(
_xlpm.CSVVal,_xlfn.XLOOKUP($A94,CSV!$A:$A,CSV!K:K,""),
_xlpm.MacVal,_xlfn.XLOOKUP($A94,Output_Mac!$A:$A,Output_Mac!K:K,""),
_xlpm.MyAuditVal,_xlfn.XLOOKUP($A94,My_Audit!$A:$A,My_Audit!J:J,""),
_xlfn.IFS(_xlpm.MyAuditVal&lt;&gt;"",UPPER(_xlpm.MyAuditVal),_xlpm.MacVal&lt;&gt;"",_xlpm.MacVal,_xlpm.CSVVal&lt;&gt;"",_xlpm.CSVVal
)),"")</f>
        <v/>
      </c>
      <c r="L94" s="2" t="str" cm="1">
        <f t="array" ref="L94">IFERROR(_xlfn.LET(
_xlpm.CSVVal,_xlfn.XLOOKUP($A94,CSV!$A:$A,CSV!P:P,""),
_xlpm.MacVal,_xlfn.XLOOKUP($A94,Output_Mac!$A:$A,Output_Mac!L:L,""),
_xlpm.MyAuditVal,_xlfn.XLOOKUP($A94,My_Audit!$A:$A,My_Audit!K:K,""),
_xlfn.IFS(_xlpm.MyAuditVal&lt;&gt;"",UPPER(_xlpm.MyAuditVal),_xlpm.MacVal&lt;&gt;"",_xlpm.MacVal,_xlpm.CSVVal&lt;&gt;"",_xlpm.CSVVal
)),"")</f>
        <v/>
      </c>
      <c r="M94" s="2" t="str" cm="1">
        <f t="array" ref="M94">IFERROR(_xlfn.LET(
_xlpm.CSVVal,_xlfn.XLOOKUP($A94,CSV!$A:$A,CSV!Q:Q,""),
_xlpm.MacVal,_xlfn.XLOOKUP($A94,Output_Mac!$A:$A,Output_Mac!M:M,""),
_xlpm.MyAuditVal,_xlfn.XLOOKUP($A94,My_Audit!$A:$A,My_Audit!L:L,""),
_xlfn.IFS(_xlpm.MyAuditVal&lt;&gt;"",UPPER(_xlpm.MyAuditVal),_xlpm.MacVal&lt;&gt;"",_xlpm.MacVal,_xlpm.CSVVal&lt;&gt;"",_xlpm.CSVVal
)),"")</f>
        <v/>
      </c>
      <c r="O94" s="2" t="str">
        <f>_xlfn.LET(
    _xlpm.CSVVal, _xlfn.XLOOKUP($A94, CSV!$A:$A, CSV!AA:AA, ""),
    _xlpm.MacVal, _xlfn.XLOOKUP($A94, Output_Mac!$A:$A, Output_Mac!S:S, ""),
    _xlpm.MyAuditVal, _xlfn.XLOOKUP($A94, My_Audit!$A:$A, My_Audit!P:P, ""),
    _xlfn.TEXTJOIN(", ", TRUE, _xlpm.MyAuditVal, _xlpm.MacVal, _xlpm.CSVVal)
)</f>
        <v/>
      </c>
      <c r="P94" s="2" t="str" cm="1">
        <f t="array" ref="P94">IFERROR(_xlfn.LET(
_xlpm.CSVVal,_xlfn.XLOOKUP($A94,CSV!$A:$A,CSV!AB:AB,""),
_xlpm.MacVal,_xlfn.XLOOKUP($A94,Output_Mac!$A:$A,Output_Mac!T:T,""),
_xlpm.MyAuditVal,_xlfn.XLOOKUP($A94,My_Audit!$A:$A,My_Audit!Q:Q,""),
_xlfn.IFS(_xlpm.MyAuditVal&lt;&gt;"",UPPER(_xlpm.MyAuditVal),_xlpm.MacVal&lt;&gt;"",_xlpm.MacVal,_xlpm.CSVVal&lt;&gt;"",_xlpm.CSVVal
)),"No")</f>
        <v>No</v>
      </c>
      <c r="Q94" s="2" t="str" cm="1">
        <f t="array" ref="Q94">IFERROR(_xlfn.LET(
_xlpm.CSVVal,_xlfn.XLOOKUP($A94,CSV!$A:$A,CSV!AC:AC,""),
_xlpm.MacVal,_xlfn.XLOOKUP($A94,Output_Mac!$A:$A,Output_Mac!U:U,""),
_xlpm.MyAuditVal,_xlfn.XLOOKUP($A94,My_Audit!$A:$A,My_Audit!R:R,""),
_xlfn.IFS(_xlpm.MyAuditVal&lt;&gt;"",UPPER(_xlpm.MyAuditVal),_xlpm.MacVal&lt;&gt;"",_xlpm.MacVal,_xlpm.CSVVal&lt;&gt;"",_xlpm.CSVVal
)),"")</f>
        <v/>
      </c>
      <c r="X94" t="str">
        <f>_xlfn.LET(
    _xlpm.MacVal, _xlfn.XLOOKUP($A94, Output_Mac!$A:$A, Output_Mac!AB:AB, ""),
    _xlpm.MyAuditVal, _xlfn.XLOOKUP($A94, My_Audit!$A:$A, My_Audit!N:N, ""),
    _xlfn.TEXTJOIN(", ", TRUE, _xlpm.MyAuditVal, _xlpm.MacVal)
)</f>
        <v/>
      </c>
    </row>
    <row r="95" spans="1:24">
      <c r="A95" s="2" t="str">
        <f>_xlfn.TEXTJOIN("",TRUE,Input!$B$2,ROW(My_Audit!A94))</f>
        <v>X94</v>
      </c>
      <c r="B95" s="2" t="str">
        <f>_xlfn.TEXTJOIN("-",TRUE,"ITD",Input!$A$2,A95)</f>
        <v>ITD-SHR-X94</v>
      </c>
      <c r="C95" s="2" t="str" cm="1">
        <f t="array" ref="C95">IFERROR(_xlfn.LET(
_xlpm.CSVVal,_xlfn.XLOOKUP($A95,CSV!$A:$A,CSV!B:B,""),
_xlpm.MacVal,_xlfn.XLOOKUP($A95,Output_Mac!$A:$A,Output_Mac!B:B,""),
_xlpm.MyAuditVal,_xlfn.XLOOKUP($A95,My_Audit!$A:$A,My_Audit!B:B,""),
_xlfn.IFS(_xlpm.MyAuditVal&lt;&gt;"",UPPER(_xlpm.MyAuditVal),_xlpm.MacVal&lt;&gt;"",_xlpm.MacVal,_xlpm.CSVVal&lt;&gt;"",_xlpm.CSVVal
)),"")</f>
        <v/>
      </c>
      <c r="D95" s="2" t="str" cm="1">
        <f t="array" ref="D95">IFERROR(_xlfn.LET(
_xlpm.CSVVal,_xlfn.XLOOKUP($A95,CSV!$A:$A,CSV!D:D,""),
_xlpm.MacVal,_xlfn.XLOOKUP($A95,Output_Mac!$A:$A,Output_Mac!C:C,""),
_xlpm.MyAuditVal,_xlfn.XLOOKUP($A95,My_Audit!$A:$A,My_Audit!C:C,""),
_xlfn.IFS(_xlpm.MyAuditVal&lt;&gt;"",_xlpm.MyAuditVal,_xlpm.MacVal&lt;&gt;"",_xlpm.MacVal,_xlpm.CSVVal&lt;&gt;"",_xlpm.CSVVal
)),"")</f>
        <v/>
      </c>
      <c r="E95" s="2" t="str">
        <f>_xlfn.XLOOKUP(A95,My_Audit!A:A,My_Audit!D:D,"")</f>
        <v/>
      </c>
      <c r="F95" s="2" t="str" cm="1">
        <f t="array" ref="F95">IFERROR(_xlfn.LET(
_xlpm.CSVVal,_xlfn.XLOOKUP($A95,CSV!$A:$A,CSV!F:F,""),
_xlpm.MacVal,_xlfn.XLOOKUP($A95,Output_Mac!$A:$A,Output_Mac!E:E,""),
_xlpm.MyAuditVal,_xlfn.XLOOKUP($A95,My_Audit!$A:$A,My_Audit!E:E,""),
_xlfn.IFS(_xlpm.MyAuditVal&lt;&gt;"",_xlpm.MyAuditVal,_xlpm.MacVal&lt;&gt;"",_xlpm.MacVal,_xlpm.CSVVal&lt;&gt;"",_xlpm.CSVVal
)),"")</f>
        <v/>
      </c>
      <c r="G95" s="2" t="str" cm="1">
        <f t="array" ref="G95">IFERROR(_xlfn.LET(
_xlpm.CSVVal,_xlfn.XLOOKUP($A95,CSV!$A:$A,CSV!G:G,""),
_xlpm.MacVal,_xlfn.XLOOKUP($A95,Output_Mac!$A:$A,Output_Mac!F:F,""),
_xlpm.MyAuditVal,_xlfn.XLOOKUP($A95,My_Audit!$A:$A,My_Audit!F:F,""),
_xlfn.IFS(_xlpm.MyAuditVal&lt;&gt;"",_xlpm.MyAuditVal,_xlpm.MacVal&lt;&gt;"",_xlpm.MacVal,_xlpm.CSVVal&lt;&gt;"",PROPER(_xlpm.CSVVal)
)),"")</f>
        <v/>
      </c>
      <c r="H95" s="2" t="str" cm="1">
        <f t="array" ref="H95">IFERROR(_xlfn.LET(
_xlpm.CSVVal,_xlfn.XLOOKUP($A95,CSV!$A:$A,CSV!H:H,""),
_xlpm.MacVal,_xlfn.XLOOKUP($A95,Output_Mac!$A:$A,Output_Mac!H:H,""),
_xlpm.MyAuditVal,_xlfn.XLOOKUP($A95,My_Audit!$A:$A,My_Audit!G:G,""),
_xlfn.IFS(_xlpm.MyAuditVal&lt;&gt;"",_xlpm.MyAuditVal,_xlpm.MacVal&lt;&gt;"",_xlpm.MacVal,_xlpm.CSVVal&lt;&gt;"",_xlpm.CSVVal
)),"")</f>
        <v/>
      </c>
      <c r="I95" s="2" t="str">
        <f>_xlfn.XLOOKUP(A95,Output_Mac!A:A,Output_Mac!I:I,"")</f>
        <v/>
      </c>
      <c r="J95" s="2" t="str" cm="1">
        <f t="array" ref="J95">IFERROR(_xlfn.LET(
_xlpm.CSVVal,_xlfn.XLOOKUP($A95,CSV!$A:$A,CSV!I:I,""),
_xlpm.MacVal,_xlfn.XLOOKUP($A95,Output_Mac!$A:$A,Output_Mac!J:J,""),
_xlpm.MyAuditVal,_xlfn.XLOOKUP($A95,My_Audit!$A:$A,My_Audit!I:I,""),
_xlfn.IFS(_xlpm.MyAuditVal&lt;&gt;"",UPPER(_xlpm.MyAuditVal),_xlpm.MacVal&lt;&gt;"",_xlpm.MacVal,_xlpm.CSVVal&lt;&gt;"",_xlpm.CSVVal
)),"")</f>
        <v/>
      </c>
      <c r="K95" s="2" t="str" cm="1">
        <f t="array" ref="K95">IFERROR(_xlfn.LET(
_xlpm.CSVVal,_xlfn.XLOOKUP($A95,CSV!$A:$A,CSV!K:K,""),
_xlpm.MacVal,_xlfn.XLOOKUP($A95,Output_Mac!$A:$A,Output_Mac!K:K,""),
_xlpm.MyAuditVal,_xlfn.XLOOKUP($A95,My_Audit!$A:$A,My_Audit!J:J,""),
_xlfn.IFS(_xlpm.MyAuditVal&lt;&gt;"",UPPER(_xlpm.MyAuditVal),_xlpm.MacVal&lt;&gt;"",_xlpm.MacVal,_xlpm.CSVVal&lt;&gt;"",_xlpm.CSVVal
)),"")</f>
        <v/>
      </c>
      <c r="L95" s="2" t="str" cm="1">
        <f t="array" ref="L95">IFERROR(_xlfn.LET(
_xlpm.CSVVal,_xlfn.XLOOKUP($A95,CSV!$A:$A,CSV!P:P,""),
_xlpm.MacVal,_xlfn.XLOOKUP($A95,Output_Mac!$A:$A,Output_Mac!L:L,""),
_xlpm.MyAuditVal,_xlfn.XLOOKUP($A95,My_Audit!$A:$A,My_Audit!K:K,""),
_xlfn.IFS(_xlpm.MyAuditVal&lt;&gt;"",UPPER(_xlpm.MyAuditVal),_xlpm.MacVal&lt;&gt;"",_xlpm.MacVal,_xlpm.CSVVal&lt;&gt;"",_xlpm.CSVVal
)),"")</f>
        <v/>
      </c>
      <c r="M95" s="2" t="str" cm="1">
        <f t="array" ref="M95">IFERROR(_xlfn.LET(
_xlpm.CSVVal,_xlfn.XLOOKUP($A95,CSV!$A:$A,CSV!Q:Q,""),
_xlpm.MacVal,_xlfn.XLOOKUP($A95,Output_Mac!$A:$A,Output_Mac!M:M,""),
_xlpm.MyAuditVal,_xlfn.XLOOKUP($A95,My_Audit!$A:$A,My_Audit!L:L,""),
_xlfn.IFS(_xlpm.MyAuditVal&lt;&gt;"",UPPER(_xlpm.MyAuditVal),_xlpm.MacVal&lt;&gt;"",_xlpm.MacVal,_xlpm.CSVVal&lt;&gt;"",_xlpm.CSVVal
)),"")</f>
        <v/>
      </c>
      <c r="O95" s="2" t="str">
        <f>_xlfn.LET(
    _xlpm.CSVVal, _xlfn.XLOOKUP($A95, CSV!$A:$A, CSV!AA:AA, ""),
    _xlpm.MacVal, _xlfn.XLOOKUP($A95, Output_Mac!$A:$A, Output_Mac!S:S, ""),
    _xlpm.MyAuditVal, _xlfn.XLOOKUP($A95, My_Audit!$A:$A, My_Audit!P:P, ""),
    _xlfn.TEXTJOIN(", ", TRUE, _xlpm.MyAuditVal, _xlpm.MacVal, _xlpm.CSVVal)
)</f>
        <v/>
      </c>
      <c r="P95" s="2" t="str" cm="1">
        <f t="array" ref="P95">IFERROR(_xlfn.LET(
_xlpm.CSVVal,_xlfn.XLOOKUP($A95,CSV!$A:$A,CSV!AB:AB,""),
_xlpm.MacVal,_xlfn.XLOOKUP($A95,Output_Mac!$A:$A,Output_Mac!T:T,""),
_xlpm.MyAuditVal,_xlfn.XLOOKUP($A95,My_Audit!$A:$A,My_Audit!Q:Q,""),
_xlfn.IFS(_xlpm.MyAuditVal&lt;&gt;"",UPPER(_xlpm.MyAuditVal),_xlpm.MacVal&lt;&gt;"",_xlpm.MacVal,_xlpm.CSVVal&lt;&gt;"",_xlpm.CSVVal
)),"No")</f>
        <v>No</v>
      </c>
      <c r="Q95" s="2" t="str" cm="1">
        <f t="array" ref="Q95">IFERROR(_xlfn.LET(
_xlpm.CSVVal,_xlfn.XLOOKUP($A95,CSV!$A:$A,CSV!AC:AC,""),
_xlpm.MacVal,_xlfn.XLOOKUP($A95,Output_Mac!$A:$A,Output_Mac!U:U,""),
_xlpm.MyAuditVal,_xlfn.XLOOKUP($A95,My_Audit!$A:$A,My_Audit!R:R,""),
_xlfn.IFS(_xlpm.MyAuditVal&lt;&gt;"",UPPER(_xlpm.MyAuditVal),_xlpm.MacVal&lt;&gt;"",_xlpm.MacVal,_xlpm.CSVVal&lt;&gt;"",_xlpm.CSVVal
)),"")</f>
        <v/>
      </c>
      <c r="X95" t="str">
        <f>_xlfn.LET(
    _xlpm.MacVal, _xlfn.XLOOKUP($A95, Output_Mac!$A:$A, Output_Mac!AB:AB, ""),
    _xlpm.MyAuditVal, _xlfn.XLOOKUP($A95, My_Audit!$A:$A, My_Audit!N:N, ""),
    _xlfn.TEXTJOIN(", ", TRUE, _xlpm.MyAuditVal, _xlpm.MacVal)
)</f>
        <v/>
      </c>
    </row>
    <row r="96" spans="1:24">
      <c r="A96" s="2" t="str">
        <f>_xlfn.TEXTJOIN("",TRUE,Input!$B$2,ROW(My_Audit!A95))</f>
        <v>X95</v>
      </c>
      <c r="B96" s="2" t="str">
        <f>_xlfn.TEXTJOIN("-",TRUE,"ITD",Input!$A$2,A96)</f>
        <v>ITD-SHR-X95</v>
      </c>
      <c r="C96" s="2" t="str" cm="1">
        <f t="array" ref="C96">IFERROR(_xlfn.LET(
_xlpm.CSVVal,_xlfn.XLOOKUP($A96,CSV!$A:$A,CSV!B:B,""),
_xlpm.MacVal,_xlfn.XLOOKUP($A96,Output_Mac!$A:$A,Output_Mac!B:B,""),
_xlpm.MyAuditVal,_xlfn.XLOOKUP($A96,My_Audit!$A:$A,My_Audit!B:B,""),
_xlfn.IFS(_xlpm.MyAuditVal&lt;&gt;"",UPPER(_xlpm.MyAuditVal),_xlpm.MacVal&lt;&gt;"",_xlpm.MacVal,_xlpm.CSVVal&lt;&gt;"",_xlpm.CSVVal
)),"")</f>
        <v/>
      </c>
      <c r="D96" s="2" t="str" cm="1">
        <f t="array" ref="D96">IFERROR(_xlfn.LET(
_xlpm.CSVVal,_xlfn.XLOOKUP($A96,CSV!$A:$A,CSV!D:D,""),
_xlpm.MacVal,_xlfn.XLOOKUP($A96,Output_Mac!$A:$A,Output_Mac!C:C,""),
_xlpm.MyAuditVal,_xlfn.XLOOKUP($A96,My_Audit!$A:$A,My_Audit!C:C,""),
_xlfn.IFS(_xlpm.MyAuditVal&lt;&gt;"",_xlpm.MyAuditVal,_xlpm.MacVal&lt;&gt;"",_xlpm.MacVal,_xlpm.CSVVal&lt;&gt;"",_xlpm.CSVVal
)),"")</f>
        <v/>
      </c>
      <c r="E96" s="2" t="str">
        <f>_xlfn.XLOOKUP(A96,My_Audit!A:A,My_Audit!D:D,"")</f>
        <v/>
      </c>
      <c r="F96" s="2" t="str" cm="1">
        <f t="array" ref="F96">IFERROR(_xlfn.LET(
_xlpm.CSVVal,_xlfn.XLOOKUP($A96,CSV!$A:$A,CSV!F:F,""),
_xlpm.MacVal,_xlfn.XLOOKUP($A96,Output_Mac!$A:$A,Output_Mac!E:E,""),
_xlpm.MyAuditVal,_xlfn.XLOOKUP($A96,My_Audit!$A:$A,My_Audit!E:E,""),
_xlfn.IFS(_xlpm.MyAuditVal&lt;&gt;"",_xlpm.MyAuditVal,_xlpm.MacVal&lt;&gt;"",_xlpm.MacVal,_xlpm.CSVVal&lt;&gt;"",_xlpm.CSVVal
)),"")</f>
        <v/>
      </c>
      <c r="G96" s="2" t="str" cm="1">
        <f t="array" ref="G96">IFERROR(_xlfn.LET(
_xlpm.CSVVal,_xlfn.XLOOKUP($A96,CSV!$A:$A,CSV!G:G,""),
_xlpm.MacVal,_xlfn.XLOOKUP($A96,Output_Mac!$A:$A,Output_Mac!F:F,""),
_xlpm.MyAuditVal,_xlfn.XLOOKUP($A96,My_Audit!$A:$A,My_Audit!F:F,""),
_xlfn.IFS(_xlpm.MyAuditVal&lt;&gt;"",_xlpm.MyAuditVal,_xlpm.MacVal&lt;&gt;"",_xlpm.MacVal,_xlpm.CSVVal&lt;&gt;"",PROPER(_xlpm.CSVVal)
)),"")</f>
        <v/>
      </c>
      <c r="H96" s="2" t="str" cm="1">
        <f t="array" ref="H96">IFERROR(_xlfn.LET(
_xlpm.CSVVal,_xlfn.XLOOKUP($A96,CSV!$A:$A,CSV!H:H,""),
_xlpm.MacVal,_xlfn.XLOOKUP($A96,Output_Mac!$A:$A,Output_Mac!H:H,""),
_xlpm.MyAuditVal,_xlfn.XLOOKUP($A96,My_Audit!$A:$A,My_Audit!G:G,""),
_xlfn.IFS(_xlpm.MyAuditVal&lt;&gt;"",_xlpm.MyAuditVal,_xlpm.MacVal&lt;&gt;"",_xlpm.MacVal,_xlpm.CSVVal&lt;&gt;"",_xlpm.CSVVal
)),"")</f>
        <v/>
      </c>
      <c r="I96" s="2" t="str">
        <f>_xlfn.XLOOKUP(A96,Output_Mac!A:A,Output_Mac!I:I,"")</f>
        <v/>
      </c>
      <c r="J96" s="2" t="str" cm="1">
        <f t="array" ref="J96">IFERROR(_xlfn.LET(
_xlpm.CSVVal,_xlfn.XLOOKUP($A96,CSV!$A:$A,CSV!I:I,""),
_xlpm.MacVal,_xlfn.XLOOKUP($A96,Output_Mac!$A:$A,Output_Mac!J:J,""),
_xlpm.MyAuditVal,_xlfn.XLOOKUP($A96,My_Audit!$A:$A,My_Audit!I:I,""),
_xlfn.IFS(_xlpm.MyAuditVal&lt;&gt;"",UPPER(_xlpm.MyAuditVal),_xlpm.MacVal&lt;&gt;"",_xlpm.MacVal,_xlpm.CSVVal&lt;&gt;"",_xlpm.CSVVal
)),"")</f>
        <v/>
      </c>
      <c r="K96" s="2" t="str" cm="1">
        <f t="array" ref="K96">IFERROR(_xlfn.LET(
_xlpm.CSVVal,_xlfn.XLOOKUP($A96,CSV!$A:$A,CSV!K:K,""),
_xlpm.MacVal,_xlfn.XLOOKUP($A96,Output_Mac!$A:$A,Output_Mac!K:K,""),
_xlpm.MyAuditVal,_xlfn.XLOOKUP($A96,My_Audit!$A:$A,My_Audit!J:J,""),
_xlfn.IFS(_xlpm.MyAuditVal&lt;&gt;"",UPPER(_xlpm.MyAuditVal),_xlpm.MacVal&lt;&gt;"",_xlpm.MacVal,_xlpm.CSVVal&lt;&gt;"",_xlpm.CSVVal
)),"")</f>
        <v/>
      </c>
      <c r="L96" s="2" t="str" cm="1">
        <f t="array" ref="L96">IFERROR(_xlfn.LET(
_xlpm.CSVVal,_xlfn.XLOOKUP($A96,CSV!$A:$A,CSV!P:P,""),
_xlpm.MacVal,_xlfn.XLOOKUP($A96,Output_Mac!$A:$A,Output_Mac!L:L,""),
_xlpm.MyAuditVal,_xlfn.XLOOKUP($A96,My_Audit!$A:$A,My_Audit!K:K,""),
_xlfn.IFS(_xlpm.MyAuditVal&lt;&gt;"",UPPER(_xlpm.MyAuditVal),_xlpm.MacVal&lt;&gt;"",_xlpm.MacVal,_xlpm.CSVVal&lt;&gt;"",_xlpm.CSVVal
)),"")</f>
        <v/>
      </c>
      <c r="M96" s="2" t="str" cm="1">
        <f t="array" ref="M96">IFERROR(_xlfn.LET(
_xlpm.CSVVal,_xlfn.XLOOKUP($A96,CSV!$A:$A,CSV!Q:Q,""),
_xlpm.MacVal,_xlfn.XLOOKUP($A96,Output_Mac!$A:$A,Output_Mac!M:M,""),
_xlpm.MyAuditVal,_xlfn.XLOOKUP($A96,My_Audit!$A:$A,My_Audit!L:L,""),
_xlfn.IFS(_xlpm.MyAuditVal&lt;&gt;"",UPPER(_xlpm.MyAuditVal),_xlpm.MacVal&lt;&gt;"",_xlpm.MacVal,_xlpm.CSVVal&lt;&gt;"",_xlpm.CSVVal
)),"")</f>
        <v/>
      </c>
      <c r="O96" s="2" t="str">
        <f>_xlfn.LET(
    _xlpm.CSVVal, _xlfn.XLOOKUP($A96, CSV!$A:$A, CSV!AA:AA, ""),
    _xlpm.MacVal, _xlfn.XLOOKUP($A96, Output_Mac!$A:$A, Output_Mac!S:S, ""),
    _xlpm.MyAuditVal, _xlfn.XLOOKUP($A96, My_Audit!$A:$A, My_Audit!P:P, ""),
    _xlfn.TEXTJOIN(", ", TRUE, _xlpm.MyAuditVal, _xlpm.MacVal, _xlpm.CSVVal)
)</f>
        <v/>
      </c>
      <c r="P96" s="2" t="str" cm="1">
        <f t="array" ref="P96">IFERROR(_xlfn.LET(
_xlpm.CSVVal,_xlfn.XLOOKUP($A96,CSV!$A:$A,CSV!AB:AB,""),
_xlpm.MacVal,_xlfn.XLOOKUP($A96,Output_Mac!$A:$A,Output_Mac!T:T,""),
_xlpm.MyAuditVal,_xlfn.XLOOKUP($A96,My_Audit!$A:$A,My_Audit!Q:Q,""),
_xlfn.IFS(_xlpm.MyAuditVal&lt;&gt;"",UPPER(_xlpm.MyAuditVal),_xlpm.MacVal&lt;&gt;"",_xlpm.MacVal,_xlpm.CSVVal&lt;&gt;"",_xlpm.CSVVal
)),"No")</f>
        <v>No</v>
      </c>
      <c r="Q96" s="2" t="str" cm="1">
        <f t="array" ref="Q96">IFERROR(_xlfn.LET(
_xlpm.CSVVal,_xlfn.XLOOKUP($A96,CSV!$A:$A,CSV!AC:AC,""),
_xlpm.MacVal,_xlfn.XLOOKUP($A96,Output_Mac!$A:$A,Output_Mac!U:U,""),
_xlpm.MyAuditVal,_xlfn.XLOOKUP($A96,My_Audit!$A:$A,My_Audit!R:R,""),
_xlfn.IFS(_xlpm.MyAuditVal&lt;&gt;"",UPPER(_xlpm.MyAuditVal),_xlpm.MacVal&lt;&gt;"",_xlpm.MacVal,_xlpm.CSVVal&lt;&gt;"",_xlpm.CSVVal
)),"")</f>
        <v/>
      </c>
      <c r="X96" t="str">
        <f>_xlfn.LET(
    _xlpm.MacVal, _xlfn.XLOOKUP($A96, Output_Mac!$A:$A, Output_Mac!AB:AB, ""),
    _xlpm.MyAuditVal, _xlfn.XLOOKUP($A96, My_Audit!$A:$A, My_Audit!N:N, ""),
    _xlfn.TEXTJOIN(", ", TRUE, _xlpm.MyAuditVal, _xlpm.MacVal)
)</f>
        <v/>
      </c>
    </row>
    <row r="97" spans="1:24">
      <c r="A97" s="2" t="str">
        <f>_xlfn.TEXTJOIN("",TRUE,Input!$B$2,ROW(My_Audit!A96))</f>
        <v>X96</v>
      </c>
      <c r="B97" s="2" t="str">
        <f>_xlfn.TEXTJOIN("-",TRUE,"ITD",Input!$A$2,A97)</f>
        <v>ITD-SHR-X96</v>
      </c>
      <c r="C97" s="2" t="str" cm="1">
        <f t="array" ref="C97">IFERROR(_xlfn.LET(
_xlpm.CSVVal,_xlfn.XLOOKUP($A97,CSV!$A:$A,CSV!B:B,""),
_xlpm.MacVal,_xlfn.XLOOKUP($A97,Output_Mac!$A:$A,Output_Mac!B:B,""),
_xlpm.MyAuditVal,_xlfn.XLOOKUP($A97,My_Audit!$A:$A,My_Audit!B:B,""),
_xlfn.IFS(_xlpm.MyAuditVal&lt;&gt;"",UPPER(_xlpm.MyAuditVal),_xlpm.MacVal&lt;&gt;"",_xlpm.MacVal,_xlpm.CSVVal&lt;&gt;"",_xlpm.CSVVal
)),"")</f>
        <v/>
      </c>
      <c r="D97" s="2" t="str" cm="1">
        <f t="array" ref="D97">IFERROR(_xlfn.LET(
_xlpm.CSVVal,_xlfn.XLOOKUP($A97,CSV!$A:$A,CSV!D:D,""),
_xlpm.MacVal,_xlfn.XLOOKUP($A97,Output_Mac!$A:$A,Output_Mac!C:C,""),
_xlpm.MyAuditVal,_xlfn.XLOOKUP($A97,My_Audit!$A:$A,My_Audit!C:C,""),
_xlfn.IFS(_xlpm.MyAuditVal&lt;&gt;"",_xlpm.MyAuditVal,_xlpm.MacVal&lt;&gt;"",_xlpm.MacVal,_xlpm.CSVVal&lt;&gt;"",_xlpm.CSVVal
)),"")</f>
        <v/>
      </c>
      <c r="E97" s="2" t="str">
        <f>_xlfn.XLOOKUP(A97,My_Audit!A:A,My_Audit!D:D,"")</f>
        <v/>
      </c>
      <c r="F97" s="2" t="str" cm="1">
        <f t="array" ref="F97">IFERROR(_xlfn.LET(
_xlpm.CSVVal,_xlfn.XLOOKUP($A97,CSV!$A:$A,CSV!F:F,""),
_xlpm.MacVal,_xlfn.XLOOKUP($A97,Output_Mac!$A:$A,Output_Mac!E:E,""),
_xlpm.MyAuditVal,_xlfn.XLOOKUP($A97,My_Audit!$A:$A,My_Audit!E:E,""),
_xlfn.IFS(_xlpm.MyAuditVal&lt;&gt;"",_xlpm.MyAuditVal,_xlpm.MacVal&lt;&gt;"",_xlpm.MacVal,_xlpm.CSVVal&lt;&gt;"",_xlpm.CSVVal
)),"")</f>
        <v/>
      </c>
      <c r="G97" s="2" t="str" cm="1">
        <f t="array" ref="G97">IFERROR(_xlfn.LET(
_xlpm.CSVVal,_xlfn.XLOOKUP($A97,CSV!$A:$A,CSV!G:G,""),
_xlpm.MacVal,_xlfn.XLOOKUP($A97,Output_Mac!$A:$A,Output_Mac!F:F,""),
_xlpm.MyAuditVal,_xlfn.XLOOKUP($A97,My_Audit!$A:$A,My_Audit!F:F,""),
_xlfn.IFS(_xlpm.MyAuditVal&lt;&gt;"",_xlpm.MyAuditVal,_xlpm.MacVal&lt;&gt;"",_xlpm.MacVal,_xlpm.CSVVal&lt;&gt;"",PROPER(_xlpm.CSVVal)
)),"")</f>
        <v/>
      </c>
      <c r="H97" s="2" t="str" cm="1">
        <f t="array" ref="H97">IFERROR(_xlfn.LET(
_xlpm.CSVVal,_xlfn.XLOOKUP($A97,CSV!$A:$A,CSV!H:H,""),
_xlpm.MacVal,_xlfn.XLOOKUP($A97,Output_Mac!$A:$A,Output_Mac!H:H,""),
_xlpm.MyAuditVal,_xlfn.XLOOKUP($A97,My_Audit!$A:$A,My_Audit!G:G,""),
_xlfn.IFS(_xlpm.MyAuditVal&lt;&gt;"",_xlpm.MyAuditVal,_xlpm.MacVal&lt;&gt;"",_xlpm.MacVal,_xlpm.CSVVal&lt;&gt;"",_xlpm.CSVVal
)),"")</f>
        <v/>
      </c>
      <c r="I97" s="2" t="str">
        <f>_xlfn.XLOOKUP(A97,Output_Mac!A:A,Output_Mac!I:I,"")</f>
        <v/>
      </c>
      <c r="J97" s="2" t="str" cm="1">
        <f t="array" ref="J97">IFERROR(_xlfn.LET(
_xlpm.CSVVal,_xlfn.XLOOKUP($A97,CSV!$A:$A,CSV!I:I,""),
_xlpm.MacVal,_xlfn.XLOOKUP($A97,Output_Mac!$A:$A,Output_Mac!J:J,""),
_xlpm.MyAuditVal,_xlfn.XLOOKUP($A97,My_Audit!$A:$A,My_Audit!I:I,""),
_xlfn.IFS(_xlpm.MyAuditVal&lt;&gt;"",UPPER(_xlpm.MyAuditVal),_xlpm.MacVal&lt;&gt;"",_xlpm.MacVal,_xlpm.CSVVal&lt;&gt;"",_xlpm.CSVVal
)),"")</f>
        <v/>
      </c>
      <c r="K97" s="2" t="str" cm="1">
        <f t="array" ref="K97">IFERROR(_xlfn.LET(
_xlpm.CSVVal,_xlfn.XLOOKUP($A97,CSV!$A:$A,CSV!K:K,""),
_xlpm.MacVal,_xlfn.XLOOKUP($A97,Output_Mac!$A:$A,Output_Mac!K:K,""),
_xlpm.MyAuditVal,_xlfn.XLOOKUP($A97,My_Audit!$A:$A,My_Audit!J:J,""),
_xlfn.IFS(_xlpm.MyAuditVal&lt;&gt;"",UPPER(_xlpm.MyAuditVal),_xlpm.MacVal&lt;&gt;"",_xlpm.MacVal,_xlpm.CSVVal&lt;&gt;"",_xlpm.CSVVal
)),"")</f>
        <v/>
      </c>
      <c r="L97" s="2" t="str" cm="1">
        <f t="array" ref="L97">IFERROR(_xlfn.LET(
_xlpm.CSVVal,_xlfn.XLOOKUP($A97,CSV!$A:$A,CSV!P:P,""),
_xlpm.MacVal,_xlfn.XLOOKUP($A97,Output_Mac!$A:$A,Output_Mac!L:L,""),
_xlpm.MyAuditVal,_xlfn.XLOOKUP($A97,My_Audit!$A:$A,My_Audit!K:K,""),
_xlfn.IFS(_xlpm.MyAuditVal&lt;&gt;"",UPPER(_xlpm.MyAuditVal),_xlpm.MacVal&lt;&gt;"",_xlpm.MacVal,_xlpm.CSVVal&lt;&gt;"",_xlpm.CSVVal
)),"")</f>
        <v/>
      </c>
      <c r="M97" s="2" t="str" cm="1">
        <f t="array" ref="M97">IFERROR(_xlfn.LET(
_xlpm.CSVVal,_xlfn.XLOOKUP($A97,CSV!$A:$A,CSV!Q:Q,""),
_xlpm.MacVal,_xlfn.XLOOKUP($A97,Output_Mac!$A:$A,Output_Mac!M:M,""),
_xlpm.MyAuditVal,_xlfn.XLOOKUP($A97,My_Audit!$A:$A,My_Audit!L:L,""),
_xlfn.IFS(_xlpm.MyAuditVal&lt;&gt;"",UPPER(_xlpm.MyAuditVal),_xlpm.MacVal&lt;&gt;"",_xlpm.MacVal,_xlpm.CSVVal&lt;&gt;"",_xlpm.CSVVal
)),"")</f>
        <v/>
      </c>
      <c r="O97" s="2" t="str">
        <f>_xlfn.LET(
    _xlpm.CSVVal, _xlfn.XLOOKUP($A97, CSV!$A:$A, CSV!AA:AA, ""),
    _xlpm.MacVal, _xlfn.XLOOKUP($A97, Output_Mac!$A:$A, Output_Mac!S:S, ""),
    _xlpm.MyAuditVal, _xlfn.XLOOKUP($A97, My_Audit!$A:$A, My_Audit!P:P, ""),
    _xlfn.TEXTJOIN(", ", TRUE, _xlpm.MyAuditVal, _xlpm.MacVal, _xlpm.CSVVal)
)</f>
        <v/>
      </c>
      <c r="P97" s="2" t="str" cm="1">
        <f t="array" ref="P97">IFERROR(_xlfn.LET(
_xlpm.CSVVal,_xlfn.XLOOKUP($A97,CSV!$A:$A,CSV!AB:AB,""),
_xlpm.MacVal,_xlfn.XLOOKUP($A97,Output_Mac!$A:$A,Output_Mac!T:T,""),
_xlpm.MyAuditVal,_xlfn.XLOOKUP($A97,My_Audit!$A:$A,My_Audit!Q:Q,""),
_xlfn.IFS(_xlpm.MyAuditVal&lt;&gt;"",UPPER(_xlpm.MyAuditVal),_xlpm.MacVal&lt;&gt;"",_xlpm.MacVal,_xlpm.CSVVal&lt;&gt;"",_xlpm.CSVVal
)),"No")</f>
        <v>No</v>
      </c>
      <c r="Q97" s="2" t="str" cm="1">
        <f t="array" ref="Q97">IFERROR(_xlfn.LET(
_xlpm.CSVVal,_xlfn.XLOOKUP($A97,CSV!$A:$A,CSV!AC:AC,""),
_xlpm.MacVal,_xlfn.XLOOKUP($A97,Output_Mac!$A:$A,Output_Mac!U:U,""),
_xlpm.MyAuditVal,_xlfn.XLOOKUP($A97,My_Audit!$A:$A,My_Audit!R:R,""),
_xlfn.IFS(_xlpm.MyAuditVal&lt;&gt;"",UPPER(_xlpm.MyAuditVal),_xlpm.MacVal&lt;&gt;"",_xlpm.MacVal,_xlpm.CSVVal&lt;&gt;"",_xlpm.CSVVal
)),"")</f>
        <v/>
      </c>
      <c r="X97" t="str">
        <f>_xlfn.LET(
    _xlpm.MacVal, _xlfn.XLOOKUP($A97, Output_Mac!$A:$A, Output_Mac!AB:AB, ""),
    _xlpm.MyAuditVal, _xlfn.XLOOKUP($A97, My_Audit!$A:$A, My_Audit!N:N, ""),
    _xlfn.TEXTJOIN(", ", TRUE, _xlpm.MyAuditVal, _xlpm.MacVal)
)</f>
        <v/>
      </c>
    </row>
    <row r="98" spans="1:24">
      <c r="A98" s="2" t="str">
        <f>_xlfn.TEXTJOIN("",TRUE,Input!$B$2,ROW(My_Audit!A97))</f>
        <v>X97</v>
      </c>
      <c r="B98" s="2" t="str">
        <f>_xlfn.TEXTJOIN("-",TRUE,"ITD",Input!$A$2,A98)</f>
        <v>ITD-SHR-X97</v>
      </c>
      <c r="C98" s="2" t="str" cm="1">
        <f t="array" ref="C98">IFERROR(_xlfn.LET(
_xlpm.CSVVal,_xlfn.XLOOKUP($A98,CSV!$A:$A,CSV!B:B,""),
_xlpm.MacVal,_xlfn.XLOOKUP($A98,Output_Mac!$A:$A,Output_Mac!B:B,""),
_xlpm.MyAuditVal,_xlfn.XLOOKUP($A98,My_Audit!$A:$A,My_Audit!B:B,""),
_xlfn.IFS(_xlpm.MyAuditVal&lt;&gt;"",UPPER(_xlpm.MyAuditVal),_xlpm.MacVal&lt;&gt;"",_xlpm.MacVal,_xlpm.CSVVal&lt;&gt;"",_xlpm.CSVVal
)),"")</f>
        <v/>
      </c>
      <c r="D98" s="2" t="str" cm="1">
        <f t="array" ref="D98">IFERROR(_xlfn.LET(
_xlpm.CSVVal,_xlfn.XLOOKUP($A98,CSV!$A:$A,CSV!D:D,""),
_xlpm.MacVal,_xlfn.XLOOKUP($A98,Output_Mac!$A:$A,Output_Mac!C:C,""),
_xlpm.MyAuditVal,_xlfn.XLOOKUP($A98,My_Audit!$A:$A,My_Audit!C:C,""),
_xlfn.IFS(_xlpm.MyAuditVal&lt;&gt;"",_xlpm.MyAuditVal,_xlpm.MacVal&lt;&gt;"",_xlpm.MacVal,_xlpm.CSVVal&lt;&gt;"",_xlpm.CSVVal
)),"")</f>
        <v/>
      </c>
      <c r="E98" s="2" t="str">
        <f>_xlfn.XLOOKUP(A98,My_Audit!A:A,My_Audit!D:D,"")</f>
        <v/>
      </c>
      <c r="F98" s="2" t="str" cm="1">
        <f t="array" ref="F98">IFERROR(_xlfn.LET(
_xlpm.CSVVal,_xlfn.XLOOKUP($A98,CSV!$A:$A,CSV!F:F,""),
_xlpm.MacVal,_xlfn.XLOOKUP($A98,Output_Mac!$A:$A,Output_Mac!E:E,""),
_xlpm.MyAuditVal,_xlfn.XLOOKUP($A98,My_Audit!$A:$A,My_Audit!E:E,""),
_xlfn.IFS(_xlpm.MyAuditVal&lt;&gt;"",_xlpm.MyAuditVal,_xlpm.MacVal&lt;&gt;"",_xlpm.MacVal,_xlpm.CSVVal&lt;&gt;"",_xlpm.CSVVal
)),"")</f>
        <v/>
      </c>
      <c r="G98" s="2" t="str" cm="1">
        <f t="array" ref="G98">IFERROR(_xlfn.LET(
_xlpm.CSVVal,_xlfn.XLOOKUP($A98,CSV!$A:$A,CSV!G:G,""),
_xlpm.MacVal,_xlfn.XLOOKUP($A98,Output_Mac!$A:$A,Output_Mac!F:F,""),
_xlpm.MyAuditVal,_xlfn.XLOOKUP($A98,My_Audit!$A:$A,My_Audit!F:F,""),
_xlfn.IFS(_xlpm.MyAuditVal&lt;&gt;"",_xlpm.MyAuditVal,_xlpm.MacVal&lt;&gt;"",_xlpm.MacVal,_xlpm.CSVVal&lt;&gt;"",PROPER(_xlpm.CSVVal)
)),"")</f>
        <v/>
      </c>
      <c r="H98" s="2" t="str" cm="1">
        <f t="array" ref="H98">IFERROR(_xlfn.LET(
_xlpm.CSVVal,_xlfn.XLOOKUP($A98,CSV!$A:$A,CSV!H:H,""),
_xlpm.MacVal,_xlfn.XLOOKUP($A98,Output_Mac!$A:$A,Output_Mac!H:H,""),
_xlpm.MyAuditVal,_xlfn.XLOOKUP($A98,My_Audit!$A:$A,My_Audit!G:G,""),
_xlfn.IFS(_xlpm.MyAuditVal&lt;&gt;"",_xlpm.MyAuditVal,_xlpm.MacVal&lt;&gt;"",_xlpm.MacVal,_xlpm.CSVVal&lt;&gt;"",_xlpm.CSVVal
)),"")</f>
        <v/>
      </c>
      <c r="I98" s="2" t="str">
        <f>_xlfn.XLOOKUP(A98,Output_Mac!A:A,Output_Mac!I:I,"")</f>
        <v/>
      </c>
      <c r="J98" s="2" t="str" cm="1">
        <f t="array" ref="J98">IFERROR(_xlfn.LET(
_xlpm.CSVVal,_xlfn.XLOOKUP($A98,CSV!$A:$A,CSV!I:I,""),
_xlpm.MacVal,_xlfn.XLOOKUP($A98,Output_Mac!$A:$A,Output_Mac!J:J,""),
_xlpm.MyAuditVal,_xlfn.XLOOKUP($A98,My_Audit!$A:$A,My_Audit!I:I,""),
_xlfn.IFS(_xlpm.MyAuditVal&lt;&gt;"",UPPER(_xlpm.MyAuditVal),_xlpm.MacVal&lt;&gt;"",_xlpm.MacVal,_xlpm.CSVVal&lt;&gt;"",_xlpm.CSVVal
)),"")</f>
        <v/>
      </c>
      <c r="K98" s="2" t="str" cm="1">
        <f t="array" ref="K98">IFERROR(_xlfn.LET(
_xlpm.CSVVal,_xlfn.XLOOKUP($A98,CSV!$A:$A,CSV!K:K,""),
_xlpm.MacVal,_xlfn.XLOOKUP($A98,Output_Mac!$A:$A,Output_Mac!K:K,""),
_xlpm.MyAuditVal,_xlfn.XLOOKUP($A98,My_Audit!$A:$A,My_Audit!J:J,""),
_xlfn.IFS(_xlpm.MyAuditVal&lt;&gt;"",UPPER(_xlpm.MyAuditVal),_xlpm.MacVal&lt;&gt;"",_xlpm.MacVal,_xlpm.CSVVal&lt;&gt;"",_xlpm.CSVVal
)),"")</f>
        <v/>
      </c>
      <c r="L98" s="2" t="str" cm="1">
        <f t="array" ref="L98">IFERROR(_xlfn.LET(
_xlpm.CSVVal,_xlfn.XLOOKUP($A98,CSV!$A:$A,CSV!P:P,""),
_xlpm.MacVal,_xlfn.XLOOKUP($A98,Output_Mac!$A:$A,Output_Mac!L:L,""),
_xlpm.MyAuditVal,_xlfn.XLOOKUP($A98,My_Audit!$A:$A,My_Audit!K:K,""),
_xlfn.IFS(_xlpm.MyAuditVal&lt;&gt;"",UPPER(_xlpm.MyAuditVal),_xlpm.MacVal&lt;&gt;"",_xlpm.MacVal,_xlpm.CSVVal&lt;&gt;"",_xlpm.CSVVal
)),"")</f>
        <v/>
      </c>
      <c r="M98" s="2" t="str" cm="1">
        <f t="array" ref="M98">IFERROR(_xlfn.LET(
_xlpm.CSVVal,_xlfn.XLOOKUP($A98,CSV!$A:$A,CSV!Q:Q,""),
_xlpm.MacVal,_xlfn.XLOOKUP($A98,Output_Mac!$A:$A,Output_Mac!M:M,""),
_xlpm.MyAuditVal,_xlfn.XLOOKUP($A98,My_Audit!$A:$A,My_Audit!L:L,""),
_xlfn.IFS(_xlpm.MyAuditVal&lt;&gt;"",UPPER(_xlpm.MyAuditVal),_xlpm.MacVal&lt;&gt;"",_xlpm.MacVal,_xlpm.CSVVal&lt;&gt;"",_xlpm.CSVVal
)),"")</f>
        <v/>
      </c>
      <c r="O98" s="2" t="str">
        <f>_xlfn.LET(
    _xlpm.CSVVal, _xlfn.XLOOKUP($A98, CSV!$A:$A, CSV!AA:AA, ""),
    _xlpm.MacVal, _xlfn.XLOOKUP($A98, Output_Mac!$A:$A, Output_Mac!S:S, ""),
    _xlpm.MyAuditVal, _xlfn.XLOOKUP($A98, My_Audit!$A:$A, My_Audit!P:P, ""),
    _xlfn.TEXTJOIN(", ", TRUE, _xlpm.MyAuditVal, _xlpm.MacVal, _xlpm.CSVVal)
)</f>
        <v/>
      </c>
      <c r="P98" s="2" t="str" cm="1">
        <f t="array" ref="P98">IFERROR(_xlfn.LET(
_xlpm.CSVVal,_xlfn.XLOOKUP($A98,CSV!$A:$A,CSV!AB:AB,""),
_xlpm.MacVal,_xlfn.XLOOKUP($A98,Output_Mac!$A:$A,Output_Mac!T:T,""),
_xlpm.MyAuditVal,_xlfn.XLOOKUP($A98,My_Audit!$A:$A,My_Audit!Q:Q,""),
_xlfn.IFS(_xlpm.MyAuditVal&lt;&gt;"",UPPER(_xlpm.MyAuditVal),_xlpm.MacVal&lt;&gt;"",_xlpm.MacVal,_xlpm.CSVVal&lt;&gt;"",_xlpm.CSVVal
)),"No")</f>
        <v>No</v>
      </c>
      <c r="Q98" s="2" t="str" cm="1">
        <f t="array" ref="Q98">IFERROR(_xlfn.LET(
_xlpm.CSVVal,_xlfn.XLOOKUP($A98,CSV!$A:$A,CSV!AC:AC,""),
_xlpm.MacVal,_xlfn.XLOOKUP($A98,Output_Mac!$A:$A,Output_Mac!U:U,""),
_xlpm.MyAuditVal,_xlfn.XLOOKUP($A98,My_Audit!$A:$A,My_Audit!R:R,""),
_xlfn.IFS(_xlpm.MyAuditVal&lt;&gt;"",UPPER(_xlpm.MyAuditVal),_xlpm.MacVal&lt;&gt;"",_xlpm.MacVal,_xlpm.CSVVal&lt;&gt;"",_xlpm.CSVVal
)),"")</f>
        <v/>
      </c>
      <c r="X98" t="str">
        <f>_xlfn.LET(
    _xlpm.MacVal, _xlfn.XLOOKUP($A98, Output_Mac!$A:$A, Output_Mac!AB:AB, ""),
    _xlpm.MyAuditVal, _xlfn.XLOOKUP($A98, My_Audit!$A:$A, My_Audit!N:N, ""),
    _xlfn.TEXTJOIN(", ", TRUE, _xlpm.MyAuditVal, _xlpm.MacVal)
)</f>
        <v/>
      </c>
    </row>
    <row r="99" spans="1:24">
      <c r="A99" s="2" t="str">
        <f>_xlfn.TEXTJOIN("",TRUE,Input!$B$2,ROW(My_Audit!A98))</f>
        <v>X98</v>
      </c>
      <c r="B99" s="2" t="str">
        <f>_xlfn.TEXTJOIN("-",TRUE,"ITD",Input!$A$2,A99)</f>
        <v>ITD-SHR-X98</v>
      </c>
      <c r="C99" s="2" t="str" cm="1">
        <f t="array" ref="C99">IFERROR(_xlfn.LET(
_xlpm.CSVVal,_xlfn.XLOOKUP($A99,CSV!$A:$A,CSV!B:B,""),
_xlpm.MacVal,_xlfn.XLOOKUP($A99,Output_Mac!$A:$A,Output_Mac!B:B,""),
_xlpm.MyAuditVal,_xlfn.XLOOKUP($A99,My_Audit!$A:$A,My_Audit!B:B,""),
_xlfn.IFS(_xlpm.MyAuditVal&lt;&gt;"",UPPER(_xlpm.MyAuditVal),_xlpm.MacVal&lt;&gt;"",_xlpm.MacVal,_xlpm.CSVVal&lt;&gt;"",_xlpm.CSVVal
)),"")</f>
        <v/>
      </c>
      <c r="D99" s="2" t="str" cm="1">
        <f t="array" ref="D99">IFERROR(_xlfn.LET(
_xlpm.CSVVal,_xlfn.XLOOKUP($A99,CSV!$A:$A,CSV!D:D,""),
_xlpm.MacVal,_xlfn.XLOOKUP($A99,Output_Mac!$A:$A,Output_Mac!C:C,""),
_xlpm.MyAuditVal,_xlfn.XLOOKUP($A99,My_Audit!$A:$A,My_Audit!C:C,""),
_xlfn.IFS(_xlpm.MyAuditVal&lt;&gt;"",_xlpm.MyAuditVal,_xlpm.MacVal&lt;&gt;"",_xlpm.MacVal,_xlpm.CSVVal&lt;&gt;"",_xlpm.CSVVal
)),"")</f>
        <v/>
      </c>
      <c r="E99" s="2" t="str">
        <f>_xlfn.XLOOKUP(A99,My_Audit!A:A,My_Audit!D:D,"")</f>
        <v/>
      </c>
      <c r="F99" s="2" t="str" cm="1">
        <f t="array" ref="F99">IFERROR(_xlfn.LET(
_xlpm.CSVVal,_xlfn.XLOOKUP($A99,CSV!$A:$A,CSV!F:F,""),
_xlpm.MacVal,_xlfn.XLOOKUP($A99,Output_Mac!$A:$A,Output_Mac!E:E,""),
_xlpm.MyAuditVal,_xlfn.XLOOKUP($A99,My_Audit!$A:$A,My_Audit!E:E,""),
_xlfn.IFS(_xlpm.MyAuditVal&lt;&gt;"",_xlpm.MyAuditVal,_xlpm.MacVal&lt;&gt;"",_xlpm.MacVal,_xlpm.CSVVal&lt;&gt;"",_xlpm.CSVVal
)),"")</f>
        <v/>
      </c>
      <c r="G99" s="2" t="str" cm="1">
        <f t="array" ref="G99">IFERROR(_xlfn.LET(
_xlpm.CSVVal,_xlfn.XLOOKUP($A99,CSV!$A:$A,CSV!G:G,""),
_xlpm.MacVal,_xlfn.XLOOKUP($A99,Output_Mac!$A:$A,Output_Mac!F:F,""),
_xlpm.MyAuditVal,_xlfn.XLOOKUP($A99,My_Audit!$A:$A,My_Audit!F:F,""),
_xlfn.IFS(_xlpm.MyAuditVal&lt;&gt;"",_xlpm.MyAuditVal,_xlpm.MacVal&lt;&gt;"",_xlpm.MacVal,_xlpm.CSVVal&lt;&gt;"",PROPER(_xlpm.CSVVal)
)),"")</f>
        <v/>
      </c>
      <c r="H99" s="2" t="str" cm="1">
        <f t="array" ref="H99">IFERROR(_xlfn.LET(
_xlpm.CSVVal,_xlfn.XLOOKUP($A99,CSV!$A:$A,CSV!H:H,""),
_xlpm.MacVal,_xlfn.XLOOKUP($A99,Output_Mac!$A:$A,Output_Mac!H:H,""),
_xlpm.MyAuditVal,_xlfn.XLOOKUP($A99,My_Audit!$A:$A,My_Audit!G:G,""),
_xlfn.IFS(_xlpm.MyAuditVal&lt;&gt;"",_xlpm.MyAuditVal,_xlpm.MacVal&lt;&gt;"",_xlpm.MacVal,_xlpm.CSVVal&lt;&gt;"",_xlpm.CSVVal
)),"")</f>
        <v/>
      </c>
      <c r="I99" s="2" t="str">
        <f>_xlfn.XLOOKUP(A99,Output_Mac!A:A,Output_Mac!I:I,"")</f>
        <v/>
      </c>
      <c r="J99" s="2" t="str" cm="1">
        <f t="array" ref="J99">IFERROR(_xlfn.LET(
_xlpm.CSVVal,_xlfn.XLOOKUP($A99,CSV!$A:$A,CSV!I:I,""),
_xlpm.MacVal,_xlfn.XLOOKUP($A99,Output_Mac!$A:$A,Output_Mac!J:J,""),
_xlpm.MyAuditVal,_xlfn.XLOOKUP($A99,My_Audit!$A:$A,My_Audit!I:I,""),
_xlfn.IFS(_xlpm.MyAuditVal&lt;&gt;"",UPPER(_xlpm.MyAuditVal),_xlpm.MacVal&lt;&gt;"",_xlpm.MacVal,_xlpm.CSVVal&lt;&gt;"",_xlpm.CSVVal
)),"")</f>
        <v/>
      </c>
      <c r="K99" s="2" t="str" cm="1">
        <f t="array" ref="K99">IFERROR(_xlfn.LET(
_xlpm.CSVVal,_xlfn.XLOOKUP($A99,CSV!$A:$A,CSV!K:K,""),
_xlpm.MacVal,_xlfn.XLOOKUP($A99,Output_Mac!$A:$A,Output_Mac!K:K,""),
_xlpm.MyAuditVal,_xlfn.XLOOKUP($A99,My_Audit!$A:$A,My_Audit!J:J,""),
_xlfn.IFS(_xlpm.MyAuditVal&lt;&gt;"",UPPER(_xlpm.MyAuditVal),_xlpm.MacVal&lt;&gt;"",_xlpm.MacVal,_xlpm.CSVVal&lt;&gt;"",_xlpm.CSVVal
)),"")</f>
        <v/>
      </c>
      <c r="L99" s="2" t="str" cm="1">
        <f t="array" ref="L99">IFERROR(_xlfn.LET(
_xlpm.CSVVal,_xlfn.XLOOKUP($A99,CSV!$A:$A,CSV!P:P,""),
_xlpm.MacVal,_xlfn.XLOOKUP($A99,Output_Mac!$A:$A,Output_Mac!L:L,""),
_xlpm.MyAuditVal,_xlfn.XLOOKUP($A99,My_Audit!$A:$A,My_Audit!K:K,""),
_xlfn.IFS(_xlpm.MyAuditVal&lt;&gt;"",UPPER(_xlpm.MyAuditVal),_xlpm.MacVal&lt;&gt;"",_xlpm.MacVal,_xlpm.CSVVal&lt;&gt;"",_xlpm.CSVVal
)),"")</f>
        <v/>
      </c>
      <c r="M99" s="2" t="str" cm="1">
        <f t="array" ref="M99">IFERROR(_xlfn.LET(
_xlpm.CSVVal,_xlfn.XLOOKUP($A99,CSV!$A:$A,CSV!Q:Q,""),
_xlpm.MacVal,_xlfn.XLOOKUP($A99,Output_Mac!$A:$A,Output_Mac!M:M,""),
_xlpm.MyAuditVal,_xlfn.XLOOKUP($A99,My_Audit!$A:$A,My_Audit!L:L,""),
_xlfn.IFS(_xlpm.MyAuditVal&lt;&gt;"",UPPER(_xlpm.MyAuditVal),_xlpm.MacVal&lt;&gt;"",_xlpm.MacVal,_xlpm.CSVVal&lt;&gt;"",_xlpm.CSVVal
)),"")</f>
        <v/>
      </c>
      <c r="O99" s="2" t="str">
        <f>_xlfn.LET(
    _xlpm.CSVVal, _xlfn.XLOOKUP($A99, CSV!$A:$A, CSV!AA:AA, ""),
    _xlpm.MacVal, _xlfn.XLOOKUP($A99, Output_Mac!$A:$A, Output_Mac!S:S, ""),
    _xlpm.MyAuditVal, _xlfn.XLOOKUP($A99, My_Audit!$A:$A, My_Audit!P:P, ""),
    _xlfn.TEXTJOIN(", ", TRUE, _xlpm.MyAuditVal, _xlpm.MacVal, _xlpm.CSVVal)
)</f>
        <v/>
      </c>
      <c r="P99" s="2" t="str" cm="1">
        <f t="array" ref="P99">IFERROR(_xlfn.LET(
_xlpm.CSVVal,_xlfn.XLOOKUP($A99,CSV!$A:$A,CSV!AB:AB,""),
_xlpm.MacVal,_xlfn.XLOOKUP($A99,Output_Mac!$A:$A,Output_Mac!T:T,""),
_xlpm.MyAuditVal,_xlfn.XLOOKUP($A99,My_Audit!$A:$A,My_Audit!Q:Q,""),
_xlfn.IFS(_xlpm.MyAuditVal&lt;&gt;"",UPPER(_xlpm.MyAuditVal),_xlpm.MacVal&lt;&gt;"",_xlpm.MacVal,_xlpm.CSVVal&lt;&gt;"",_xlpm.CSVVal
)),"No")</f>
        <v>No</v>
      </c>
      <c r="Q99" s="2" t="str" cm="1">
        <f t="array" ref="Q99">IFERROR(_xlfn.LET(
_xlpm.CSVVal,_xlfn.XLOOKUP($A99,CSV!$A:$A,CSV!AC:AC,""),
_xlpm.MacVal,_xlfn.XLOOKUP($A99,Output_Mac!$A:$A,Output_Mac!U:U,""),
_xlpm.MyAuditVal,_xlfn.XLOOKUP($A99,My_Audit!$A:$A,My_Audit!R:R,""),
_xlfn.IFS(_xlpm.MyAuditVal&lt;&gt;"",UPPER(_xlpm.MyAuditVal),_xlpm.MacVal&lt;&gt;"",_xlpm.MacVal,_xlpm.CSVVal&lt;&gt;"",_xlpm.CSVVal
)),"")</f>
        <v/>
      </c>
      <c r="X99" t="str">
        <f>_xlfn.LET(
    _xlpm.MacVal, _xlfn.XLOOKUP($A99, Output_Mac!$A:$A, Output_Mac!AB:AB, ""),
    _xlpm.MyAuditVal, _xlfn.XLOOKUP($A99, My_Audit!$A:$A, My_Audit!N:N, ""),
    _xlfn.TEXTJOIN(", ", TRUE, _xlpm.MyAuditVal, _xlpm.MacVal)
)</f>
        <v/>
      </c>
    </row>
    <row r="100" spans="1:24">
      <c r="A100" s="2" t="str">
        <f>_xlfn.TEXTJOIN("",TRUE,Input!$B$2,ROW(My_Audit!A99))</f>
        <v>X99</v>
      </c>
      <c r="B100" s="2" t="str">
        <f>_xlfn.TEXTJOIN("-",TRUE,"ITD",Input!$A$2,A100)</f>
        <v>ITD-SHR-X99</v>
      </c>
      <c r="C100" s="2" t="str" cm="1">
        <f t="array" ref="C100">IFERROR(_xlfn.LET(
_xlpm.CSVVal,_xlfn.XLOOKUP($A100,CSV!$A:$A,CSV!B:B,""),
_xlpm.MacVal,_xlfn.XLOOKUP($A100,Output_Mac!$A:$A,Output_Mac!B:B,""),
_xlpm.MyAuditVal,_xlfn.XLOOKUP($A100,My_Audit!$A:$A,My_Audit!B:B,""),
_xlfn.IFS(_xlpm.MyAuditVal&lt;&gt;"",UPPER(_xlpm.MyAuditVal),_xlpm.MacVal&lt;&gt;"",_xlpm.MacVal,_xlpm.CSVVal&lt;&gt;"",_xlpm.CSVVal
)),"")</f>
        <v/>
      </c>
      <c r="D100" s="2" t="str" cm="1">
        <f t="array" ref="D100">IFERROR(_xlfn.LET(
_xlpm.CSVVal,_xlfn.XLOOKUP($A100,CSV!$A:$A,CSV!D:D,""),
_xlpm.MacVal,_xlfn.XLOOKUP($A100,Output_Mac!$A:$A,Output_Mac!C:C,""),
_xlpm.MyAuditVal,_xlfn.XLOOKUP($A100,My_Audit!$A:$A,My_Audit!C:C,""),
_xlfn.IFS(_xlpm.MyAuditVal&lt;&gt;"",_xlpm.MyAuditVal,_xlpm.MacVal&lt;&gt;"",_xlpm.MacVal,_xlpm.CSVVal&lt;&gt;"",_xlpm.CSVVal
)),"")</f>
        <v/>
      </c>
      <c r="E100" s="2" t="str">
        <f>_xlfn.XLOOKUP(A100,My_Audit!A:A,My_Audit!D:D,"")</f>
        <v/>
      </c>
      <c r="F100" s="2" t="str" cm="1">
        <f t="array" ref="F100">IFERROR(_xlfn.LET(
_xlpm.CSVVal,_xlfn.XLOOKUP($A100,CSV!$A:$A,CSV!F:F,""),
_xlpm.MacVal,_xlfn.XLOOKUP($A100,Output_Mac!$A:$A,Output_Mac!E:E,""),
_xlpm.MyAuditVal,_xlfn.XLOOKUP($A100,My_Audit!$A:$A,My_Audit!E:E,""),
_xlfn.IFS(_xlpm.MyAuditVal&lt;&gt;"",_xlpm.MyAuditVal,_xlpm.MacVal&lt;&gt;"",_xlpm.MacVal,_xlpm.CSVVal&lt;&gt;"",_xlpm.CSVVal
)),"")</f>
        <v/>
      </c>
      <c r="G100" s="2" t="str" cm="1">
        <f t="array" ref="G100">IFERROR(_xlfn.LET(
_xlpm.CSVVal,_xlfn.XLOOKUP($A100,CSV!$A:$A,CSV!G:G,""),
_xlpm.MacVal,_xlfn.XLOOKUP($A100,Output_Mac!$A:$A,Output_Mac!F:F,""),
_xlpm.MyAuditVal,_xlfn.XLOOKUP($A100,My_Audit!$A:$A,My_Audit!F:F,""),
_xlfn.IFS(_xlpm.MyAuditVal&lt;&gt;"",_xlpm.MyAuditVal,_xlpm.MacVal&lt;&gt;"",_xlpm.MacVal,_xlpm.CSVVal&lt;&gt;"",PROPER(_xlpm.CSVVal)
)),"")</f>
        <v/>
      </c>
      <c r="H100" s="2" t="str" cm="1">
        <f t="array" ref="H100">IFERROR(_xlfn.LET(
_xlpm.CSVVal,_xlfn.XLOOKUP($A100,CSV!$A:$A,CSV!H:H,""),
_xlpm.MacVal,_xlfn.XLOOKUP($A100,Output_Mac!$A:$A,Output_Mac!H:H,""),
_xlpm.MyAuditVal,_xlfn.XLOOKUP($A100,My_Audit!$A:$A,My_Audit!G:G,""),
_xlfn.IFS(_xlpm.MyAuditVal&lt;&gt;"",_xlpm.MyAuditVal,_xlpm.MacVal&lt;&gt;"",_xlpm.MacVal,_xlpm.CSVVal&lt;&gt;"",_xlpm.CSVVal
)),"")</f>
        <v/>
      </c>
      <c r="I100" s="2" t="str">
        <f>_xlfn.XLOOKUP(A100,Output_Mac!A:A,Output_Mac!I:I,"")</f>
        <v/>
      </c>
      <c r="J100" s="2" t="str" cm="1">
        <f t="array" ref="J100">IFERROR(_xlfn.LET(
_xlpm.CSVVal,_xlfn.XLOOKUP($A100,CSV!$A:$A,CSV!I:I,""),
_xlpm.MacVal,_xlfn.XLOOKUP($A100,Output_Mac!$A:$A,Output_Mac!J:J,""),
_xlpm.MyAuditVal,_xlfn.XLOOKUP($A100,My_Audit!$A:$A,My_Audit!I:I,""),
_xlfn.IFS(_xlpm.MyAuditVal&lt;&gt;"",UPPER(_xlpm.MyAuditVal),_xlpm.MacVal&lt;&gt;"",_xlpm.MacVal,_xlpm.CSVVal&lt;&gt;"",_xlpm.CSVVal
)),"")</f>
        <v/>
      </c>
      <c r="K100" s="2" t="str" cm="1">
        <f t="array" ref="K100">IFERROR(_xlfn.LET(
_xlpm.CSVVal,_xlfn.XLOOKUP($A100,CSV!$A:$A,CSV!K:K,""),
_xlpm.MacVal,_xlfn.XLOOKUP($A100,Output_Mac!$A:$A,Output_Mac!K:K,""),
_xlpm.MyAuditVal,_xlfn.XLOOKUP($A100,My_Audit!$A:$A,My_Audit!J:J,""),
_xlfn.IFS(_xlpm.MyAuditVal&lt;&gt;"",UPPER(_xlpm.MyAuditVal),_xlpm.MacVal&lt;&gt;"",_xlpm.MacVal,_xlpm.CSVVal&lt;&gt;"",_xlpm.CSVVal
)),"")</f>
        <v/>
      </c>
      <c r="L100" s="2" t="str" cm="1">
        <f t="array" ref="L100">IFERROR(_xlfn.LET(
_xlpm.CSVVal,_xlfn.XLOOKUP($A100,CSV!$A:$A,CSV!P:P,""),
_xlpm.MacVal,_xlfn.XLOOKUP($A100,Output_Mac!$A:$A,Output_Mac!L:L,""),
_xlpm.MyAuditVal,_xlfn.XLOOKUP($A100,My_Audit!$A:$A,My_Audit!K:K,""),
_xlfn.IFS(_xlpm.MyAuditVal&lt;&gt;"",UPPER(_xlpm.MyAuditVal),_xlpm.MacVal&lt;&gt;"",_xlpm.MacVal,_xlpm.CSVVal&lt;&gt;"",_xlpm.CSVVal
)),"")</f>
        <v/>
      </c>
      <c r="M100" s="2" t="str" cm="1">
        <f t="array" ref="M100">IFERROR(_xlfn.LET(
_xlpm.CSVVal,_xlfn.XLOOKUP($A100,CSV!$A:$A,CSV!Q:Q,""),
_xlpm.MacVal,_xlfn.XLOOKUP($A100,Output_Mac!$A:$A,Output_Mac!M:M,""),
_xlpm.MyAuditVal,_xlfn.XLOOKUP($A100,My_Audit!$A:$A,My_Audit!L:L,""),
_xlfn.IFS(_xlpm.MyAuditVal&lt;&gt;"",UPPER(_xlpm.MyAuditVal),_xlpm.MacVal&lt;&gt;"",_xlpm.MacVal,_xlpm.CSVVal&lt;&gt;"",_xlpm.CSVVal
)),"")</f>
        <v/>
      </c>
      <c r="O100" s="2" t="str">
        <f>_xlfn.LET(
    _xlpm.CSVVal, _xlfn.XLOOKUP($A100, CSV!$A:$A, CSV!AA:AA, ""),
    _xlpm.MacVal, _xlfn.XLOOKUP($A100, Output_Mac!$A:$A, Output_Mac!S:S, ""),
    _xlpm.MyAuditVal, _xlfn.XLOOKUP($A100, My_Audit!$A:$A, My_Audit!P:P, ""),
    _xlfn.TEXTJOIN(", ", TRUE, _xlpm.MyAuditVal, _xlpm.MacVal, _xlpm.CSVVal)
)</f>
        <v/>
      </c>
      <c r="P100" s="2" t="str" cm="1">
        <f t="array" ref="P100">IFERROR(_xlfn.LET(
_xlpm.CSVVal,_xlfn.XLOOKUP($A100,CSV!$A:$A,CSV!AB:AB,""),
_xlpm.MacVal,_xlfn.XLOOKUP($A100,Output_Mac!$A:$A,Output_Mac!T:T,""),
_xlpm.MyAuditVal,_xlfn.XLOOKUP($A100,My_Audit!$A:$A,My_Audit!Q:Q,""),
_xlfn.IFS(_xlpm.MyAuditVal&lt;&gt;"",UPPER(_xlpm.MyAuditVal),_xlpm.MacVal&lt;&gt;"",_xlpm.MacVal,_xlpm.CSVVal&lt;&gt;"",_xlpm.CSVVal
)),"No")</f>
        <v>No</v>
      </c>
      <c r="Q100" s="2" t="str" cm="1">
        <f t="array" ref="Q100">IFERROR(_xlfn.LET(
_xlpm.CSVVal,_xlfn.XLOOKUP($A100,CSV!$A:$A,CSV!AC:AC,""),
_xlpm.MacVal,_xlfn.XLOOKUP($A100,Output_Mac!$A:$A,Output_Mac!U:U,""),
_xlpm.MyAuditVal,_xlfn.XLOOKUP($A100,My_Audit!$A:$A,My_Audit!R:R,""),
_xlfn.IFS(_xlpm.MyAuditVal&lt;&gt;"",UPPER(_xlpm.MyAuditVal),_xlpm.MacVal&lt;&gt;"",_xlpm.MacVal,_xlpm.CSVVal&lt;&gt;"",_xlpm.CSVVal
)),"")</f>
        <v/>
      </c>
      <c r="X100" t="str">
        <f>_xlfn.LET(
    _xlpm.MacVal, _xlfn.XLOOKUP($A100, Output_Mac!$A:$A, Output_Mac!AB:AB, ""),
    _xlpm.MyAuditVal, _xlfn.XLOOKUP($A100, My_Audit!$A:$A, My_Audit!N:N, ""),
    _xlfn.TEXTJOIN(", ", TRUE, _xlpm.MyAuditVal, _xlpm.MacVal)
)</f>
        <v/>
      </c>
    </row>
    <row r="101" spans="1:24">
      <c r="A101" s="2" t="str">
        <f>_xlfn.TEXTJOIN("",TRUE,Input!$B$2,ROW(My_Audit!A100))</f>
        <v>X100</v>
      </c>
      <c r="B101" s="2" t="str">
        <f>_xlfn.TEXTJOIN("-",TRUE,"ITD",Input!$A$2,A101)</f>
        <v>ITD-SHR-X100</v>
      </c>
      <c r="C101" s="2" t="str" cm="1">
        <f t="array" ref="C101">IFERROR(_xlfn.LET(
_xlpm.CSVVal,_xlfn.XLOOKUP($A101,CSV!$A:$A,CSV!B:B,""),
_xlpm.MacVal,_xlfn.XLOOKUP($A101,Output_Mac!$A:$A,Output_Mac!B:B,""),
_xlpm.MyAuditVal,_xlfn.XLOOKUP($A101,My_Audit!$A:$A,My_Audit!B:B,""),
_xlfn.IFS(_xlpm.MyAuditVal&lt;&gt;"",UPPER(_xlpm.MyAuditVal),_xlpm.MacVal&lt;&gt;"",_xlpm.MacVal,_xlpm.CSVVal&lt;&gt;"",_xlpm.CSVVal
)),"")</f>
        <v/>
      </c>
      <c r="D101" s="2" t="str" cm="1">
        <f t="array" ref="D101">IFERROR(_xlfn.LET(
_xlpm.CSVVal,_xlfn.XLOOKUP($A101,CSV!$A:$A,CSV!D:D,""),
_xlpm.MacVal,_xlfn.XLOOKUP($A101,Output_Mac!$A:$A,Output_Mac!C:C,""),
_xlpm.MyAuditVal,_xlfn.XLOOKUP($A101,My_Audit!$A:$A,My_Audit!C:C,""),
_xlfn.IFS(_xlpm.MyAuditVal&lt;&gt;"",_xlpm.MyAuditVal,_xlpm.MacVal&lt;&gt;"",_xlpm.MacVal,_xlpm.CSVVal&lt;&gt;"",_xlpm.CSVVal
)),"")</f>
        <v/>
      </c>
      <c r="E101" s="2" t="str">
        <f>_xlfn.XLOOKUP(A101,My_Audit!A:A,My_Audit!D:D,"")</f>
        <v/>
      </c>
      <c r="F101" s="2" t="str" cm="1">
        <f t="array" ref="F101">IFERROR(_xlfn.LET(
_xlpm.CSVVal,_xlfn.XLOOKUP($A101,CSV!$A:$A,CSV!F:F,""),
_xlpm.MacVal,_xlfn.XLOOKUP($A101,Output_Mac!$A:$A,Output_Mac!E:E,""),
_xlpm.MyAuditVal,_xlfn.XLOOKUP($A101,My_Audit!$A:$A,My_Audit!E:E,""),
_xlfn.IFS(_xlpm.MyAuditVal&lt;&gt;"",_xlpm.MyAuditVal,_xlpm.MacVal&lt;&gt;"",_xlpm.MacVal,_xlpm.CSVVal&lt;&gt;"",_xlpm.CSVVal
)),"")</f>
        <v/>
      </c>
      <c r="G101" s="2" t="str" cm="1">
        <f t="array" ref="G101">IFERROR(_xlfn.LET(
_xlpm.CSVVal,_xlfn.XLOOKUP($A101,CSV!$A:$A,CSV!G:G,""),
_xlpm.MacVal,_xlfn.XLOOKUP($A101,Output_Mac!$A:$A,Output_Mac!F:F,""),
_xlpm.MyAuditVal,_xlfn.XLOOKUP($A101,My_Audit!$A:$A,My_Audit!F:F,""),
_xlfn.IFS(_xlpm.MyAuditVal&lt;&gt;"",_xlpm.MyAuditVal,_xlpm.MacVal&lt;&gt;"",_xlpm.MacVal,_xlpm.CSVVal&lt;&gt;"",PROPER(_xlpm.CSVVal)
)),"")</f>
        <v/>
      </c>
      <c r="H101" s="2" t="str" cm="1">
        <f t="array" ref="H101">IFERROR(_xlfn.LET(
_xlpm.CSVVal,_xlfn.XLOOKUP($A101,CSV!$A:$A,CSV!H:H,""),
_xlpm.MacVal,_xlfn.XLOOKUP($A101,Output_Mac!$A:$A,Output_Mac!H:H,""),
_xlpm.MyAuditVal,_xlfn.XLOOKUP($A101,My_Audit!$A:$A,My_Audit!G:G,""),
_xlfn.IFS(_xlpm.MyAuditVal&lt;&gt;"",_xlpm.MyAuditVal,_xlpm.MacVal&lt;&gt;"",_xlpm.MacVal,_xlpm.CSVVal&lt;&gt;"",_xlpm.CSVVal
)),"")</f>
        <v/>
      </c>
      <c r="I101" s="2" t="str">
        <f>_xlfn.XLOOKUP(A101,Output_Mac!A:A,Output_Mac!I:I,"")</f>
        <v/>
      </c>
      <c r="J101" s="2" t="str" cm="1">
        <f t="array" ref="J101">IFERROR(_xlfn.LET(
_xlpm.CSVVal,_xlfn.XLOOKUP($A101,CSV!$A:$A,CSV!I:I,""),
_xlpm.MacVal,_xlfn.XLOOKUP($A101,Output_Mac!$A:$A,Output_Mac!J:J,""),
_xlpm.MyAuditVal,_xlfn.XLOOKUP($A101,My_Audit!$A:$A,My_Audit!I:I,""),
_xlfn.IFS(_xlpm.MyAuditVal&lt;&gt;"",UPPER(_xlpm.MyAuditVal),_xlpm.MacVal&lt;&gt;"",_xlpm.MacVal,_xlpm.CSVVal&lt;&gt;"",_xlpm.CSVVal
)),"")</f>
        <v/>
      </c>
      <c r="K101" s="2" t="str" cm="1">
        <f t="array" ref="K101">IFERROR(_xlfn.LET(
_xlpm.CSVVal,_xlfn.XLOOKUP($A101,CSV!$A:$A,CSV!K:K,""),
_xlpm.MacVal,_xlfn.XLOOKUP($A101,Output_Mac!$A:$A,Output_Mac!K:K,""),
_xlpm.MyAuditVal,_xlfn.XLOOKUP($A101,My_Audit!$A:$A,My_Audit!J:J,""),
_xlfn.IFS(_xlpm.MyAuditVal&lt;&gt;"",UPPER(_xlpm.MyAuditVal),_xlpm.MacVal&lt;&gt;"",_xlpm.MacVal,_xlpm.CSVVal&lt;&gt;"",_xlpm.CSVVal
)),"")</f>
        <v/>
      </c>
      <c r="L101" s="2" t="str" cm="1">
        <f t="array" ref="L101">IFERROR(_xlfn.LET(
_xlpm.CSVVal,_xlfn.XLOOKUP($A101,CSV!$A:$A,CSV!P:P,""),
_xlpm.MacVal,_xlfn.XLOOKUP($A101,Output_Mac!$A:$A,Output_Mac!L:L,""),
_xlpm.MyAuditVal,_xlfn.XLOOKUP($A101,My_Audit!$A:$A,My_Audit!K:K,""),
_xlfn.IFS(_xlpm.MyAuditVal&lt;&gt;"",UPPER(_xlpm.MyAuditVal),_xlpm.MacVal&lt;&gt;"",_xlpm.MacVal,_xlpm.CSVVal&lt;&gt;"",_xlpm.CSVVal
)),"")</f>
        <v/>
      </c>
      <c r="M101" s="2" t="str" cm="1">
        <f t="array" ref="M101">IFERROR(_xlfn.LET(
_xlpm.CSVVal,_xlfn.XLOOKUP($A101,CSV!$A:$A,CSV!Q:Q,""),
_xlpm.MacVal,_xlfn.XLOOKUP($A101,Output_Mac!$A:$A,Output_Mac!M:M,""),
_xlpm.MyAuditVal,_xlfn.XLOOKUP($A101,My_Audit!$A:$A,My_Audit!L:L,""),
_xlfn.IFS(_xlpm.MyAuditVal&lt;&gt;"",UPPER(_xlpm.MyAuditVal),_xlpm.MacVal&lt;&gt;"",_xlpm.MacVal,_xlpm.CSVVal&lt;&gt;"",_xlpm.CSVVal
)),"")</f>
        <v/>
      </c>
      <c r="O101" s="2" t="str">
        <f>_xlfn.LET(
    _xlpm.CSVVal, _xlfn.XLOOKUP($A101, CSV!$A:$A, CSV!AA:AA, ""),
    _xlpm.MacVal, _xlfn.XLOOKUP($A101, Output_Mac!$A:$A, Output_Mac!S:S, ""),
    _xlpm.MyAuditVal, _xlfn.XLOOKUP($A101, My_Audit!$A:$A, My_Audit!P:P, ""),
    _xlfn.TEXTJOIN(", ", TRUE, _xlpm.MyAuditVal, _xlpm.MacVal, _xlpm.CSVVal)
)</f>
        <v/>
      </c>
      <c r="P101" s="2" t="str" cm="1">
        <f t="array" ref="P101">IFERROR(_xlfn.LET(
_xlpm.CSVVal,_xlfn.XLOOKUP($A101,CSV!$A:$A,CSV!AB:AB,""),
_xlpm.MacVal,_xlfn.XLOOKUP($A101,Output_Mac!$A:$A,Output_Mac!T:T,""),
_xlpm.MyAuditVal,_xlfn.XLOOKUP($A101,My_Audit!$A:$A,My_Audit!Q:Q,""),
_xlfn.IFS(_xlpm.MyAuditVal&lt;&gt;"",UPPER(_xlpm.MyAuditVal),_xlpm.MacVal&lt;&gt;"",_xlpm.MacVal,_xlpm.CSVVal&lt;&gt;"",_xlpm.CSVVal
)),"No")</f>
        <v>No</v>
      </c>
      <c r="Q101" s="2" t="str" cm="1">
        <f t="array" ref="Q101">IFERROR(_xlfn.LET(
_xlpm.CSVVal,_xlfn.XLOOKUP($A101,CSV!$A:$A,CSV!AC:AC,""),
_xlpm.MacVal,_xlfn.XLOOKUP($A101,Output_Mac!$A:$A,Output_Mac!U:U,""),
_xlpm.MyAuditVal,_xlfn.XLOOKUP($A101,My_Audit!$A:$A,My_Audit!R:R,""),
_xlfn.IFS(_xlpm.MyAuditVal&lt;&gt;"",UPPER(_xlpm.MyAuditVal),_xlpm.MacVal&lt;&gt;"",_xlpm.MacVal,_xlpm.CSVVal&lt;&gt;"",_xlpm.CSVVal
)),"")</f>
        <v/>
      </c>
      <c r="X101" t="str">
        <f>_xlfn.LET(
    _xlpm.MacVal, _xlfn.XLOOKUP($A101, Output_Mac!$A:$A, Output_Mac!AB:AB, ""),
    _xlpm.MyAuditVal, _xlfn.XLOOKUP($A101, My_Audit!$A:$A, My_Audit!N:N, ""),
    _xlfn.TEXTJOIN(", ", TRUE, _xlpm.MyAuditVal, _xlpm.MacVal)
)</f>
        <v/>
      </c>
    </row>
    <row r="102" spans="1:24">
      <c r="A102" s="2" t="str">
        <f>_xlfn.TEXTJOIN("",TRUE,Input!$B$2,ROW(My_Audit!A101))</f>
        <v>X101</v>
      </c>
      <c r="B102" s="2" t="str">
        <f>_xlfn.TEXTJOIN("-",TRUE,"ITD",Input!$A$2,A102)</f>
        <v>ITD-SHR-X101</v>
      </c>
      <c r="C102" s="2" t="str" cm="1">
        <f t="array" ref="C102">IFERROR(_xlfn.LET(
_xlpm.CSVVal,_xlfn.XLOOKUP($A102,CSV!$A:$A,CSV!B:B,""),
_xlpm.MacVal,_xlfn.XLOOKUP($A102,Output_Mac!$A:$A,Output_Mac!B:B,""),
_xlpm.MyAuditVal,_xlfn.XLOOKUP($A102,My_Audit!$A:$A,My_Audit!B:B,""),
_xlfn.IFS(_xlpm.MyAuditVal&lt;&gt;"",UPPER(_xlpm.MyAuditVal),_xlpm.MacVal&lt;&gt;"",_xlpm.MacVal,_xlpm.CSVVal&lt;&gt;"",_xlpm.CSVVal
)),"")</f>
        <v/>
      </c>
      <c r="D102" s="2" t="str" cm="1">
        <f t="array" ref="D102">IFERROR(_xlfn.LET(
_xlpm.CSVVal,_xlfn.XLOOKUP($A102,CSV!$A:$A,CSV!D:D,""),
_xlpm.MacVal,_xlfn.XLOOKUP($A102,Output_Mac!$A:$A,Output_Mac!C:C,""),
_xlpm.MyAuditVal,_xlfn.XLOOKUP($A102,My_Audit!$A:$A,My_Audit!C:C,""),
_xlfn.IFS(_xlpm.MyAuditVal&lt;&gt;"",_xlpm.MyAuditVal,_xlpm.MacVal&lt;&gt;"",_xlpm.MacVal,_xlpm.CSVVal&lt;&gt;"",_xlpm.CSVVal
)),"")</f>
        <v/>
      </c>
      <c r="E102" s="2" t="str">
        <f>_xlfn.XLOOKUP(A102,My_Audit!A:A,My_Audit!D:D,"")</f>
        <v/>
      </c>
      <c r="F102" s="2" t="str" cm="1">
        <f t="array" ref="F102">IFERROR(_xlfn.LET(
_xlpm.CSVVal,_xlfn.XLOOKUP($A102,CSV!$A:$A,CSV!F:F,""),
_xlpm.MacVal,_xlfn.XLOOKUP($A102,Output_Mac!$A:$A,Output_Mac!E:E,""),
_xlpm.MyAuditVal,_xlfn.XLOOKUP($A102,My_Audit!$A:$A,My_Audit!E:E,""),
_xlfn.IFS(_xlpm.MyAuditVal&lt;&gt;"",_xlpm.MyAuditVal,_xlpm.MacVal&lt;&gt;"",_xlpm.MacVal,_xlpm.CSVVal&lt;&gt;"",_xlpm.CSVVal
)),"")</f>
        <v/>
      </c>
      <c r="G102" s="2" t="str" cm="1">
        <f t="array" ref="G102">IFERROR(_xlfn.LET(
_xlpm.CSVVal,_xlfn.XLOOKUP($A102,CSV!$A:$A,CSV!G:G,""),
_xlpm.MacVal,_xlfn.XLOOKUP($A102,Output_Mac!$A:$A,Output_Mac!F:F,""),
_xlpm.MyAuditVal,_xlfn.XLOOKUP($A102,My_Audit!$A:$A,My_Audit!F:F,""),
_xlfn.IFS(_xlpm.MyAuditVal&lt;&gt;"",_xlpm.MyAuditVal,_xlpm.MacVal&lt;&gt;"",_xlpm.MacVal,_xlpm.CSVVal&lt;&gt;"",PROPER(_xlpm.CSVVal)
)),"")</f>
        <v/>
      </c>
      <c r="H102" s="2" t="str" cm="1">
        <f t="array" ref="H102">IFERROR(_xlfn.LET(
_xlpm.CSVVal,_xlfn.XLOOKUP($A102,CSV!$A:$A,CSV!H:H,""),
_xlpm.MacVal,_xlfn.XLOOKUP($A102,Output_Mac!$A:$A,Output_Mac!H:H,""),
_xlpm.MyAuditVal,_xlfn.XLOOKUP($A102,My_Audit!$A:$A,My_Audit!G:G,""),
_xlfn.IFS(_xlpm.MyAuditVal&lt;&gt;"",_xlpm.MyAuditVal,_xlpm.MacVal&lt;&gt;"",_xlpm.MacVal,_xlpm.CSVVal&lt;&gt;"",_xlpm.CSVVal
)),"")</f>
        <v/>
      </c>
      <c r="I102" s="2" t="str">
        <f>_xlfn.XLOOKUP(A102,Output_Mac!A:A,Output_Mac!I:I,"")</f>
        <v/>
      </c>
      <c r="J102" s="2" t="str" cm="1">
        <f t="array" ref="J102">IFERROR(_xlfn.LET(
_xlpm.CSVVal,_xlfn.XLOOKUP($A102,CSV!$A:$A,CSV!I:I,""),
_xlpm.MacVal,_xlfn.XLOOKUP($A102,Output_Mac!$A:$A,Output_Mac!J:J,""),
_xlpm.MyAuditVal,_xlfn.XLOOKUP($A102,My_Audit!$A:$A,My_Audit!I:I,""),
_xlfn.IFS(_xlpm.MyAuditVal&lt;&gt;"",UPPER(_xlpm.MyAuditVal),_xlpm.MacVal&lt;&gt;"",_xlpm.MacVal,_xlpm.CSVVal&lt;&gt;"",_xlpm.CSVVal
)),"")</f>
        <v/>
      </c>
      <c r="K102" s="2" t="str" cm="1">
        <f t="array" ref="K102">IFERROR(_xlfn.LET(
_xlpm.CSVVal,_xlfn.XLOOKUP($A102,CSV!$A:$A,CSV!K:K,""),
_xlpm.MacVal,_xlfn.XLOOKUP($A102,Output_Mac!$A:$A,Output_Mac!K:K,""),
_xlpm.MyAuditVal,_xlfn.XLOOKUP($A102,My_Audit!$A:$A,My_Audit!J:J,""),
_xlfn.IFS(_xlpm.MyAuditVal&lt;&gt;"",UPPER(_xlpm.MyAuditVal),_xlpm.MacVal&lt;&gt;"",_xlpm.MacVal,_xlpm.CSVVal&lt;&gt;"",_xlpm.CSVVal
)),"")</f>
        <v/>
      </c>
      <c r="L102" s="2" t="str" cm="1">
        <f t="array" ref="L102">IFERROR(_xlfn.LET(
_xlpm.CSVVal,_xlfn.XLOOKUP($A102,CSV!$A:$A,CSV!P:P,""),
_xlpm.MacVal,_xlfn.XLOOKUP($A102,Output_Mac!$A:$A,Output_Mac!L:L,""),
_xlpm.MyAuditVal,_xlfn.XLOOKUP($A102,My_Audit!$A:$A,My_Audit!K:K,""),
_xlfn.IFS(_xlpm.MyAuditVal&lt;&gt;"",UPPER(_xlpm.MyAuditVal),_xlpm.MacVal&lt;&gt;"",_xlpm.MacVal,_xlpm.CSVVal&lt;&gt;"",_xlpm.CSVVal
)),"")</f>
        <v/>
      </c>
      <c r="M102" s="2" t="str" cm="1">
        <f t="array" ref="M102">IFERROR(_xlfn.LET(
_xlpm.CSVVal,_xlfn.XLOOKUP($A102,CSV!$A:$A,CSV!Q:Q,""),
_xlpm.MacVal,_xlfn.XLOOKUP($A102,Output_Mac!$A:$A,Output_Mac!M:M,""),
_xlpm.MyAuditVal,_xlfn.XLOOKUP($A102,My_Audit!$A:$A,My_Audit!L:L,""),
_xlfn.IFS(_xlpm.MyAuditVal&lt;&gt;"",UPPER(_xlpm.MyAuditVal),_xlpm.MacVal&lt;&gt;"",_xlpm.MacVal,_xlpm.CSVVal&lt;&gt;"",_xlpm.CSVVal
)),"")</f>
        <v/>
      </c>
      <c r="O102" s="2" t="str">
        <f>_xlfn.LET(
    _xlpm.CSVVal, _xlfn.XLOOKUP($A102, CSV!$A:$A, CSV!AA:AA, ""),
    _xlpm.MacVal, _xlfn.XLOOKUP($A102, Output_Mac!$A:$A, Output_Mac!S:S, ""),
    _xlpm.MyAuditVal, _xlfn.XLOOKUP($A102, My_Audit!$A:$A, My_Audit!P:P, ""),
    _xlfn.TEXTJOIN(", ", TRUE, _xlpm.MyAuditVal, _xlpm.MacVal, _xlpm.CSVVal)
)</f>
        <v/>
      </c>
      <c r="P102" s="2" t="str" cm="1">
        <f t="array" ref="P102">IFERROR(_xlfn.LET(
_xlpm.CSVVal,_xlfn.XLOOKUP($A102,CSV!$A:$A,CSV!AB:AB,""),
_xlpm.MacVal,_xlfn.XLOOKUP($A102,Output_Mac!$A:$A,Output_Mac!T:T,""),
_xlpm.MyAuditVal,_xlfn.XLOOKUP($A102,My_Audit!$A:$A,My_Audit!Q:Q,""),
_xlfn.IFS(_xlpm.MyAuditVal&lt;&gt;"",UPPER(_xlpm.MyAuditVal),_xlpm.MacVal&lt;&gt;"",_xlpm.MacVal,_xlpm.CSVVal&lt;&gt;"",_xlpm.CSVVal
)),"No")</f>
        <v>No</v>
      </c>
      <c r="Q102" s="2" t="str" cm="1">
        <f t="array" ref="Q102">IFERROR(_xlfn.LET(
_xlpm.CSVVal,_xlfn.XLOOKUP($A102,CSV!$A:$A,CSV!AC:AC,""),
_xlpm.MacVal,_xlfn.XLOOKUP($A102,Output_Mac!$A:$A,Output_Mac!U:U,""),
_xlpm.MyAuditVal,_xlfn.XLOOKUP($A102,My_Audit!$A:$A,My_Audit!R:R,""),
_xlfn.IFS(_xlpm.MyAuditVal&lt;&gt;"",UPPER(_xlpm.MyAuditVal),_xlpm.MacVal&lt;&gt;"",_xlpm.MacVal,_xlpm.CSVVal&lt;&gt;"",_xlpm.CSVVal
)),"")</f>
        <v/>
      </c>
      <c r="X102" t="str">
        <f>_xlfn.LET(
    _xlpm.MacVal, _xlfn.XLOOKUP($A102, Output_Mac!$A:$A, Output_Mac!AB:AB, ""),
    _xlpm.MyAuditVal, _xlfn.XLOOKUP($A102, My_Audit!$A:$A, My_Audit!N:N, ""),
    _xlfn.TEXTJOIN(", ", TRUE, _xlpm.MyAuditVal, _xlpm.MacVal)
)</f>
        <v/>
      </c>
    </row>
    <row r="103" spans="1:24">
      <c r="A103" s="2" t="str">
        <f>_xlfn.TEXTJOIN("",TRUE,Input!$B$2,ROW(My_Audit!A102))</f>
        <v>X102</v>
      </c>
      <c r="B103" s="2" t="str">
        <f>_xlfn.TEXTJOIN("-",TRUE,"ITD",Input!$A$2,A103)</f>
        <v>ITD-SHR-X102</v>
      </c>
      <c r="C103" s="2" t="str" cm="1">
        <f t="array" ref="C103">IFERROR(_xlfn.LET(
_xlpm.CSVVal,_xlfn.XLOOKUP($A103,CSV!$A:$A,CSV!B:B,""),
_xlpm.MacVal,_xlfn.XLOOKUP($A103,Output_Mac!$A:$A,Output_Mac!B:B,""),
_xlpm.MyAuditVal,_xlfn.XLOOKUP($A103,My_Audit!$A:$A,My_Audit!B:B,""),
_xlfn.IFS(_xlpm.MyAuditVal&lt;&gt;"",UPPER(_xlpm.MyAuditVal),_xlpm.MacVal&lt;&gt;"",_xlpm.MacVal,_xlpm.CSVVal&lt;&gt;"",_xlpm.CSVVal
)),"")</f>
        <v/>
      </c>
      <c r="D103" s="2" t="str" cm="1">
        <f t="array" ref="D103">IFERROR(_xlfn.LET(
_xlpm.CSVVal,_xlfn.XLOOKUP($A103,CSV!$A:$A,CSV!D:D,""),
_xlpm.MacVal,_xlfn.XLOOKUP($A103,Output_Mac!$A:$A,Output_Mac!C:C,""),
_xlpm.MyAuditVal,_xlfn.XLOOKUP($A103,My_Audit!$A:$A,My_Audit!C:C,""),
_xlfn.IFS(_xlpm.MyAuditVal&lt;&gt;"",_xlpm.MyAuditVal,_xlpm.MacVal&lt;&gt;"",_xlpm.MacVal,_xlpm.CSVVal&lt;&gt;"",_xlpm.CSVVal
)),"")</f>
        <v/>
      </c>
      <c r="E103" s="2" t="str">
        <f>_xlfn.XLOOKUP(A103,My_Audit!A:A,My_Audit!D:D,"")</f>
        <v/>
      </c>
      <c r="F103" s="2" t="str" cm="1">
        <f t="array" ref="F103">IFERROR(_xlfn.LET(
_xlpm.CSVVal,_xlfn.XLOOKUP($A103,CSV!$A:$A,CSV!F:F,""),
_xlpm.MacVal,_xlfn.XLOOKUP($A103,Output_Mac!$A:$A,Output_Mac!E:E,""),
_xlpm.MyAuditVal,_xlfn.XLOOKUP($A103,My_Audit!$A:$A,My_Audit!E:E,""),
_xlfn.IFS(_xlpm.MyAuditVal&lt;&gt;"",_xlpm.MyAuditVal,_xlpm.MacVal&lt;&gt;"",_xlpm.MacVal,_xlpm.CSVVal&lt;&gt;"",_xlpm.CSVVal
)),"")</f>
        <v/>
      </c>
      <c r="G103" s="2" t="str" cm="1">
        <f t="array" ref="G103">IFERROR(_xlfn.LET(
_xlpm.CSVVal,_xlfn.XLOOKUP($A103,CSV!$A:$A,CSV!G:G,""),
_xlpm.MacVal,_xlfn.XLOOKUP($A103,Output_Mac!$A:$A,Output_Mac!F:F,""),
_xlpm.MyAuditVal,_xlfn.XLOOKUP($A103,My_Audit!$A:$A,My_Audit!F:F,""),
_xlfn.IFS(_xlpm.MyAuditVal&lt;&gt;"",_xlpm.MyAuditVal,_xlpm.MacVal&lt;&gt;"",_xlpm.MacVal,_xlpm.CSVVal&lt;&gt;"",PROPER(_xlpm.CSVVal)
)),"")</f>
        <v/>
      </c>
      <c r="H103" s="2" t="str" cm="1">
        <f t="array" ref="H103">IFERROR(_xlfn.LET(
_xlpm.CSVVal,_xlfn.XLOOKUP($A103,CSV!$A:$A,CSV!H:H,""),
_xlpm.MacVal,_xlfn.XLOOKUP($A103,Output_Mac!$A:$A,Output_Mac!H:H,""),
_xlpm.MyAuditVal,_xlfn.XLOOKUP($A103,My_Audit!$A:$A,My_Audit!G:G,""),
_xlfn.IFS(_xlpm.MyAuditVal&lt;&gt;"",_xlpm.MyAuditVal,_xlpm.MacVal&lt;&gt;"",_xlpm.MacVal,_xlpm.CSVVal&lt;&gt;"",_xlpm.CSVVal
)),"")</f>
        <v/>
      </c>
      <c r="I103" s="2" t="str">
        <f>_xlfn.XLOOKUP(A103,Output_Mac!A:A,Output_Mac!I:I,"")</f>
        <v/>
      </c>
      <c r="J103" s="2" t="str" cm="1">
        <f t="array" ref="J103">IFERROR(_xlfn.LET(
_xlpm.CSVVal,_xlfn.XLOOKUP($A103,CSV!$A:$A,CSV!I:I,""),
_xlpm.MacVal,_xlfn.XLOOKUP($A103,Output_Mac!$A:$A,Output_Mac!J:J,""),
_xlpm.MyAuditVal,_xlfn.XLOOKUP($A103,My_Audit!$A:$A,My_Audit!I:I,""),
_xlfn.IFS(_xlpm.MyAuditVal&lt;&gt;"",UPPER(_xlpm.MyAuditVal),_xlpm.MacVal&lt;&gt;"",_xlpm.MacVal,_xlpm.CSVVal&lt;&gt;"",_xlpm.CSVVal
)),"")</f>
        <v/>
      </c>
      <c r="K103" s="2" t="str" cm="1">
        <f t="array" ref="K103">IFERROR(_xlfn.LET(
_xlpm.CSVVal,_xlfn.XLOOKUP($A103,CSV!$A:$A,CSV!K:K,""),
_xlpm.MacVal,_xlfn.XLOOKUP($A103,Output_Mac!$A:$A,Output_Mac!K:K,""),
_xlpm.MyAuditVal,_xlfn.XLOOKUP($A103,My_Audit!$A:$A,My_Audit!J:J,""),
_xlfn.IFS(_xlpm.MyAuditVal&lt;&gt;"",UPPER(_xlpm.MyAuditVal),_xlpm.MacVal&lt;&gt;"",_xlpm.MacVal,_xlpm.CSVVal&lt;&gt;"",_xlpm.CSVVal
)),"")</f>
        <v/>
      </c>
      <c r="L103" s="2" t="str" cm="1">
        <f t="array" ref="L103">IFERROR(_xlfn.LET(
_xlpm.CSVVal,_xlfn.XLOOKUP($A103,CSV!$A:$A,CSV!P:P,""),
_xlpm.MacVal,_xlfn.XLOOKUP($A103,Output_Mac!$A:$A,Output_Mac!L:L,""),
_xlpm.MyAuditVal,_xlfn.XLOOKUP($A103,My_Audit!$A:$A,My_Audit!K:K,""),
_xlfn.IFS(_xlpm.MyAuditVal&lt;&gt;"",UPPER(_xlpm.MyAuditVal),_xlpm.MacVal&lt;&gt;"",_xlpm.MacVal,_xlpm.CSVVal&lt;&gt;"",_xlpm.CSVVal
)),"")</f>
        <v/>
      </c>
      <c r="M103" s="2" t="str" cm="1">
        <f t="array" ref="M103">IFERROR(_xlfn.LET(
_xlpm.CSVVal,_xlfn.XLOOKUP($A103,CSV!$A:$A,CSV!Q:Q,""),
_xlpm.MacVal,_xlfn.XLOOKUP($A103,Output_Mac!$A:$A,Output_Mac!M:M,""),
_xlpm.MyAuditVal,_xlfn.XLOOKUP($A103,My_Audit!$A:$A,My_Audit!L:L,""),
_xlfn.IFS(_xlpm.MyAuditVal&lt;&gt;"",UPPER(_xlpm.MyAuditVal),_xlpm.MacVal&lt;&gt;"",_xlpm.MacVal,_xlpm.CSVVal&lt;&gt;"",_xlpm.CSVVal
)),"")</f>
        <v/>
      </c>
      <c r="O103" s="2" t="str">
        <f>_xlfn.LET(
    _xlpm.CSVVal, _xlfn.XLOOKUP($A103, CSV!$A:$A, CSV!AA:AA, ""),
    _xlpm.MacVal, _xlfn.XLOOKUP($A103, Output_Mac!$A:$A, Output_Mac!S:S, ""),
    _xlpm.MyAuditVal, _xlfn.XLOOKUP($A103, My_Audit!$A:$A, My_Audit!P:P, ""),
    _xlfn.TEXTJOIN(", ", TRUE, _xlpm.MyAuditVal, _xlpm.MacVal, _xlpm.CSVVal)
)</f>
        <v/>
      </c>
      <c r="P103" s="2" t="str" cm="1">
        <f t="array" ref="P103">IFERROR(_xlfn.LET(
_xlpm.CSVVal,_xlfn.XLOOKUP($A103,CSV!$A:$A,CSV!AB:AB,""),
_xlpm.MacVal,_xlfn.XLOOKUP($A103,Output_Mac!$A:$A,Output_Mac!T:T,""),
_xlpm.MyAuditVal,_xlfn.XLOOKUP($A103,My_Audit!$A:$A,My_Audit!Q:Q,""),
_xlfn.IFS(_xlpm.MyAuditVal&lt;&gt;"",UPPER(_xlpm.MyAuditVal),_xlpm.MacVal&lt;&gt;"",_xlpm.MacVal,_xlpm.CSVVal&lt;&gt;"",_xlpm.CSVVal
)),"No")</f>
        <v>No</v>
      </c>
      <c r="Q103" s="2" t="str" cm="1">
        <f t="array" ref="Q103">IFERROR(_xlfn.LET(
_xlpm.CSVVal,_xlfn.XLOOKUP($A103,CSV!$A:$A,CSV!AC:AC,""),
_xlpm.MacVal,_xlfn.XLOOKUP($A103,Output_Mac!$A:$A,Output_Mac!U:U,""),
_xlpm.MyAuditVal,_xlfn.XLOOKUP($A103,My_Audit!$A:$A,My_Audit!R:R,""),
_xlfn.IFS(_xlpm.MyAuditVal&lt;&gt;"",UPPER(_xlpm.MyAuditVal),_xlpm.MacVal&lt;&gt;"",_xlpm.MacVal,_xlpm.CSVVal&lt;&gt;"",_xlpm.CSVVal
)),"")</f>
        <v/>
      </c>
      <c r="X103" t="str">
        <f>_xlfn.LET(
    _xlpm.MacVal, _xlfn.XLOOKUP($A103, Output_Mac!$A:$A, Output_Mac!AB:AB, ""),
    _xlpm.MyAuditVal, _xlfn.XLOOKUP($A103, My_Audit!$A:$A, My_Audit!N:N, ""),
    _xlfn.TEXTJOIN(", ", TRUE, _xlpm.MyAuditVal, _xlpm.MacVal)
)</f>
        <v/>
      </c>
    </row>
    <row r="104" spans="1:24">
      <c r="A104" s="2" t="str">
        <f>_xlfn.TEXTJOIN("",TRUE,Input!$B$2,ROW(My_Audit!A103))</f>
        <v>X103</v>
      </c>
      <c r="B104" s="2" t="str">
        <f>_xlfn.TEXTJOIN("-",TRUE,"ITD",Input!$A$2,A104)</f>
        <v>ITD-SHR-X103</v>
      </c>
      <c r="C104" s="2" t="str" cm="1">
        <f t="array" ref="C104">IFERROR(_xlfn.LET(
_xlpm.CSVVal,_xlfn.XLOOKUP($A104,CSV!$A:$A,CSV!B:B,""),
_xlpm.MacVal,_xlfn.XLOOKUP($A104,Output_Mac!$A:$A,Output_Mac!B:B,""),
_xlpm.MyAuditVal,_xlfn.XLOOKUP($A104,My_Audit!$A:$A,My_Audit!B:B,""),
_xlfn.IFS(_xlpm.MyAuditVal&lt;&gt;"",UPPER(_xlpm.MyAuditVal),_xlpm.MacVal&lt;&gt;"",_xlpm.MacVal,_xlpm.CSVVal&lt;&gt;"",_xlpm.CSVVal
)),"")</f>
        <v/>
      </c>
      <c r="D104" s="2" t="str" cm="1">
        <f t="array" ref="D104">IFERROR(_xlfn.LET(
_xlpm.CSVVal,_xlfn.XLOOKUP($A104,CSV!$A:$A,CSV!D:D,""),
_xlpm.MacVal,_xlfn.XLOOKUP($A104,Output_Mac!$A:$A,Output_Mac!C:C,""),
_xlpm.MyAuditVal,_xlfn.XLOOKUP($A104,My_Audit!$A:$A,My_Audit!C:C,""),
_xlfn.IFS(_xlpm.MyAuditVal&lt;&gt;"",_xlpm.MyAuditVal,_xlpm.MacVal&lt;&gt;"",_xlpm.MacVal,_xlpm.CSVVal&lt;&gt;"",_xlpm.CSVVal
)),"")</f>
        <v/>
      </c>
      <c r="E104" s="2" t="str">
        <f>_xlfn.XLOOKUP(A104,My_Audit!A:A,My_Audit!D:D,"")</f>
        <v/>
      </c>
      <c r="F104" s="2" t="str" cm="1">
        <f t="array" ref="F104">IFERROR(_xlfn.LET(
_xlpm.CSVVal,_xlfn.XLOOKUP($A104,CSV!$A:$A,CSV!F:F,""),
_xlpm.MacVal,_xlfn.XLOOKUP($A104,Output_Mac!$A:$A,Output_Mac!E:E,""),
_xlpm.MyAuditVal,_xlfn.XLOOKUP($A104,My_Audit!$A:$A,My_Audit!E:E,""),
_xlfn.IFS(_xlpm.MyAuditVal&lt;&gt;"",_xlpm.MyAuditVal,_xlpm.MacVal&lt;&gt;"",_xlpm.MacVal,_xlpm.CSVVal&lt;&gt;"",_xlpm.CSVVal
)),"")</f>
        <v/>
      </c>
      <c r="G104" s="2" t="str" cm="1">
        <f t="array" ref="G104">IFERROR(_xlfn.LET(
_xlpm.CSVVal,_xlfn.XLOOKUP($A104,CSV!$A:$A,CSV!G:G,""),
_xlpm.MacVal,_xlfn.XLOOKUP($A104,Output_Mac!$A:$A,Output_Mac!F:F,""),
_xlpm.MyAuditVal,_xlfn.XLOOKUP($A104,My_Audit!$A:$A,My_Audit!F:F,""),
_xlfn.IFS(_xlpm.MyAuditVal&lt;&gt;"",_xlpm.MyAuditVal,_xlpm.MacVal&lt;&gt;"",_xlpm.MacVal,_xlpm.CSVVal&lt;&gt;"",PROPER(_xlpm.CSVVal)
)),"")</f>
        <v/>
      </c>
      <c r="H104" s="2" t="str" cm="1">
        <f t="array" ref="H104">IFERROR(_xlfn.LET(
_xlpm.CSVVal,_xlfn.XLOOKUP($A104,CSV!$A:$A,CSV!H:H,""),
_xlpm.MacVal,_xlfn.XLOOKUP($A104,Output_Mac!$A:$A,Output_Mac!H:H,""),
_xlpm.MyAuditVal,_xlfn.XLOOKUP($A104,My_Audit!$A:$A,My_Audit!G:G,""),
_xlfn.IFS(_xlpm.MyAuditVal&lt;&gt;"",_xlpm.MyAuditVal,_xlpm.MacVal&lt;&gt;"",_xlpm.MacVal,_xlpm.CSVVal&lt;&gt;"",_xlpm.CSVVal
)),"")</f>
        <v/>
      </c>
      <c r="I104" s="2" t="str">
        <f>_xlfn.XLOOKUP(A104,Output_Mac!A:A,Output_Mac!I:I,"")</f>
        <v/>
      </c>
      <c r="J104" s="2" t="str" cm="1">
        <f t="array" ref="J104">IFERROR(_xlfn.LET(
_xlpm.CSVVal,_xlfn.XLOOKUP($A104,CSV!$A:$A,CSV!I:I,""),
_xlpm.MacVal,_xlfn.XLOOKUP($A104,Output_Mac!$A:$A,Output_Mac!J:J,""),
_xlpm.MyAuditVal,_xlfn.XLOOKUP($A104,My_Audit!$A:$A,My_Audit!I:I,""),
_xlfn.IFS(_xlpm.MyAuditVal&lt;&gt;"",UPPER(_xlpm.MyAuditVal),_xlpm.MacVal&lt;&gt;"",_xlpm.MacVal,_xlpm.CSVVal&lt;&gt;"",_xlpm.CSVVal
)),"")</f>
        <v/>
      </c>
      <c r="K104" s="2" t="str" cm="1">
        <f t="array" ref="K104">IFERROR(_xlfn.LET(
_xlpm.CSVVal,_xlfn.XLOOKUP($A104,CSV!$A:$A,CSV!K:K,""),
_xlpm.MacVal,_xlfn.XLOOKUP($A104,Output_Mac!$A:$A,Output_Mac!K:K,""),
_xlpm.MyAuditVal,_xlfn.XLOOKUP($A104,My_Audit!$A:$A,My_Audit!J:J,""),
_xlfn.IFS(_xlpm.MyAuditVal&lt;&gt;"",UPPER(_xlpm.MyAuditVal),_xlpm.MacVal&lt;&gt;"",_xlpm.MacVal,_xlpm.CSVVal&lt;&gt;"",_xlpm.CSVVal
)),"")</f>
        <v/>
      </c>
      <c r="L104" s="2" t="str" cm="1">
        <f t="array" ref="L104">IFERROR(_xlfn.LET(
_xlpm.CSVVal,_xlfn.XLOOKUP($A104,CSV!$A:$A,CSV!P:P,""),
_xlpm.MacVal,_xlfn.XLOOKUP($A104,Output_Mac!$A:$A,Output_Mac!L:L,""),
_xlpm.MyAuditVal,_xlfn.XLOOKUP($A104,My_Audit!$A:$A,My_Audit!K:K,""),
_xlfn.IFS(_xlpm.MyAuditVal&lt;&gt;"",UPPER(_xlpm.MyAuditVal),_xlpm.MacVal&lt;&gt;"",_xlpm.MacVal,_xlpm.CSVVal&lt;&gt;"",_xlpm.CSVVal
)),"")</f>
        <v/>
      </c>
      <c r="M104" s="2" t="str" cm="1">
        <f t="array" ref="M104">IFERROR(_xlfn.LET(
_xlpm.CSVVal,_xlfn.XLOOKUP($A104,CSV!$A:$A,CSV!Q:Q,""),
_xlpm.MacVal,_xlfn.XLOOKUP($A104,Output_Mac!$A:$A,Output_Mac!M:M,""),
_xlpm.MyAuditVal,_xlfn.XLOOKUP($A104,My_Audit!$A:$A,My_Audit!L:L,""),
_xlfn.IFS(_xlpm.MyAuditVal&lt;&gt;"",UPPER(_xlpm.MyAuditVal),_xlpm.MacVal&lt;&gt;"",_xlpm.MacVal,_xlpm.CSVVal&lt;&gt;"",_xlpm.CSVVal
)),"")</f>
        <v/>
      </c>
      <c r="O104" s="2" t="str">
        <f>_xlfn.LET(
    _xlpm.CSVVal, _xlfn.XLOOKUP($A104, CSV!$A:$A, CSV!AA:AA, ""),
    _xlpm.MacVal, _xlfn.XLOOKUP($A104, Output_Mac!$A:$A, Output_Mac!S:S, ""),
    _xlpm.MyAuditVal, _xlfn.XLOOKUP($A104, My_Audit!$A:$A, My_Audit!P:P, ""),
    _xlfn.TEXTJOIN(", ", TRUE, _xlpm.MyAuditVal, _xlpm.MacVal, _xlpm.CSVVal)
)</f>
        <v/>
      </c>
      <c r="P104" s="2" t="str" cm="1">
        <f t="array" ref="P104">IFERROR(_xlfn.LET(
_xlpm.CSVVal,_xlfn.XLOOKUP($A104,CSV!$A:$A,CSV!AB:AB,""),
_xlpm.MacVal,_xlfn.XLOOKUP($A104,Output_Mac!$A:$A,Output_Mac!T:T,""),
_xlpm.MyAuditVal,_xlfn.XLOOKUP($A104,My_Audit!$A:$A,My_Audit!Q:Q,""),
_xlfn.IFS(_xlpm.MyAuditVal&lt;&gt;"",UPPER(_xlpm.MyAuditVal),_xlpm.MacVal&lt;&gt;"",_xlpm.MacVal,_xlpm.CSVVal&lt;&gt;"",_xlpm.CSVVal
)),"No")</f>
        <v>No</v>
      </c>
      <c r="Q104" s="2" t="str" cm="1">
        <f t="array" ref="Q104">IFERROR(_xlfn.LET(
_xlpm.CSVVal,_xlfn.XLOOKUP($A104,CSV!$A:$A,CSV!AC:AC,""),
_xlpm.MacVal,_xlfn.XLOOKUP($A104,Output_Mac!$A:$A,Output_Mac!U:U,""),
_xlpm.MyAuditVal,_xlfn.XLOOKUP($A104,My_Audit!$A:$A,My_Audit!R:R,""),
_xlfn.IFS(_xlpm.MyAuditVal&lt;&gt;"",UPPER(_xlpm.MyAuditVal),_xlpm.MacVal&lt;&gt;"",_xlpm.MacVal,_xlpm.CSVVal&lt;&gt;"",_xlpm.CSVVal
)),"")</f>
        <v/>
      </c>
      <c r="X104" t="str">
        <f>_xlfn.LET(
    _xlpm.MacVal, _xlfn.XLOOKUP($A104, Output_Mac!$A:$A, Output_Mac!AB:AB, ""),
    _xlpm.MyAuditVal, _xlfn.XLOOKUP($A104, My_Audit!$A:$A, My_Audit!N:N, ""),
    _xlfn.TEXTJOIN(", ", TRUE, _xlpm.MyAuditVal, _xlpm.MacVal)
)</f>
        <v/>
      </c>
    </row>
    <row r="105" spans="1:24">
      <c r="A105" s="2" t="str">
        <f>_xlfn.TEXTJOIN("",TRUE,Input!$B$2,ROW(My_Audit!A104))</f>
        <v>X104</v>
      </c>
      <c r="B105" s="2" t="str">
        <f>_xlfn.TEXTJOIN("-",TRUE,"ITD",Input!$A$2,A105)</f>
        <v>ITD-SHR-X104</v>
      </c>
      <c r="C105" s="2" t="str" cm="1">
        <f t="array" ref="C105">IFERROR(_xlfn.LET(
_xlpm.CSVVal,_xlfn.XLOOKUP($A105,CSV!$A:$A,CSV!B:B,""),
_xlpm.MacVal,_xlfn.XLOOKUP($A105,Output_Mac!$A:$A,Output_Mac!B:B,""),
_xlpm.MyAuditVal,_xlfn.XLOOKUP($A105,My_Audit!$A:$A,My_Audit!B:B,""),
_xlfn.IFS(_xlpm.MyAuditVal&lt;&gt;"",UPPER(_xlpm.MyAuditVal),_xlpm.MacVal&lt;&gt;"",_xlpm.MacVal,_xlpm.CSVVal&lt;&gt;"",_xlpm.CSVVal
)),"")</f>
        <v/>
      </c>
      <c r="D105" s="2" t="str" cm="1">
        <f t="array" ref="D105">IFERROR(_xlfn.LET(
_xlpm.CSVVal,_xlfn.XLOOKUP($A105,CSV!$A:$A,CSV!D:D,""),
_xlpm.MacVal,_xlfn.XLOOKUP($A105,Output_Mac!$A:$A,Output_Mac!C:C,""),
_xlpm.MyAuditVal,_xlfn.XLOOKUP($A105,My_Audit!$A:$A,My_Audit!C:C,""),
_xlfn.IFS(_xlpm.MyAuditVal&lt;&gt;"",_xlpm.MyAuditVal,_xlpm.MacVal&lt;&gt;"",_xlpm.MacVal,_xlpm.CSVVal&lt;&gt;"",_xlpm.CSVVal
)),"")</f>
        <v/>
      </c>
      <c r="E105" s="2" t="str">
        <f>_xlfn.XLOOKUP(A105,My_Audit!A:A,My_Audit!D:D,"")</f>
        <v/>
      </c>
      <c r="F105" s="2" t="str" cm="1">
        <f t="array" ref="F105">IFERROR(_xlfn.LET(
_xlpm.CSVVal,_xlfn.XLOOKUP($A105,CSV!$A:$A,CSV!F:F,""),
_xlpm.MacVal,_xlfn.XLOOKUP($A105,Output_Mac!$A:$A,Output_Mac!E:E,""),
_xlpm.MyAuditVal,_xlfn.XLOOKUP($A105,My_Audit!$A:$A,My_Audit!E:E,""),
_xlfn.IFS(_xlpm.MyAuditVal&lt;&gt;"",_xlpm.MyAuditVal,_xlpm.MacVal&lt;&gt;"",_xlpm.MacVal,_xlpm.CSVVal&lt;&gt;"",_xlpm.CSVVal
)),"")</f>
        <v/>
      </c>
      <c r="G105" s="2" t="str" cm="1">
        <f t="array" ref="G105">IFERROR(_xlfn.LET(
_xlpm.CSVVal,_xlfn.XLOOKUP($A105,CSV!$A:$A,CSV!G:G,""),
_xlpm.MacVal,_xlfn.XLOOKUP($A105,Output_Mac!$A:$A,Output_Mac!F:F,""),
_xlpm.MyAuditVal,_xlfn.XLOOKUP($A105,My_Audit!$A:$A,My_Audit!F:F,""),
_xlfn.IFS(_xlpm.MyAuditVal&lt;&gt;"",_xlpm.MyAuditVal,_xlpm.MacVal&lt;&gt;"",_xlpm.MacVal,_xlpm.CSVVal&lt;&gt;"",PROPER(_xlpm.CSVVal)
)),"")</f>
        <v/>
      </c>
      <c r="H105" s="2" t="str" cm="1">
        <f t="array" ref="H105">IFERROR(_xlfn.LET(
_xlpm.CSVVal,_xlfn.XLOOKUP($A105,CSV!$A:$A,CSV!H:H,""),
_xlpm.MacVal,_xlfn.XLOOKUP($A105,Output_Mac!$A:$A,Output_Mac!H:H,""),
_xlpm.MyAuditVal,_xlfn.XLOOKUP($A105,My_Audit!$A:$A,My_Audit!G:G,""),
_xlfn.IFS(_xlpm.MyAuditVal&lt;&gt;"",_xlpm.MyAuditVal,_xlpm.MacVal&lt;&gt;"",_xlpm.MacVal,_xlpm.CSVVal&lt;&gt;"",_xlpm.CSVVal
)),"")</f>
        <v/>
      </c>
      <c r="I105" s="2" t="str">
        <f>_xlfn.XLOOKUP(A105,Output_Mac!A:A,Output_Mac!I:I,"")</f>
        <v/>
      </c>
      <c r="J105" s="2" t="str" cm="1">
        <f t="array" ref="J105">IFERROR(_xlfn.LET(
_xlpm.CSVVal,_xlfn.XLOOKUP($A105,CSV!$A:$A,CSV!I:I,""),
_xlpm.MacVal,_xlfn.XLOOKUP($A105,Output_Mac!$A:$A,Output_Mac!J:J,""),
_xlpm.MyAuditVal,_xlfn.XLOOKUP($A105,My_Audit!$A:$A,My_Audit!I:I,""),
_xlfn.IFS(_xlpm.MyAuditVal&lt;&gt;"",UPPER(_xlpm.MyAuditVal),_xlpm.MacVal&lt;&gt;"",_xlpm.MacVal,_xlpm.CSVVal&lt;&gt;"",_xlpm.CSVVal
)),"")</f>
        <v/>
      </c>
      <c r="K105" s="2" t="str" cm="1">
        <f t="array" ref="K105">IFERROR(_xlfn.LET(
_xlpm.CSVVal,_xlfn.XLOOKUP($A105,CSV!$A:$A,CSV!K:K,""),
_xlpm.MacVal,_xlfn.XLOOKUP($A105,Output_Mac!$A:$A,Output_Mac!K:K,""),
_xlpm.MyAuditVal,_xlfn.XLOOKUP($A105,My_Audit!$A:$A,My_Audit!J:J,""),
_xlfn.IFS(_xlpm.MyAuditVal&lt;&gt;"",UPPER(_xlpm.MyAuditVal),_xlpm.MacVal&lt;&gt;"",_xlpm.MacVal,_xlpm.CSVVal&lt;&gt;"",_xlpm.CSVVal
)),"")</f>
        <v/>
      </c>
      <c r="L105" s="2" t="str" cm="1">
        <f t="array" ref="L105">IFERROR(_xlfn.LET(
_xlpm.CSVVal,_xlfn.XLOOKUP($A105,CSV!$A:$A,CSV!P:P,""),
_xlpm.MacVal,_xlfn.XLOOKUP($A105,Output_Mac!$A:$A,Output_Mac!L:L,""),
_xlpm.MyAuditVal,_xlfn.XLOOKUP($A105,My_Audit!$A:$A,My_Audit!K:K,""),
_xlfn.IFS(_xlpm.MyAuditVal&lt;&gt;"",UPPER(_xlpm.MyAuditVal),_xlpm.MacVal&lt;&gt;"",_xlpm.MacVal,_xlpm.CSVVal&lt;&gt;"",_xlpm.CSVVal
)),"")</f>
        <v/>
      </c>
      <c r="M105" s="2" t="str" cm="1">
        <f t="array" ref="M105">IFERROR(_xlfn.LET(
_xlpm.CSVVal,_xlfn.XLOOKUP($A105,CSV!$A:$A,CSV!Q:Q,""),
_xlpm.MacVal,_xlfn.XLOOKUP($A105,Output_Mac!$A:$A,Output_Mac!M:M,""),
_xlpm.MyAuditVal,_xlfn.XLOOKUP($A105,My_Audit!$A:$A,My_Audit!L:L,""),
_xlfn.IFS(_xlpm.MyAuditVal&lt;&gt;"",UPPER(_xlpm.MyAuditVal),_xlpm.MacVal&lt;&gt;"",_xlpm.MacVal,_xlpm.CSVVal&lt;&gt;"",_xlpm.CSVVal
)),"")</f>
        <v/>
      </c>
      <c r="O105" s="2" t="str">
        <f>_xlfn.LET(
    _xlpm.CSVVal, _xlfn.XLOOKUP($A105, CSV!$A:$A, CSV!AA:AA, ""),
    _xlpm.MacVal, _xlfn.XLOOKUP($A105, Output_Mac!$A:$A, Output_Mac!S:S, ""),
    _xlpm.MyAuditVal, _xlfn.XLOOKUP($A105, My_Audit!$A:$A, My_Audit!P:P, ""),
    _xlfn.TEXTJOIN(", ", TRUE, _xlpm.MyAuditVal, _xlpm.MacVal, _xlpm.CSVVal)
)</f>
        <v/>
      </c>
      <c r="P105" s="2" t="str" cm="1">
        <f t="array" ref="P105">IFERROR(_xlfn.LET(
_xlpm.CSVVal,_xlfn.XLOOKUP($A105,CSV!$A:$A,CSV!AB:AB,""),
_xlpm.MacVal,_xlfn.XLOOKUP($A105,Output_Mac!$A:$A,Output_Mac!T:T,""),
_xlpm.MyAuditVal,_xlfn.XLOOKUP($A105,My_Audit!$A:$A,My_Audit!Q:Q,""),
_xlfn.IFS(_xlpm.MyAuditVal&lt;&gt;"",UPPER(_xlpm.MyAuditVal),_xlpm.MacVal&lt;&gt;"",_xlpm.MacVal,_xlpm.CSVVal&lt;&gt;"",_xlpm.CSVVal
)),"No")</f>
        <v>No</v>
      </c>
      <c r="Q105" s="2" t="str" cm="1">
        <f t="array" ref="Q105">IFERROR(_xlfn.LET(
_xlpm.CSVVal,_xlfn.XLOOKUP($A105,CSV!$A:$A,CSV!AC:AC,""),
_xlpm.MacVal,_xlfn.XLOOKUP($A105,Output_Mac!$A:$A,Output_Mac!U:U,""),
_xlpm.MyAuditVal,_xlfn.XLOOKUP($A105,My_Audit!$A:$A,My_Audit!R:R,""),
_xlfn.IFS(_xlpm.MyAuditVal&lt;&gt;"",UPPER(_xlpm.MyAuditVal),_xlpm.MacVal&lt;&gt;"",_xlpm.MacVal,_xlpm.CSVVal&lt;&gt;"",_xlpm.CSVVal
)),"")</f>
        <v/>
      </c>
      <c r="X105" t="str">
        <f>_xlfn.LET(
    _xlpm.MacVal, _xlfn.XLOOKUP($A105, Output_Mac!$A:$A, Output_Mac!AB:AB, ""),
    _xlpm.MyAuditVal, _xlfn.XLOOKUP($A105, My_Audit!$A:$A, My_Audit!N:N, ""),
    _xlfn.TEXTJOIN(", ", TRUE, _xlpm.MyAuditVal, _xlpm.MacVal)
)</f>
        <v/>
      </c>
    </row>
    <row r="106" spans="1:24">
      <c r="A106" s="2" t="str">
        <f>_xlfn.TEXTJOIN("",TRUE,Input!$B$2,ROW(My_Audit!A105))</f>
        <v>X105</v>
      </c>
      <c r="B106" s="2" t="str">
        <f>_xlfn.TEXTJOIN("-",TRUE,"ITD",Input!$A$2,A106)</f>
        <v>ITD-SHR-X105</v>
      </c>
      <c r="C106" s="2" t="str" cm="1">
        <f t="array" ref="C106">IFERROR(_xlfn.LET(
_xlpm.CSVVal,_xlfn.XLOOKUP($A106,CSV!$A:$A,CSV!B:B,""),
_xlpm.MacVal,_xlfn.XLOOKUP($A106,Output_Mac!$A:$A,Output_Mac!B:B,""),
_xlpm.MyAuditVal,_xlfn.XLOOKUP($A106,My_Audit!$A:$A,My_Audit!B:B,""),
_xlfn.IFS(_xlpm.MyAuditVal&lt;&gt;"",UPPER(_xlpm.MyAuditVal),_xlpm.MacVal&lt;&gt;"",_xlpm.MacVal,_xlpm.CSVVal&lt;&gt;"",_xlpm.CSVVal
)),"")</f>
        <v/>
      </c>
      <c r="D106" s="2" t="str" cm="1">
        <f t="array" ref="D106">IFERROR(_xlfn.LET(
_xlpm.CSVVal,_xlfn.XLOOKUP($A106,CSV!$A:$A,CSV!D:D,""),
_xlpm.MacVal,_xlfn.XLOOKUP($A106,Output_Mac!$A:$A,Output_Mac!C:C,""),
_xlpm.MyAuditVal,_xlfn.XLOOKUP($A106,My_Audit!$A:$A,My_Audit!C:C,""),
_xlfn.IFS(_xlpm.MyAuditVal&lt;&gt;"",_xlpm.MyAuditVal,_xlpm.MacVal&lt;&gt;"",_xlpm.MacVal,_xlpm.CSVVal&lt;&gt;"",_xlpm.CSVVal
)),"")</f>
        <v/>
      </c>
      <c r="E106" s="2" t="str">
        <f>_xlfn.XLOOKUP(A106,My_Audit!A:A,My_Audit!D:D,"")</f>
        <v/>
      </c>
      <c r="F106" s="2" t="str" cm="1">
        <f t="array" ref="F106">IFERROR(_xlfn.LET(
_xlpm.CSVVal,_xlfn.XLOOKUP($A106,CSV!$A:$A,CSV!F:F,""),
_xlpm.MacVal,_xlfn.XLOOKUP($A106,Output_Mac!$A:$A,Output_Mac!E:E,""),
_xlpm.MyAuditVal,_xlfn.XLOOKUP($A106,My_Audit!$A:$A,My_Audit!E:E,""),
_xlfn.IFS(_xlpm.MyAuditVal&lt;&gt;"",_xlpm.MyAuditVal,_xlpm.MacVal&lt;&gt;"",_xlpm.MacVal,_xlpm.CSVVal&lt;&gt;"",_xlpm.CSVVal
)),"")</f>
        <v/>
      </c>
      <c r="G106" s="2" t="str" cm="1">
        <f t="array" ref="G106">IFERROR(_xlfn.LET(
_xlpm.CSVVal,_xlfn.XLOOKUP($A106,CSV!$A:$A,CSV!G:G,""),
_xlpm.MacVal,_xlfn.XLOOKUP($A106,Output_Mac!$A:$A,Output_Mac!F:F,""),
_xlpm.MyAuditVal,_xlfn.XLOOKUP($A106,My_Audit!$A:$A,My_Audit!F:F,""),
_xlfn.IFS(_xlpm.MyAuditVal&lt;&gt;"",_xlpm.MyAuditVal,_xlpm.MacVal&lt;&gt;"",_xlpm.MacVal,_xlpm.CSVVal&lt;&gt;"",PROPER(_xlpm.CSVVal)
)),"")</f>
        <v/>
      </c>
      <c r="H106" s="2" t="str" cm="1">
        <f t="array" ref="H106">IFERROR(_xlfn.LET(
_xlpm.CSVVal,_xlfn.XLOOKUP($A106,CSV!$A:$A,CSV!H:H,""),
_xlpm.MacVal,_xlfn.XLOOKUP($A106,Output_Mac!$A:$A,Output_Mac!H:H,""),
_xlpm.MyAuditVal,_xlfn.XLOOKUP($A106,My_Audit!$A:$A,My_Audit!G:G,""),
_xlfn.IFS(_xlpm.MyAuditVal&lt;&gt;"",_xlpm.MyAuditVal,_xlpm.MacVal&lt;&gt;"",_xlpm.MacVal,_xlpm.CSVVal&lt;&gt;"",_xlpm.CSVVal
)),"")</f>
        <v/>
      </c>
      <c r="I106" s="2" t="str">
        <f>_xlfn.XLOOKUP(A106,Output_Mac!A:A,Output_Mac!I:I,"")</f>
        <v/>
      </c>
      <c r="J106" s="2" t="str" cm="1">
        <f t="array" ref="J106">IFERROR(_xlfn.LET(
_xlpm.CSVVal,_xlfn.XLOOKUP($A106,CSV!$A:$A,CSV!I:I,""),
_xlpm.MacVal,_xlfn.XLOOKUP($A106,Output_Mac!$A:$A,Output_Mac!J:J,""),
_xlpm.MyAuditVal,_xlfn.XLOOKUP($A106,My_Audit!$A:$A,My_Audit!I:I,""),
_xlfn.IFS(_xlpm.MyAuditVal&lt;&gt;"",UPPER(_xlpm.MyAuditVal),_xlpm.MacVal&lt;&gt;"",_xlpm.MacVal,_xlpm.CSVVal&lt;&gt;"",_xlpm.CSVVal
)),"")</f>
        <v/>
      </c>
      <c r="K106" s="2" t="str" cm="1">
        <f t="array" ref="K106">IFERROR(_xlfn.LET(
_xlpm.CSVVal,_xlfn.XLOOKUP($A106,CSV!$A:$A,CSV!K:K,""),
_xlpm.MacVal,_xlfn.XLOOKUP($A106,Output_Mac!$A:$A,Output_Mac!K:K,""),
_xlpm.MyAuditVal,_xlfn.XLOOKUP($A106,My_Audit!$A:$A,My_Audit!J:J,""),
_xlfn.IFS(_xlpm.MyAuditVal&lt;&gt;"",UPPER(_xlpm.MyAuditVal),_xlpm.MacVal&lt;&gt;"",_xlpm.MacVal,_xlpm.CSVVal&lt;&gt;"",_xlpm.CSVVal
)),"")</f>
        <v/>
      </c>
      <c r="L106" s="2" t="str" cm="1">
        <f t="array" ref="L106">IFERROR(_xlfn.LET(
_xlpm.CSVVal,_xlfn.XLOOKUP($A106,CSV!$A:$A,CSV!P:P,""),
_xlpm.MacVal,_xlfn.XLOOKUP($A106,Output_Mac!$A:$A,Output_Mac!L:L,""),
_xlpm.MyAuditVal,_xlfn.XLOOKUP($A106,My_Audit!$A:$A,My_Audit!K:K,""),
_xlfn.IFS(_xlpm.MyAuditVal&lt;&gt;"",UPPER(_xlpm.MyAuditVal),_xlpm.MacVal&lt;&gt;"",_xlpm.MacVal,_xlpm.CSVVal&lt;&gt;"",_xlpm.CSVVal
)),"")</f>
        <v/>
      </c>
      <c r="M106" s="2" t="str" cm="1">
        <f t="array" ref="M106">IFERROR(_xlfn.LET(
_xlpm.CSVVal,_xlfn.XLOOKUP($A106,CSV!$A:$A,CSV!Q:Q,""),
_xlpm.MacVal,_xlfn.XLOOKUP($A106,Output_Mac!$A:$A,Output_Mac!M:M,""),
_xlpm.MyAuditVal,_xlfn.XLOOKUP($A106,My_Audit!$A:$A,My_Audit!L:L,""),
_xlfn.IFS(_xlpm.MyAuditVal&lt;&gt;"",UPPER(_xlpm.MyAuditVal),_xlpm.MacVal&lt;&gt;"",_xlpm.MacVal,_xlpm.CSVVal&lt;&gt;"",_xlpm.CSVVal
)),"")</f>
        <v/>
      </c>
      <c r="O106" s="2" t="str">
        <f>_xlfn.LET(
    _xlpm.CSVVal, _xlfn.XLOOKUP($A106, CSV!$A:$A, CSV!AA:AA, ""),
    _xlpm.MacVal, _xlfn.XLOOKUP($A106, Output_Mac!$A:$A, Output_Mac!S:S, ""),
    _xlpm.MyAuditVal, _xlfn.XLOOKUP($A106, My_Audit!$A:$A, My_Audit!P:P, ""),
    _xlfn.TEXTJOIN(", ", TRUE, _xlpm.MyAuditVal, _xlpm.MacVal, _xlpm.CSVVal)
)</f>
        <v/>
      </c>
      <c r="P106" s="2" t="str" cm="1">
        <f t="array" ref="P106">IFERROR(_xlfn.LET(
_xlpm.CSVVal,_xlfn.XLOOKUP($A106,CSV!$A:$A,CSV!AB:AB,""),
_xlpm.MacVal,_xlfn.XLOOKUP($A106,Output_Mac!$A:$A,Output_Mac!T:T,""),
_xlpm.MyAuditVal,_xlfn.XLOOKUP($A106,My_Audit!$A:$A,My_Audit!Q:Q,""),
_xlfn.IFS(_xlpm.MyAuditVal&lt;&gt;"",UPPER(_xlpm.MyAuditVal),_xlpm.MacVal&lt;&gt;"",_xlpm.MacVal,_xlpm.CSVVal&lt;&gt;"",_xlpm.CSVVal
)),"No")</f>
        <v>No</v>
      </c>
      <c r="Q106" s="2" t="str" cm="1">
        <f t="array" ref="Q106">IFERROR(_xlfn.LET(
_xlpm.CSVVal,_xlfn.XLOOKUP($A106,CSV!$A:$A,CSV!AC:AC,""),
_xlpm.MacVal,_xlfn.XLOOKUP($A106,Output_Mac!$A:$A,Output_Mac!U:U,""),
_xlpm.MyAuditVal,_xlfn.XLOOKUP($A106,My_Audit!$A:$A,My_Audit!R:R,""),
_xlfn.IFS(_xlpm.MyAuditVal&lt;&gt;"",UPPER(_xlpm.MyAuditVal),_xlpm.MacVal&lt;&gt;"",_xlpm.MacVal,_xlpm.CSVVal&lt;&gt;"",_xlpm.CSVVal
)),"")</f>
        <v/>
      </c>
      <c r="X106" t="str">
        <f>_xlfn.LET(
    _xlpm.MacVal, _xlfn.XLOOKUP($A106, Output_Mac!$A:$A, Output_Mac!AB:AB, ""),
    _xlpm.MyAuditVal, _xlfn.XLOOKUP($A106, My_Audit!$A:$A, My_Audit!N:N, ""),
    _xlfn.TEXTJOIN(", ", TRUE, _xlpm.MyAuditVal, _xlpm.MacVal)
)</f>
        <v/>
      </c>
    </row>
    <row r="107" spans="1:24">
      <c r="A107" s="2" t="str">
        <f>_xlfn.TEXTJOIN("",TRUE,Input!$B$2,ROW(My_Audit!A106))</f>
        <v>X106</v>
      </c>
      <c r="B107" s="2" t="str">
        <f>_xlfn.TEXTJOIN("-",TRUE,"ITD",Input!$A$2,A107)</f>
        <v>ITD-SHR-X106</v>
      </c>
      <c r="C107" s="2" t="str" cm="1">
        <f t="array" ref="C107">IFERROR(_xlfn.LET(
_xlpm.CSVVal,_xlfn.XLOOKUP($A107,CSV!$A:$A,CSV!B:B,""),
_xlpm.MacVal,_xlfn.XLOOKUP($A107,Output_Mac!$A:$A,Output_Mac!B:B,""),
_xlpm.MyAuditVal,_xlfn.XLOOKUP($A107,My_Audit!$A:$A,My_Audit!B:B,""),
_xlfn.IFS(_xlpm.MyAuditVal&lt;&gt;"",UPPER(_xlpm.MyAuditVal),_xlpm.MacVal&lt;&gt;"",_xlpm.MacVal,_xlpm.CSVVal&lt;&gt;"",_xlpm.CSVVal
)),"")</f>
        <v/>
      </c>
      <c r="D107" s="2" t="str" cm="1">
        <f t="array" ref="D107">IFERROR(_xlfn.LET(
_xlpm.CSVVal,_xlfn.XLOOKUP($A107,CSV!$A:$A,CSV!D:D,""),
_xlpm.MacVal,_xlfn.XLOOKUP($A107,Output_Mac!$A:$A,Output_Mac!C:C,""),
_xlpm.MyAuditVal,_xlfn.XLOOKUP($A107,My_Audit!$A:$A,My_Audit!C:C,""),
_xlfn.IFS(_xlpm.MyAuditVal&lt;&gt;"",_xlpm.MyAuditVal,_xlpm.MacVal&lt;&gt;"",_xlpm.MacVal,_xlpm.CSVVal&lt;&gt;"",_xlpm.CSVVal
)),"")</f>
        <v/>
      </c>
      <c r="E107" s="2" t="str">
        <f>_xlfn.XLOOKUP(A107,My_Audit!A:A,My_Audit!D:D,"")</f>
        <v/>
      </c>
      <c r="F107" s="2" t="str" cm="1">
        <f t="array" ref="F107">IFERROR(_xlfn.LET(
_xlpm.CSVVal,_xlfn.XLOOKUP($A107,CSV!$A:$A,CSV!F:F,""),
_xlpm.MacVal,_xlfn.XLOOKUP($A107,Output_Mac!$A:$A,Output_Mac!E:E,""),
_xlpm.MyAuditVal,_xlfn.XLOOKUP($A107,My_Audit!$A:$A,My_Audit!E:E,""),
_xlfn.IFS(_xlpm.MyAuditVal&lt;&gt;"",_xlpm.MyAuditVal,_xlpm.MacVal&lt;&gt;"",_xlpm.MacVal,_xlpm.CSVVal&lt;&gt;"",_xlpm.CSVVal
)),"")</f>
        <v/>
      </c>
      <c r="G107" s="2" t="str" cm="1">
        <f t="array" ref="G107">IFERROR(_xlfn.LET(
_xlpm.CSVVal,_xlfn.XLOOKUP($A107,CSV!$A:$A,CSV!G:G,""),
_xlpm.MacVal,_xlfn.XLOOKUP($A107,Output_Mac!$A:$A,Output_Mac!F:F,""),
_xlpm.MyAuditVal,_xlfn.XLOOKUP($A107,My_Audit!$A:$A,My_Audit!F:F,""),
_xlfn.IFS(_xlpm.MyAuditVal&lt;&gt;"",_xlpm.MyAuditVal,_xlpm.MacVal&lt;&gt;"",_xlpm.MacVal,_xlpm.CSVVal&lt;&gt;"",PROPER(_xlpm.CSVVal)
)),"")</f>
        <v/>
      </c>
      <c r="H107" s="2" t="str" cm="1">
        <f t="array" ref="H107">IFERROR(_xlfn.LET(
_xlpm.CSVVal,_xlfn.XLOOKUP($A107,CSV!$A:$A,CSV!H:H,""),
_xlpm.MacVal,_xlfn.XLOOKUP($A107,Output_Mac!$A:$A,Output_Mac!H:H,""),
_xlpm.MyAuditVal,_xlfn.XLOOKUP($A107,My_Audit!$A:$A,My_Audit!G:G,""),
_xlfn.IFS(_xlpm.MyAuditVal&lt;&gt;"",_xlpm.MyAuditVal,_xlpm.MacVal&lt;&gt;"",_xlpm.MacVal,_xlpm.CSVVal&lt;&gt;"",_xlpm.CSVVal
)),"")</f>
        <v/>
      </c>
      <c r="I107" s="2" t="str">
        <f>_xlfn.XLOOKUP(A107,Output_Mac!A:A,Output_Mac!I:I,"")</f>
        <v/>
      </c>
      <c r="J107" s="2" t="str" cm="1">
        <f t="array" ref="J107">IFERROR(_xlfn.LET(
_xlpm.CSVVal,_xlfn.XLOOKUP($A107,CSV!$A:$A,CSV!I:I,""),
_xlpm.MacVal,_xlfn.XLOOKUP($A107,Output_Mac!$A:$A,Output_Mac!J:J,""),
_xlpm.MyAuditVal,_xlfn.XLOOKUP($A107,My_Audit!$A:$A,My_Audit!I:I,""),
_xlfn.IFS(_xlpm.MyAuditVal&lt;&gt;"",UPPER(_xlpm.MyAuditVal),_xlpm.MacVal&lt;&gt;"",_xlpm.MacVal,_xlpm.CSVVal&lt;&gt;"",_xlpm.CSVVal
)),"")</f>
        <v/>
      </c>
      <c r="K107" s="2" t="str" cm="1">
        <f t="array" ref="K107">IFERROR(_xlfn.LET(
_xlpm.CSVVal,_xlfn.XLOOKUP($A107,CSV!$A:$A,CSV!K:K,""),
_xlpm.MacVal,_xlfn.XLOOKUP($A107,Output_Mac!$A:$A,Output_Mac!K:K,""),
_xlpm.MyAuditVal,_xlfn.XLOOKUP($A107,My_Audit!$A:$A,My_Audit!J:J,""),
_xlfn.IFS(_xlpm.MyAuditVal&lt;&gt;"",UPPER(_xlpm.MyAuditVal),_xlpm.MacVal&lt;&gt;"",_xlpm.MacVal,_xlpm.CSVVal&lt;&gt;"",_xlpm.CSVVal
)),"")</f>
        <v/>
      </c>
      <c r="L107" s="2" t="str" cm="1">
        <f t="array" ref="L107">IFERROR(_xlfn.LET(
_xlpm.CSVVal,_xlfn.XLOOKUP($A107,CSV!$A:$A,CSV!P:P,""),
_xlpm.MacVal,_xlfn.XLOOKUP($A107,Output_Mac!$A:$A,Output_Mac!L:L,""),
_xlpm.MyAuditVal,_xlfn.XLOOKUP($A107,My_Audit!$A:$A,My_Audit!K:K,""),
_xlfn.IFS(_xlpm.MyAuditVal&lt;&gt;"",UPPER(_xlpm.MyAuditVal),_xlpm.MacVal&lt;&gt;"",_xlpm.MacVal,_xlpm.CSVVal&lt;&gt;"",_xlpm.CSVVal
)),"")</f>
        <v/>
      </c>
      <c r="M107" s="2" t="str" cm="1">
        <f t="array" ref="M107">IFERROR(_xlfn.LET(
_xlpm.CSVVal,_xlfn.XLOOKUP($A107,CSV!$A:$A,CSV!Q:Q,""),
_xlpm.MacVal,_xlfn.XLOOKUP($A107,Output_Mac!$A:$A,Output_Mac!M:M,""),
_xlpm.MyAuditVal,_xlfn.XLOOKUP($A107,My_Audit!$A:$A,My_Audit!L:L,""),
_xlfn.IFS(_xlpm.MyAuditVal&lt;&gt;"",UPPER(_xlpm.MyAuditVal),_xlpm.MacVal&lt;&gt;"",_xlpm.MacVal,_xlpm.CSVVal&lt;&gt;"",_xlpm.CSVVal
)),"")</f>
        <v/>
      </c>
      <c r="O107" s="2" t="str">
        <f>_xlfn.LET(
    _xlpm.CSVVal, _xlfn.XLOOKUP($A107, CSV!$A:$A, CSV!AA:AA, ""),
    _xlpm.MacVal, _xlfn.XLOOKUP($A107, Output_Mac!$A:$A, Output_Mac!S:S, ""),
    _xlpm.MyAuditVal, _xlfn.XLOOKUP($A107, My_Audit!$A:$A, My_Audit!P:P, ""),
    _xlfn.TEXTJOIN(", ", TRUE, _xlpm.MyAuditVal, _xlpm.MacVal, _xlpm.CSVVal)
)</f>
        <v/>
      </c>
      <c r="P107" s="2" t="str" cm="1">
        <f t="array" ref="P107">IFERROR(_xlfn.LET(
_xlpm.CSVVal,_xlfn.XLOOKUP($A107,CSV!$A:$A,CSV!AB:AB,""),
_xlpm.MacVal,_xlfn.XLOOKUP($A107,Output_Mac!$A:$A,Output_Mac!T:T,""),
_xlpm.MyAuditVal,_xlfn.XLOOKUP($A107,My_Audit!$A:$A,My_Audit!Q:Q,""),
_xlfn.IFS(_xlpm.MyAuditVal&lt;&gt;"",UPPER(_xlpm.MyAuditVal),_xlpm.MacVal&lt;&gt;"",_xlpm.MacVal,_xlpm.CSVVal&lt;&gt;"",_xlpm.CSVVal
)),"No")</f>
        <v>No</v>
      </c>
      <c r="Q107" s="2" t="str" cm="1">
        <f t="array" ref="Q107">IFERROR(_xlfn.LET(
_xlpm.CSVVal,_xlfn.XLOOKUP($A107,CSV!$A:$A,CSV!AC:AC,""),
_xlpm.MacVal,_xlfn.XLOOKUP($A107,Output_Mac!$A:$A,Output_Mac!U:U,""),
_xlpm.MyAuditVal,_xlfn.XLOOKUP($A107,My_Audit!$A:$A,My_Audit!R:R,""),
_xlfn.IFS(_xlpm.MyAuditVal&lt;&gt;"",UPPER(_xlpm.MyAuditVal),_xlpm.MacVal&lt;&gt;"",_xlpm.MacVal,_xlpm.CSVVal&lt;&gt;"",_xlpm.CSVVal
)),"")</f>
        <v/>
      </c>
      <c r="X107" t="str">
        <f>_xlfn.LET(
    _xlpm.MacVal, _xlfn.XLOOKUP($A107, Output_Mac!$A:$A, Output_Mac!AB:AB, ""),
    _xlpm.MyAuditVal, _xlfn.XLOOKUP($A107, My_Audit!$A:$A, My_Audit!N:N, ""),
    _xlfn.TEXTJOIN(", ", TRUE, _xlpm.MyAuditVal, _xlpm.MacVal)
)</f>
        <v/>
      </c>
    </row>
    <row r="108" spans="1:24">
      <c r="A108" s="2" t="str">
        <f>_xlfn.TEXTJOIN("",TRUE,Input!$B$2,ROW(My_Audit!A107))</f>
        <v>X107</v>
      </c>
      <c r="B108" s="2" t="str">
        <f>_xlfn.TEXTJOIN("-",TRUE,"ITD",Input!$A$2,A108)</f>
        <v>ITD-SHR-X107</v>
      </c>
      <c r="C108" s="2" t="str" cm="1">
        <f t="array" ref="C108">IFERROR(_xlfn.LET(
_xlpm.CSVVal,_xlfn.XLOOKUP($A108,CSV!$A:$A,CSV!B:B,""),
_xlpm.MacVal,_xlfn.XLOOKUP($A108,Output_Mac!$A:$A,Output_Mac!B:B,""),
_xlpm.MyAuditVal,_xlfn.XLOOKUP($A108,My_Audit!$A:$A,My_Audit!B:B,""),
_xlfn.IFS(_xlpm.MyAuditVal&lt;&gt;"",UPPER(_xlpm.MyAuditVal),_xlpm.MacVal&lt;&gt;"",_xlpm.MacVal,_xlpm.CSVVal&lt;&gt;"",_xlpm.CSVVal
)),"")</f>
        <v/>
      </c>
      <c r="D108" s="2" t="str" cm="1">
        <f t="array" ref="D108">IFERROR(_xlfn.LET(
_xlpm.CSVVal,_xlfn.XLOOKUP($A108,CSV!$A:$A,CSV!D:D,""),
_xlpm.MacVal,_xlfn.XLOOKUP($A108,Output_Mac!$A:$A,Output_Mac!C:C,""),
_xlpm.MyAuditVal,_xlfn.XLOOKUP($A108,My_Audit!$A:$A,My_Audit!C:C,""),
_xlfn.IFS(_xlpm.MyAuditVal&lt;&gt;"",_xlpm.MyAuditVal,_xlpm.MacVal&lt;&gt;"",_xlpm.MacVal,_xlpm.CSVVal&lt;&gt;"",_xlpm.CSVVal
)),"")</f>
        <v/>
      </c>
      <c r="E108" s="2" t="str">
        <f>_xlfn.XLOOKUP(A108,My_Audit!A:A,My_Audit!D:D,"")</f>
        <v/>
      </c>
      <c r="F108" s="2" t="str" cm="1">
        <f t="array" ref="F108">IFERROR(_xlfn.LET(
_xlpm.CSVVal,_xlfn.XLOOKUP($A108,CSV!$A:$A,CSV!F:F,""),
_xlpm.MacVal,_xlfn.XLOOKUP($A108,Output_Mac!$A:$A,Output_Mac!E:E,""),
_xlpm.MyAuditVal,_xlfn.XLOOKUP($A108,My_Audit!$A:$A,My_Audit!E:E,""),
_xlfn.IFS(_xlpm.MyAuditVal&lt;&gt;"",_xlpm.MyAuditVal,_xlpm.MacVal&lt;&gt;"",_xlpm.MacVal,_xlpm.CSVVal&lt;&gt;"",_xlpm.CSVVal
)),"")</f>
        <v/>
      </c>
      <c r="G108" s="2" t="str" cm="1">
        <f t="array" ref="G108">IFERROR(_xlfn.LET(
_xlpm.CSVVal,_xlfn.XLOOKUP($A108,CSV!$A:$A,CSV!G:G,""),
_xlpm.MacVal,_xlfn.XLOOKUP($A108,Output_Mac!$A:$A,Output_Mac!F:F,""),
_xlpm.MyAuditVal,_xlfn.XLOOKUP($A108,My_Audit!$A:$A,My_Audit!F:F,""),
_xlfn.IFS(_xlpm.MyAuditVal&lt;&gt;"",_xlpm.MyAuditVal,_xlpm.MacVal&lt;&gt;"",_xlpm.MacVal,_xlpm.CSVVal&lt;&gt;"",PROPER(_xlpm.CSVVal)
)),"")</f>
        <v/>
      </c>
      <c r="H108" s="2" t="str" cm="1">
        <f t="array" ref="H108">IFERROR(_xlfn.LET(
_xlpm.CSVVal,_xlfn.XLOOKUP($A108,CSV!$A:$A,CSV!H:H,""),
_xlpm.MacVal,_xlfn.XLOOKUP($A108,Output_Mac!$A:$A,Output_Mac!H:H,""),
_xlpm.MyAuditVal,_xlfn.XLOOKUP($A108,My_Audit!$A:$A,My_Audit!G:G,""),
_xlfn.IFS(_xlpm.MyAuditVal&lt;&gt;"",_xlpm.MyAuditVal,_xlpm.MacVal&lt;&gt;"",_xlpm.MacVal,_xlpm.CSVVal&lt;&gt;"",_xlpm.CSVVal
)),"")</f>
        <v/>
      </c>
      <c r="I108" s="2" t="str">
        <f>_xlfn.XLOOKUP(A108,Output_Mac!A:A,Output_Mac!I:I,"")</f>
        <v/>
      </c>
      <c r="J108" s="2" t="str" cm="1">
        <f t="array" ref="J108">IFERROR(_xlfn.LET(
_xlpm.CSVVal,_xlfn.XLOOKUP($A108,CSV!$A:$A,CSV!I:I,""),
_xlpm.MacVal,_xlfn.XLOOKUP($A108,Output_Mac!$A:$A,Output_Mac!J:J,""),
_xlpm.MyAuditVal,_xlfn.XLOOKUP($A108,My_Audit!$A:$A,My_Audit!I:I,""),
_xlfn.IFS(_xlpm.MyAuditVal&lt;&gt;"",UPPER(_xlpm.MyAuditVal),_xlpm.MacVal&lt;&gt;"",_xlpm.MacVal,_xlpm.CSVVal&lt;&gt;"",_xlpm.CSVVal
)),"")</f>
        <v/>
      </c>
      <c r="K108" s="2" t="str" cm="1">
        <f t="array" ref="K108">IFERROR(_xlfn.LET(
_xlpm.CSVVal,_xlfn.XLOOKUP($A108,CSV!$A:$A,CSV!K:K,""),
_xlpm.MacVal,_xlfn.XLOOKUP($A108,Output_Mac!$A:$A,Output_Mac!K:K,""),
_xlpm.MyAuditVal,_xlfn.XLOOKUP($A108,My_Audit!$A:$A,My_Audit!J:J,""),
_xlfn.IFS(_xlpm.MyAuditVal&lt;&gt;"",UPPER(_xlpm.MyAuditVal),_xlpm.MacVal&lt;&gt;"",_xlpm.MacVal,_xlpm.CSVVal&lt;&gt;"",_xlpm.CSVVal
)),"")</f>
        <v/>
      </c>
      <c r="L108" s="2" t="str" cm="1">
        <f t="array" ref="L108">IFERROR(_xlfn.LET(
_xlpm.CSVVal,_xlfn.XLOOKUP($A108,CSV!$A:$A,CSV!P:P,""),
_xlpm.MacVal,_xlfn.XLOOKUP($A108,Output_Mac!$A:$A,Output_Mac!L:L,""),
_xlpm.MyAuditVal,_xlfn.XLOOKUP($A108,My_Audit!$A:$A,My_Audit!K:K,""),
_xlfn.IFS(_xlpm.MyAuditVal&lt;&gt;"",UPPER(_xlpm.MyAuditVal),_xlpm.MacVal&lt;&gt;"",_xlpm.MacVal,_xlpm.CSVVal&lt;&gt;"",_xlpm.CSVVal
)),"")</f>
        <v/>
      </c>
      <c r="M108" s="2" t="str" cm="1">
        <f t="array" ref="M108">IFERROR(_xlfn.LET(
_xlpm.CSVVal,_xlfn.XLOOKUP($A108,CSV!$A:$A,CSV!Q:Q,""),
_xlpm.MacVal,_xlfn.XLOOKUP($A108,Output_Mac!$A:$A,Output_Mac!M:M,""),
_xlpm.MyAuditVal,_xlfn.XLOOKUP($A108,My_Audit!$A:$A,My_Audit!L:L,""),
_xlfn.IFS(_xlpm.MyAuditVal&lt;&gt;"",UPPER(_xlpm.MyAuditVal),_xlpm.MacVal&lt;&gt;"",_xlpm.MacVal,_xlpm.CSVVal&lt;&gt;"",_xlpm.CSVVal
)),"")</f>
        <v/>
      </c>
      <c r="O108" s="2" t="str">
        <f>_xlfn.LET(
    _xlpm.CSVVal, _xlfn.XLOOKUP($A108, CSV!$A:$A, CSV!AA:AA, ""),
    _xlpm.MacVal, _xlfn.XLOOKUP($A108, Output_Mac!$A:$A, Output_Mac!S:S, ""),
    _xlpm.MyAuditVal, _xlfn.XLOOKUP($A108, My_Audit!$A:$A, My_Audit!P:P, ""),
    _xlfn.TEXTJOIN(", ", TRUE, _xlpm.MyAuditVal, _xlpm.MacVal, _xlpm.CSVVal)
)</f>
        <v/>
      </c>
      <c r="P108" s="2" t="str" cm="1">
        <f t="array" ref="P108">IFERROR(_xlfn.LET(
_xlpm.CSVVal,_xlfn.XLOOKUP($A108,CSV!$A:$A,CSV!AB:AB,""),
_xlpm.MacVal,_xlfn.XLOOKUP($A108,Output_Mac!$A:$A,Output_Mac!T:T,""),
_xlpm.MyAuditVal,_xlfn.XLOOKUP($A108,My_Audit!$A:$A,My_Audit!Q:Q,""),
_xlfn.IFS(_xlpm.MyAuditVal&lt;&gt;"",UPPER(_xlpm.MyAuditVal),_xlpm.MacVal&lt;&gt;"",_xlpm.MacVal,_xlpm.CSVVal&lt;&gt;"",_xlpm.CSVVal
)),"No")</f>
        <v>No</v>
      </c>
      <c r="Q108" s="2" t="str" cm="1">
        <f t="array" ref="Q108">IFERROR(_xlfn.LET(
_xlpm.CSVVal,_xlfn.XLOOKUP($A108,CSV!$A:$A,CSV!AC:AC,""),
_xlpm.MacVal,_xlfn.XLOOKUP($A108,Output_Mac!$A:$A,Output_Mac!U:U,""),
_xlpm.MyAuditVal,_xlfn.XLOOKUP($A108,My_Audit!$A:$A,My_Audit!R:R,""),
_xlfn.IFS(_xlpm.MyAuditVal&lt;&gt;"",UPPER(_xlpm.MyAuditVal),_xlpm.MacVal&lt;&gt;"",_xlpm.MacVal,_xlpm.CSVVal&lt;&gt;"",_xlpm.CSVVal
)),"")</f>
        <v/>
      </c>
      <c r="X108" t="str">
        <f>_xlfn.LET(
    _xlpm.MacVal, _xlfn.XLOOKUP($A108, Output_Mac!$A:$A, Output_Mac!AB:AB, ""),
    _xlpm.MyAuditVal, _xlfn.XLOOKUP($A108, My_Audit!$A:$A, My_Audit!N:N, ""),
    _xlfn.TEXTJOIN(", ", TRUE, _xlpm.MyAuditVal, _xlpm.MacVal)
)</f>
        <v/>
      </c>
    </row>
    <row r="109" spans="1:24">
      <c r="A109" s="2" t="str">
        <f>_xlfn.TEXTJOIN("",TRUE,Input!$B$2,ROW(My_Audit!A108))</f>
        <v>X108</v>
      </c>
      <c r="B109" s="2" t="str">
        <f>_xlfn.TEXTJOIN("-",TRUE,"ITD",Input!$A$2,A109)</f>
        <v>ITD-SHR-X108</v>
      </c>
      <c r="C109" s="2" t="str" cm="1">
        <f t="array" ref="C109">IFERROR(_xlfn.LET(
_xlpm.CSVVal,_xlfn.XLOOKUP($A109,CSV!$A:$A,CSV!B:B,""),
_xlpm.MacVal,_xlfn.XLOOKUP($A109,Output_Mac!$A:$A,Output_Mac!B:B,""),
_xlpm.MyAuditVal,_xlfn.XLOOKUP($A109,My_Audit!$A:$A,My_Audit!B:B,""),
_xlfn.IFS(_xlpm.MyAuditVal&lt;&gt;"",UPPER(_xlpm.MyAuditVal),_xlpm.MacVal&lt;&gt;"",_xlpm.MacVal,_xlpm.CSVVal&lt;&gt;"",_xlpm.CSVVal
)),"")</f>
        <v/>
      </c>
      <c r="D109" s="2" t="str" cm="1">
        <f t="array" ref="D109">IFERROR(_xlfn.LET(
_xlpm.CSVVal,_xlfn.XLOOKUP($A109,CSV!$A:$A,CSV!D:D,""),
_xlpm.MacVal,_xlfn.XLOOKUP($A109,Output_Mac!$A:$A,Output_Mac!C:C,""),
_xlpm.MyAuditVal,_xlfn.XLOOKUP($A109,My_Audit!$A:$A,My_Audit!C:C,""),
_xlfn.IFS(_xlpm.MyAuditVal&lt;&gt;"",_xlpm.MyAuditVal,_xlpm.MacVal&lt;&gt;"",_xlpm.MacVal,_xlpm.CSVVal&lt;&gt;"",_xlpm.CSVVal
)),"")</f>
        <v/>
      </c>
      <c r="E109" s="2" t="str">
        <f>_xlfn.XLOOKUP(A109,My_Audit!A:A,My_Audit!D:D,"")</f>
        <v/>
      </c>
      <c r="F109" s="2" t="str" cm="1">
        <f t="array" ref="F109">IFERROR(_xlfn.LET(
_xlpm.CSVVal,_xlfn.XLOOKUP($A109,CSV!$A:$A,CSV!F:F,""),
_xlpm.MacVal,_xlfn.XLOOKUP($A109,Output_Mac!$A:$A,Output_Mac!E:E,""),
_xlpm.MyAuditVal,_xlfn.XLOOKUP($A109,My_Audit!$A:$A,My_Audit!E:E,""),
_xlfn.IFS(_xlpm.MyAuditVal&lt;&gt;"",_xlpm.MyAuditVal,_xlpm.MacVal&lt;&gt;"",_xlpm.MacVal,_xlpm.CSVVal&lt;&gt;"",_xlpm.CSVVal
)),"")</f>
        <v/>
      </c>
      <c r="G109" s="2" t="str" cm="1">
        <f t="array" ref="G109">IFERROR(_xlfn.LET(
_xlpm.CSVVal,_xlfn.XLOOKUP($A109,CSV!$A:$A,CSV!G:G,""),
_xlpm.MacVal,_xlfn.XLOOKUP($A109,Output_Mac!$A:$A,Output_Mac!F:F,""),
_xlpm.MyAuditVal,_xlfn.XLOOKUP($A109,My_Audit!$A:$A,My_Audit!F:F,""),
_xlfn.IFS(_xlpm.MyAuditVal&lt;&gt;"",_xlpm.MyAuditVal,_xlpm.MacVal&lt;&gt;"",_xlpm.MacVal,_xlpm.CSVVal&lt;&gt;"",PROPER(_xlpm.CSVVal)
)),"")</f>
        <v/>
      </c>
      <c r="H109" s="2" t="str" cm="1">
        <f t="array" ref="H109">IFERROR(_xlfn.LET(
_xlpm.CSVVal,_xlfn.XLOOKUP($A109,CSV!$A:$A,CSV!H:H,""),
_xlpm.MacVal,_xlfn.XLOOKUP($A109,Output_Mac!$A:$A,Output_Mac!H:H,""),
_xlpm.MyAuditVal,_xlfn.XLOOKUP($A109,My_Audit!$A:$A,My_Audit!G:G,""),
_xlfn.IFS(_xlpm.MyAuditVal&lt;&gt;"",_xlpm.MyAuditVal,_xlpm.MacVal&lt;&gt;"",_xlpm.MacVal,_xlpm.CSVVal&lt;&gt;"",_xlpm.CSVVal
)),"")</f>
        <v/>
      </c>
      <c r="I109" s="2" t="str">
        <f>_xlfn.XLOOKUP(A109,Output_Mac!A:A,Output_Mac!I:I,"")</f>
        <v/>
      </c>
      <c r="J109" s="2" t="str" cm="1">
        <f t="array" ref="J109">IFERROR(_xlfn.LET(
_xlpm.CSVVal,_xlfn.XLOOKUP($A109,CSV!$A:$A,CSV!I:I,""),
_xlpm.MacVal,_xlfn.XLOOKUP($A109,Output_Mac!$A:$A,Output_Mac!J:J,""),
_xlpm.MyAuditVal,_xlfn.XLOOKUP($A109,My_Audit!$A:$A,My_Audit!I:I,""),
_xlfn.IFS(_xlpm.MyAuditVal&lt;&gt;"",UPPER(_xlpm.MyAuditVal),_xlpm.MacVal&lt;&gt;"",_xlpm.MacVal,_xlpm.CSVVal&lt;&gt;"",_xlpm.CSVVal
)),"")</f>
        <v/>
      </c>
      <c r="K109" s="2" t="str" cm="1">
        <f t="array" ref="K109">IFERROR(_xlfn.LET(
_xlpm.CSVVal,_xlfn.XLOOKUP($A109,CSV!$A:$A,CSV!K:K,""),
_xlpm.MacVal,_xlfn.XLOOKUP($A109,Output_Mac!$A:$A,Output_Mac!K:K,""),
_xlpm.MyAuditVal,_xlfn.XLOOKUP($A109,My_Audit!$A:$A,My_Audit!J:J,""),
_xlfn.IFS(_xlpm.MyAuditVal&lt;&gt;"",UPPER(_xlpm.MyAuditVal),_xlpm.MacVal&lt;&gt;"",_xlpm.MacVal,_xlpm.CSVVal&lt;&gt;"",_xlpm.CSVVal
)),"")</f>
        <v/>
      </c>
      <c r="L109" s="2" t="str" cm="1">
        <f t="array" ref="L109">IFERROR(_xlfn.LET(
_xlpm.CSVVal,_xlfn.XLOOKUP($A109,CSV!$A:$A,CSV!P:P,""),
_xlpm.MacVal,_xlfn.XLOOKUP($A109,Output_Mac!$A:$A,Output_Mac!L:L,""),
_xlpm.MyAuditVal,_xlfn.XLOOKUP($A109,My_Audit!$A:$A,My_Audit!K:K,""),
_xlfn.IFS(_xlpm.MyAuditVal&lt;&gt;"",UPPER(_xlpm.MyAuditVal),_xlpm.MacVal&lt;&gt;"",_xlpm.MacVal,_xlpm.CSVVal&lt;&gt;"",_xlpm.CSVVal
)),"")</f>
        <v/>
      </c>
      <c r="M109" s="2" t="str" cm="1">
        <f t="array" ref="M109">IFERROR(_xlfn.LET(
_xlpm.CSVVal,_xlfn.XLOOKUP($A109,CSV!$A:$A,CSV!Q:Q,""),
_xlpm.MacVal,_xlfn.XLOOKUP($A109,Output_Mac!$A:$A,Output_Mac!M:M,""),
_xlpm.MyAuditVal,_xlfn.XLOOKUP($A109,My_Audit!$A:$A,My_Audit!L:L,""),
_xlfn.IFS(_xlpm.MyAuditVal&lt;&gt;"",UPPER(_xlpm.MyAuditVal),_xlpm.MacVal&lt;&gt;"",_xlpm.MacVal,_xlpm.CSVVal&lt;&gt;"",_xlpm.CSVVal
)),"")</f>
        <v/>
      </c>
      <c r="O109" s="2" t="str">
        <f>_xlfn.LET(
    _xlpm.CSVVal, _xlfn.XLOOKUP($A109, CSV!$A:$A, CSV!AA:AA, ""),
    _xlpm.MacVal, _xlfn.XLOOKUP($A109, Output_Mac!$A:$A, Output_Mac!S:S, ""),
    _xlpm.MyAuditVal, _xlfn.XLOOKUP($A109, My_Audit!$A:$A, My_Audit!P:P, ""),
    _xlfn.TEXTJOIN(", ", TRUE, _xlpm.MyAuditVal, _xlpm.MacVal, _xlpm.CSVVal)
)</f>
        <v/>
      </c>
      <c r="P109" s="2" t="str" cm="1">
        <f t="array" ref="P109">IFERROR(_xlfn.LET(
_xlpm.CSVVal,_xlfn.XLOOKUP($A109,CSV!$A:$A,CSV!AB:AB,""),
_xlpm.MacVal,_xlfn.XLOOKUP($A109,Output_Mac!$A:$A,Output_Mac!T:T,""),
_xlpm.MyAuditVal,_xlfn.XLOOKUP($A109,My_Audit!$A:$A,My_Audit!Q:Q,""),
_xlfn.IFS(_xlpm.MyAuditVal&lt;&gt;"",UPPER(_xlpm.MyAuditVal),_xlpm.MacVal&lt;&gt;"",_xlpm.MacVal,_xlpm.CSVVal&lt;&gt;"",_xlpm.CSVVal
)),"No")</f>
        <v>No</v>
      </c>
      <c r="Q109" s="2" t="str" cm="1">
        <f t="array" ref="Q109">IFERROR(_xlfn.LET(
_xlpm.CSVVal,_xlfn.XLOOKUP($A109,CSV!$A:$A,CSV!AC:AC,""),
_xlpm.MacVal,_xlfn.XLOOKUP($A109,Output_Mac!$A:$A,Output_Mac!U:U,""),
_xlpm.MyAuditVal,_xlfn.XLOOKUP($A109,My_Audit!$A:$A,My_Audit!R:R,""),
_xlfn.IFS(_xlpm.MyAuditVal&lt;&gt;"",UPPER(_xlpm.MyAuditVal),_xlpm.MacVal&lt;&gt;"",_xlpm.MacVal,_xlpm.CSVVal&lt;&gt;"",_xlpm.CSVVal
)),"")</f>
        <v/>
      </c>
      <c r="X109" t="str">
        <f>_xlfn.LET(
    _xlpm.MacVal, _xlfn.XLOOKUP($A109, Output_Mac!$A:$A, Output_Mac!AB:AB, ""),
    _xlpm.MyAuditVal, _xlfn.XLOOKUP($A109, My_Audit!$A:$A, My_Audit!N:N, ""),
    _xlfn.TEXTJOIN(", ", TRUE, _xlpm.MyAuditVal, _xlpm.MacVal)
)</f>
        <v/>
      </c>
    </row>
    <row r="110" spans="1:24">
      <c r="A110" s="2" t="str">
        <f>_xlfn.TEXTJOIN("",TRUE,Input!$B$2,ROW(My_Audit!A109))</f>
        <v>X109</v>
      </c>
      <c r="B110" s="2" t="str">
        <f>_xlfn.TEXTJOIN("-",TRUE,"ITD",Input!$A$2,A110)</f>
        <v>ITD-SHR-X109</v>
      </c>
      <c r="C110" s="2" t="str" cm="1">
        <f t="array" ref="C110">IFERROR(_xlfn.LET(
_xlpm.CSVVal,_xlfn.XLOOKUP($A110,CSV!$A:$A,CSV!B:B,""),
_xlpm.MacVal,_xlfn.XLOOKUP($A110,Output_Mac!$A:$A,Output_Mac!B:B,""),
_xlpm.MyAuditVal,_xlfn.XLOOKUP($A110,My_Audit!$A:$A,My_Audit!B:B,""),
_xlfn.IFS(_xlpm.MyAuditVal&lt;&gt;"",UPPER(_xlpm.MyAuditVal),_xlpm.MacVal&lt;&gt;"",_xlpm.MacVal,_xlpm.CSVVal&lt;&gt;"",_xlpm.CSVVal
)),"")</f>
        <v/>
      </c>
      <c r="D110" s="2" t="str" cm="1">
        <f t="array" ref="D110">IFERROR(_xlfn.LET(
_xlpm.CSVVal,_xlfn.XLOOKUP($A110,CSV!$A:$A,CSV!D:D,""),
_xlpm.MacVal,_xlfn.XLOOKUP($A110,Output_Mac!$A:$A,Output_Mac!C:C,""),
_xlpm.MyAuditVal,_xlfn.XLOOKUP($A110,My_Audit!$A:$A,My_Audit!C:C,""),
_xlfn.IFS(_xlpm.MyAuditVal&lt;&gt;"",_xlpm.MyAuditVal,_xlpm.MacVal&lt;&gt;"",_xlpm.MacVal,_xlpm.CSVVal&lt;&gt;"",_xlpm.CSVVal
)),"")</f>
        <v/>
      </c>
      <c r="E110" s="2" t="str">
        <f>_xlfn.XLOOKUP(A110,My_Audit!A:A,My_Audit!D:D,"")</f>
        <v/>
      </c>
      <c r="F110" s="2" t="str" cm="1">
        <f t="array" ref="F110">IFERROR(_xlfn.LET(
_xlpm.CSVVal,_xlfn.XLOOKUP($A110,CSV!$A:$A,CSV!F:F,""),
_xlpm.MacVal,_xlfn.XLOOKUP($A110,Output_Mac!$A:$A,Output_Mac!E:E,""),
_xlpm.MyAuditVal,_xlfn.XLOOKUP($A110,My_Audit!$A:$A,My_Audit!E:E,""),
_xlfn.IFS(_xlpm.MyAuditVal&lt;&gt;"",_xlpm.MyAuditVal,_xlpm.MacVal&lt;&gt;"",_xlpm.MacVal,_xlpm.CSVVal&lt;&gt;"",_xlpm.CSVVal
)),"")</f>
        <v/>
      </c>
      <c r="G110" s="2" t="str" cm="1">
        <f t="array" ref="G110">IFERROR(_xlfn.LET(
_xlpm.CSVVal,_xlfn.XLOOKUP($A110,CSV!$A:$A,CSV!G:G,""),
_xlpm.MacVal,_xlfn.XLOOKUP($A110,Output_Mac!$A:$A,Output_Mac!F:F,""),
_xlpm.MyAuditVal,_xlfn.XLOOKUP($A110,My_Audit!$A:$A,My_Audit!F:F,""),
_xlfn.IFS(_xlpm.MyAuditVal&lt;&gt;"",_xlpm.MyAuditVal,_xlpm.MacVal&lt;&gt;"",_xlpm.MacVal,_xlpm.CSVVal&lt;&gt;"",PROPER(_xlpm.CSVVal)
)),"")</f>
        <v/>
      </c>
      <c r="H110" s="2" t="str" cm="1">
        <f t="array" ref="H110">IFERROR(_xlfn.LET(
_xlpm.CSVVal,_xlfn.XLOOKUP($A110,CSV!$A:$A,CSV!H:H,""),
_xlpm.MacVal,_xlfn.XLOOKUP($A110,Output_Mac!$A:$A,Output_Mac!H:H,""),
_xlpm.MyAuditVal,_xlfn.XLOOKUP($A110,My_Audit!$A:$A,My_Audit!G:G,""),
_xlfn.IFS(_xlpm.MyAuditVal&lt;&gt;"",_xlpm.MyAuditVal,_xlpm.MacVal&lt;&gt;"",_xlpm.MacVal,_xlpm.CSVVal&lt;&gt;"",_xlpm.CSVVal
)),"")</f>
        <v/>
      </c>
      <c r="I110" s="2" t="str">
        <f>_xlfn.XLOOKUP(A110,Output_Mac!A:A,Output_Mac!I:I,"")</f>
        <v/>
      </c>
      <c r="J110" s="2" t="str" cm="1">
        <f t="array" ref="J110">IFERROR(_xlfn.LET(
_xlpm.CSVVal,_xlfn.XLOOKUP($A110,CSV!$A:$A,CSV!I:I,""),
_xlpm.MacVal,_xlfn.XLOOKUP($A110,Output_Mac!$A:$A,Output_Mac!J:J,""),
_xlpm.MyAuditVal,_xlfn.XLOOKUP($A110,My_Audit!$A:$A,My_Audit!I:I,""),
_xlfn.IFS(_xlpm.MyAuditVal&lt;&gt;"",UPPER(_xlpm.MyAuditVal),_xlpm.MacVal&lt;&gt;"",_xlpm.MacVal,_xlpm.CSVVal&lt;&gt;"",_xlpm.CSVVal
)),"")</f>
        <v/>
      </c>
      <c r="K110" s="2" t="str" cm="1">
        <f t="array" ref="K110">IFERROR(_xlfn.LET(
_xlpm.CSVVal,_xlfn.XLOOKUP($A110,CSV!$A:$A,CSV!K:K,""),
_xlpm.MacVal,_xlfn.XLOOKUP($A110,Output_Mac!$A:$A,Output_Mac!K:K,""),
_xlpm.MyAuditVal,_xlfn.XLOOKUP($A110,My_Audit!$A:$A,My_Audit!J:J,""),
_xlfn.IFS(_xlpm.MyAuditVal&lt;&gt;"",UPPER(_xlpm.MyAuditVal),_xlpm.MacVal&lt;&gt;"",_xlpm.MacVal,_xlpm.CSVVal&lt;&gt;"",_xlpm.CSVVal
)),"")</f>
        <v/>
      </c>
      <c r="L110" s="2" t="str" cm="1">
        <f t="array" ref="L110">IFERROR(_xlfn.LET(
_xlpm.CSVVal,_xlfn.XLOOKUP($A110,CSV!$A:$A,CSV!P:P,""),
_xlpm.MacVal,_xlfn.XLOOKUP($A110,Output_Mac!$A:$A,Output_Mac!L:L,""),
_xlpm.MyAuditVal,_xlfn.XLOOKUP($A110,My_Audit!$A:$A,My_Audit!K:K,""),
_xlfn.IFS(_xlpm.MyAuditVal&lt;&gt;"",UPPER(_xlpm.MyAuditVal),_xlpm.MacVal&lt;&gt;"",_xlpm.MacVal,_xlpm.CSVVal&lt;&gt;"",_xlpm.CSVVal
)),"")</f>
        <v/>
      </c>
      <c r="M110" s="2" t="str" cm="1">
        <f t="array" ref="M110">IFERROR(_xlfn.LET(
_xlpm.CSVVal,_xlfn.XLOOKUP($A110,CSV!$A:$A,CSV!Q:Q,""),
_xlpm.MacVal,_xlfn.XLOOKUP($A110,Output_Mac!$A:$A,Output_Mac!M:M,""),
_xlpm.MyAuditVal,_xlfn.XLOOKUP($A110,My_Audit!$A:$A,My_Audit!L:L,""),
_xlfn.IFS(_xlpm.MyAuditVal&lt;&gt;"",UPPER(_xlpm.MyAuditVal),_xlpm.MacVal&lt;&gt;"",_xlpm.MacVal,_xlpm.CSVVal&lt;&gt;"",_xlpm.CSVVal
)),"")</f>
        <v/>
      </c>
      <c r="O110" s="2" t="str">
        <f>_xlfn.LET(
    _xlpm.CSVVal, _xlfn.XLOOKUP($A110, CSV!$A:$A, CSV!AA:AA, ""),
    _xlpm.MacVal, _xlfn.XLOOKUP($A110, Output_Mac!$A:$A, Output_Mac!S:S, ""),
    _xlpm.MyAuditVal, _xlfn.XLOOKUP($A110, My_Audit!$A:$A, My_Audit!P:P, ""),
    _xlfn.TEXTJOIN(", ", TRUE, _xlpm.MyAuditVal, _xlpm.MacVal, _xlpm.CSVVal)
)</f>
        <v/>
      </c>
      <c r="P110" s="2" t="str" cm="1">
        <f t="array" ref="P110">IFERROR(_xlfn.LET(
_xlpm.CSVVal,_xlfn.XLOOKUP($A110,CSV!$A:$A,CSV!AB:AB,""),
_xlpm.MacVal,_xlfn.XLOOKUP($A110,Output_Mac!$A:$A,Output_Mac!T:T,""),
_xlpm.MyAuditVal,_xlfn.XLOOKUP($A110,My_Audit!$A:$A,My_Audit!Q:Q,""),
_xlfn.IFS(_xlpm.MyAuditVal&lt;&gt;"",UPPER(_xlpm.MyAuditVal),_xlpm.MacVal&lt;&gt;"",_xlpm.MacVal,_xlpm.CSVVal&lt;&gt;"",_xlpm.CSVVal
)),"No")</f>
        <v>No</v>
      </c>
      <c r="Q110" s="2" t="str" cm="1">
        <f t="array" ref="Q110">IFERROR(_xlfn.LET(
_xlpm.CSVVal,_xlfn.XLOOKUP($A110,CSV!$A:$A,CSV!AC:AC,""),
_xlpm.MacVal,_xlfn.XLOOKUP($A110,Output_Mac!$A:$A,Output_Mac!U:U,""),
_xlpm.MyAuditVal,_xlfn.XLOOKUP($A110,My_Audit!$A:$A,My_Audit!R:R,""),
_xlfn.IFS(_xlpm.MyAuditVal&lt;&gt;"",UPPER(_xlpm.MyAuditVal),_xlpm.MacVal&lt;&gt;"",_xlpm.MacVal,_xlpm.CSVVal&lt;&gt;"",_xlpm.CSVVal
)),"")</f>
        <v/>
      </c>
      <c r="X110" t="str">
        <f>_xlfn.LET(
    _xlpm.MacVal, _xlfn.XLOOKUP($A110, Output_Mac!$A:$A, Output_Mac!AB:AB, ""),
    _xlpm.MyAuditVal, _xlfn.XLOOKUP($A110, My_Audit!$A:$A, My_Audit!N:N, ""),
    _xlfn.TEXTJOIN(", ", TRUE, _xlpm.MyAuditVal, _xlpm.MacVal)
)</f>
        <v/>
      </c>
    </row>
    <row r="111" spans="1:24">
      <c r="A111" s="2" t="str">
        <f>_xlfn.TEXTJOIN("",TRUE,Input!$B$2,ROW(My_Audit!A110))</f>
        <v>X110</v>
      </c>
      <c r="B111" s="2" t="str">
        <f>_xlfn.TEXTJOIN("-",TRUE,"ITD",Input!$A$2,A111)</f>
        <v>ITD-SHR-X110</v>
      </c>
      <c r="C111" s="2" t="str" cm="1">
        <f t="array" ref="C111">IFERROR(_xlfn.LET(
_xlpm.CSVVal,_xlfn.XLOOKUP($A111,CSV!$A:$A,CSV!B:B,""),
_xlpm.MacVal,_xlfn.XLOOKUP($A111,Output_Mac!$A:$A,Output_Mac!B:B,""),
_xlpm.MyAuditVal,_xlfn.XLOOKUP($A111,My_Audit!$A:$A,My_Audit!B:B,""),
_xlfn.IFS(_xlpm.MyAuditVal&lt;&gt;"",UPPER(_xlpm.MyAuditVal),_xlpm.MacVal&lt;&gt;"",_xlpm.MacVal,_xlpm.CSVVal&lt;&gt;"",_xlpm.CSVVal
)),"")</f>
        <v/>
      </c>
      <c r="D111" s="2" t="str" cm="1">
        <f t="array" ref="D111">IFERROR(_xlfn.LET(
_xlpm.CSVVal,_xlfn.XLOOKUP($A111,CSV!$A:$A,CSV!D:D,""),
_xlpm.MacVal,_xlfn.XLOOKUP($A111,Output_Mac!$A:$A,Output_Mac!C:C,""),
_xlpm.MyAuditVal,_xlfn.XLOOKUP($A111,My_Audit!$A:$A,My_Audit!C:C,""),
_xlfn.IFS(_xlpm.MyAuditVal&lt;&gt;"",_xlpm.MyAuditVal,_xlpm.MacVal&lt;&gt;"",_xlpm.MacVal,_xlpm.CSVVal&lt;&gt;"",_xlpm.CSVVal
)),"")</f>
        <v/>
      </c>
      <c r="E111" s="2" t="str">
        <f>_xlfn.XLOOKUP(A111,My_Audit!A:A,My_Audit!D:D,"")</f>
        <v/>
      </c>
      <c r="F111" s="2" t="str" cm="1">
        <f t="array" ref="F111">IFERROR(_xlfn.LET(
_xlpm.CSVVal,_xlfn.XLOOKUP($A111,CSV!$A:$A,CSV!F:F,""),
_xlpm.MacVal,_xlfn.XLOOKUP($A111,Output_Mac!$A:$A,Output_Mac!E:E,""),
_xlpm.MyAuditVal,_xlfn.XLOOKUP($A111,My_Audit!$A:$A,My_Audit!E:E,""),
_xlfn.IFS(_xlpm.MyAuditVal&lt;&gt;"",_xlpm.MyAuditVal,_xlpm.MacVal&lt;&gt;"",_xlpm.MacVal,_xlpm.CSVVal&lt;&gt;"",_xlpm.CSVVal
)),"")</f>
        <v/>
      </c>
      <c r="G111" s="2" t="str" cm="1">
        <f t="array" ref="G111">IFERROR(_xlfn.LET(
_xlpm.CSVVal,_xlfn.XLOOKUP($A111,CSV!$A:$A,CSV!G:G,""),
_xlpm.MacVal,_xlfn.XLOOKUP($A111,Output_Mac!$A:$A,Output_Mac!F:F,""),
_xlpm.MyAuditVal,_xlfn.XLOOKUP($A111,My_Audit!$A:$A,My_Audit!F:F,""),
_xlfn.IFS(_xlpm.MyAuditVal&lt;&gt;"",_xlpm.MyAuditVal,_xlpm.MacVal&lt;&gt;"",_xlpm.MacVal,_xlpm.CSVVal&lt;&gt;"",PROPER(_xlpm.CSVVal)
)),"")</f>
        <v/>
      </c>
      <c r="H111" s="2" t="str" cm="1">
        <f t="array" ref="H111">IFERROR(_xlfn.LET(
_xlpm.CSVVal,_xlfn.XLOOKUP($A111,CSV!$A:$A,CSV!H:H,""),
_xlpm.MacVal,_xlfn.XLOOKUP($A111,Output_Mac!$A:$A,Output_Mac!H:H,""),
_xlpm.MyAuditVal,_xlfn.XLOOKUP($A111,My_Audit!$A:$A,My_Audit!G:G,""),
_xlfn.IFS(_xlpm.MyAuditVal&lt;&gt;"",_xlpm.MyAuditVal,_xlpm.MacVal&lt;&gt;"",_xlpm.MacVal,_xlpm.CSVVal&lt;&gt;"",_xlpm.CSVVal
)),"")</f>
        <v/>
      </c>
      <c r="I111" s="2" t="str">
        <f>_xlfn.XLOOKUP(A111,Output_Mac!A:A,Output_Mac!I:I,"")</f>
        <v/>
      </c>
      <c r="J111" s="2" t="str" cm="1">
        <f t="array" ref="J111">IFERROR(_xlfn.LET(
_xlpm.CSVVal,_xlfn.XLOOKUP($A111,CSV!$A:$A,CSV!I:I,""),
_xlpm.MacVal,_xlfn.XLOOKUP($A111,Output_Mac!$A:$A,Output_Mac!J:J,""),
_xlpm.MyAuditVal,_xlfn.XLOOKUP($A111,My_Audit!$A:$A,My_Audit!I:I,""),
_xlfn.IFS(_xlpm.MyAuditVal&lt;&gt;"",UPPER(_xlpm.MyAuditVal),_xlpm.MacVal&lt;&gt;"",_xlpm.MacVal,_xlpm.CSVVal&lt;&gt;"",_xlpm.CSVVal
)),"")</f>
        <v/>
      </c>
      <c r="K111" s="2" t="str" cm="1">
        <f t="array" ref="K111">IFERROR(_xlfn.LET(
_xlpm.CSVVal,_xlfn.XLOOKUP($A111,CSV!$A:$A,CSV!K:K,""),
_xlpm.MacVal,_xlfn.XLOOKUP($A111,Output_Mac!$A:$A,Output_Mac!K:K,""),
_xlpm.MyAuditVal,_xlfn.XLOOKUP($A111,My_Audit!$A:$A,My_Audit!J:J,""),
_xlfn.IFS(_xlpm.MyAuditVal&lt;&gt;"",UPPER(_xlpm.MyAuditVal),_xlpm.MacVal&lt;&gt;"",_xlpm.MacVal,_xlpm.CSVVal&lt;&gt;"",_xlpm.CSVVal
)),"")</f>
        <v/>
      </c>
      <c r="L111" s="2" t="str" cm="1">
        <f t="array" ref="L111">IFERROR(_xlfn.LET(
_xlpm.CSVVal,_xlfn.XLOOKUP($A111,CSV!$A:$A,CSV!P:P,""),
_xlpm.MacVal,_xlfn.XLOOKUP($A111,Output_Mac!$A:$A,Output_Mac!L:L,""),
_xlpm.MyAuditVal,_xlfn.XLOOKUP($A111,My_Audit!$A:$A,My_Audit!K:K,""),
_xlfn.IFS(_xlpm.MyAuditVal&lt;&gt;"",UPPER(_xlpm.MyAuditVal),_xlpm.MacVal&lt;&gt;"",_xlpm.MacVal,_xlpm.CSVVal&lt;&gt;"",_xlpm.CSVVal
)),"")</f>
        <v/>
      </c>
      <c r="M111" s="2" t="str" cm="1">
        <f t="array" ref="M111">IFERROR(_xlfn.LET(
_xlpm.CSVVal,_xlfn.XLOOKUP($A111,CSV!$A:$A,CSV!Q:Q,""),
_xlpm.MacVal,_xlfn.XLOOKUP($A111,Output_Mac!$A:$A,Output_Mac!M:M,""),
_xlpm.MyAuditVal,_xlfn.XLOOKUP($A111,My_Audit!$A:$A,My_Audit!L:L,""),
_xlfn.IFS(_xlpm.MyAuditVal&lt;&gt;"",UPPER(_xlpm.MyAuditVal),_xlpm.MacVal&lt;&gt;"",_xlpm.MacVal,_xlpm.CSVVal&lt;&gt;"",_xlpm.CSVVal
)),"")</f>
        <v/>
      </c>
      <c r="O111" s="2" t="str">
        <f>_xlfn.LET(
    _xlpm.CSVVal, _xlfn.XLOOKUP($A111, CSV!$A:$A, CSV!AA:AA, ""),
    _xlpm.MacVal, _xlfn.XLOOKUP($A111, Output_Mac!$A:$A, Output_Mac!S:S, ""),
    _xlpm.MyAuditVal, _xlfn.XLOOKUP($A111, My_Audit!$A:$A, My_Audit!P:P, ""),
    _xlfn.TEXTJOIN(", ", TRUE, _xlpm.MyAuditVal, _xlpm.MacVal, _xlpm.CSVVal)
)</f>
        <v/>
      </c>
      <c r="P111" s="2" t="str" cm="1">
        <f t="array" ref="P111">IFERROR(_xlfn.LET(
_xlpm.CSVVal,_xlfn.XLOOKUP($A111,CSV!$A:$A,CSV!AB:AB,""),
_xlpm.MacVal,_xlfn.XLOOKUP($A111,Output_Mac!$A:$A,Output_Mac!T:T,""),
_xlpm.MyAuditVal,_xlfn.XLOOKUP($A111,My_Audit!$A:$A,My_Audit!Q:Q,""),
_xlfn.IFS(_xlpm.MyAuditVal&lt;&gt;"",UPPER(_xlpm.MyAuditVal),_xlpm.MacVal&lt;&gt;"",_xlpm.MacVal,_xlpm.CSVVal&lt;&gt;"",_xlpm.CSVVal
)),"No")</f>
        <v>No</v>
      </c>
      <c r="Q111" s="2" t="str" cm="1">
        <f t="array" ref="Q111">IFERROR(_xlfn.LET(
_xlpm.CSVVal,_xlfn.XLOOKUP($A111,CSV!$A:$A,CSV!AC:AC,""),
_xlpm.MacVal,_xlfn.XLOOKUP($A111,Output_Mac!$A:$A,Output_Mac!U:U,""),
_xlpm.MyAuditVal,_xlfn.XLOOKUP($A111,My_Audit!$A:$A,My_Audit!R:R,""),
_xlfn.IFS(_xlpm.MyAuditVal&lt;&gt;"",UPPER(_xlpm.MyAuditVal),_xlpm.MacVal&lt;&gt;"",_xlpm.MacVal,_xlpm.CSVVal&lt;&gt;"",_xlpm.CSVVal
)),"")</f>
        <v/>
      </c>
      <c r="X111" t="str">
        <f>_xlfn.LET(
    _xlpm.MacVal, _xlfn.XLOOKUP($A111, Output_Mac!$A:$A, Output_Mac!AB:AB, ""),
    _xlpm.MyAuditVal, _xlfn.XLOOKUP($A111, My_Audit!$A:$A, My_Audit!N:N, ""),
    _xlfn.TEXTJOIN(", ", TRUE, _xlpm.MyAuditVal, _xlpm.MacVal)
)</f>
        <v/>
      </c>
    </row>
    <row r="112" spans="1:24">
      <c r="A112" s="2" t="str">
        <f>_xlfn.TEXTJOIN("",TRUE,Input!$B$2,ROW(My_Audit!A111))</f>
        <v>X111</v>
      </c>
      <c r="B112" s="2" t="str">
        <f>_xlfn.TEXTJOIN("-",TRUE,"ITD",Input!$A$2,A112)</f>
        <v>ITD-SHR-X111</v>
      </c>
      <c r="C112" s="2" t="str" cm="1">
        <f t="array" ref="C112">IFERROR(_xlfn.LET(
_xlpm.CSVVal,_xlfn.XLOOKUP($A112,CSV!$A:$A,CSV!B:B,""),
_xlpm.MacVal,_xlfn.XLOOKUP($A112,Output_Mac!$A:$A,Output_Mac!B:B,""),
_xlpm.MyAuditVal,_xlfn.XLOOKUP($A112,My_Audit!$A:$A,My_Audit!B:B,""),
_xlfn.IFS(_xlpm.MyAuditVal&lt;&gt;"",UPPER(_xlpm.MyAuditVal),_xlpm.MacVal&lt;&gt;"",_xlpm.MacVal,_xlpm.CSVVal&lt;&gt;"",_xlpm.CSVVal
)),"")</f>
        <v/>
      </c>
      <c r="D112" s="2" t="str" cm="1">
        <f t="array" ref="D112">IFERROR(_xlfn.LET(
_xlpm.CSVVal,_xlfn.XLOOKUP($A112,CSV!$A:$A,CSV!D:D,""),
_xlpm.MacVal,_xlfn.XLOOKUP($A112,Output_Mac!$A:$A,Output_Mac!C:C,""),
_xlpm.MyAuditVal,_xlfn.XLOOKUP($A112,My_Audit!$A:$A,My_Audit!C:C,""),
_xlfn.IFS(_xlpm.MyAuditVal&lt;&gt;"",_xlpm.MyAuditVal,_xlpm.MacVal&lt;&gt;"",_xlpm.MacVal,_xlpm.CSVVal&lt;&gt;"",_xlpm.CSVVal
)),"")</f>
        <v/>
      </c>
      <c r="E112" s="2" t="str">
        <f>_xlfn.XLOOKUP(A112,My_Audit!A:A,My_Audit!D:D,"")</f>
        <v/>
      </c>
      <c r="F112" s="2" t="str" cm="1">
        <f t="array" ref="F112">IFERROR(_xlfn.LET(
_xlpm.CSVVal,_xlfn.XLOOKUP($A112,CSV!$A:$A,CSV!F:F,""),
_xlpm.MacVal,_xlfn.XLOOKUP($A112,Output_Mac!$A:$A,Output_Mac!E:E,""),
_xlpm.MyAuditVal,_xlfn.XLOOKUP($A112,My_Audit!$A:$A,My_Audit!E:E,""),
_xlfn.IFS(_xlpm.MyAuditVal&lt;&gt;"",_xlpm.MyAuditVal,_xlpm.MacVal&lt;&gt;"",_xlpm.MacVal,_xlpm.CSVVal&lt;&gt;"",_xlpm.CSVVal
)),"")</f>
        <v/>
      </c>
      <c r="G112" s="2" t="str" cm="1">
        <f t="array" ref="G112">IFERROR(_xlfn.LET(
_xlpm.CSVVal,_xlfn.XLOOKUP($A112,CSV!$A:$A,CSV!G:G,""),
_xlpm.MacVal,_xlfn.XLOOKUP($A112,Output_Mac!$A:$A,Output_Mac!F:F,""),
_xlpm.MyAuditVal,_xlfn.XLOOKUP($A112,My_Audit!$A:$A,My_Audit!F:F,""),
_xlfn.IFS(_xlpm.MyAuditVal&lt;&gt;"",_xlpm.MyAuditVal,_xlpm.MacVal&lt;&gt;"",_xlpm.MacVal,_xlpm.CSVVal&lt;&gt;"",PROPER(_xlpm.CSVVal)
)),"")</f>
        <v/>
      </c>
      <c r="H112" s="2" t="str" cm="1">
        <f t="array" ref="H112">IFERROR(_xlfn.LET(
_xlpm.CSVVal,_xlfn.XLOOKUP($A112,CSV!$A:$A,CSV!H:H,""),
_xlpm.MacVal,_xlfn.XLOOKUP($A112,Output_Mac!$A:$A,Output_Mac!H:H,""),
_xlpm.MyAuditVal,_xlfn.XLOOKUP($A112,My_Audit!$A:$A,My_Audit!G:G,""),
_xlfn.IFS(_xlpm.MyAuditVal&lt;&gt;"",_xlpm.MyAuditVal,_xlpm.MacVal&lt;&gt;"",_xlpm.MacVal,_xlpm.CSVVal&lt;&gt;"",_xlpm.CSVVal
)),"")</f>
        <v/>
      </c>
      <c r="I112" s="2" t="str">
        <f>_xlfn.XLOOKUP(A112,Output_Mac!A:A,Output_Mac!I:I,"")</f>
        <v/>
      </c>
      <c r="J112" s="2" t="str" cm="1">
        <f t="array" ref="J112">IFERROR(_xlfn.LET(
_xlpm.CSVVal,_xlfn.XLOOKUP($A112,CSV!$A:$A,CSV!I:I,""),
_xlpm.MacVal,_xlfn.XLOOKUP($A112,Output_Mac!$A:$A,Output_Mac!J:J,""),
_xlpm.MyAuditVal,_xlfn.XLOOKUP($A112,My_Audit!$A:$A,My_Audit!I:I,""),
_xlfn.IFS(_xlpm.MyAuditVal&lt;&gt;"",UPPER(_xlpm.MyAuditVal),_xlpm.MacVal&lt;&gt;"",_xlpm.MacVal,_xlpm.CSVVal&lt;&gt;"",_xlpm.CSVVal
)),"")</f>
        <v/>
      </c>
      <c r="K112" s="2" t="str" cm="1">
        <f t="array" ref="K112">IFERROR(_xlfn.LET(
_xlpm.CSVVal,_xlfn.XLOOKUP($A112,CSV!$A:$A,CSV!K:K,""),
_xlpm.MacVal,_xlfn.XLOOKUP($A112,Output_Mac!$A:$A,Output_Mac!K:K,""),
_xlpm.MyAuditVal,_xlfn.XLOOKUP($A112,My_Audit!$A:$A,My_Audit!J:J,""),
_xlfn.IFS(_xlpm.MyAuditVal&lt;&gt;"",UPPER(_xlpm.MyAuditVal),_xlpm.MacVal&lt;&gt;"",_xlpm.MacVal,_xlpm.CSVVal&lt;&gt;"",_xlpm.CSVVal
)),"")</f>
        <v/>
      </c>
      <c r="L112" s="2" t="str" cm="1">
        <f t="array" ref="L112">IFERROR(_xlfn.LET(
_xlpm.CSVVal,_xlfn.XLOOKUP($A112,CSV!$A:$A,CSV!P:P,""),
_xlpm.MacVal,_xlfn.XLOOKUP($A112,Output_Mac!$A:$A,Output_Mac!L:L,""),
_xlpm.MyAuditVal,_xlfn.XLOOKUP($A112,My_Audit!$A:$A,My_Audit!K:K,""),
_xlfn.IFS(_xlpm.MyAuditVal&lt;&gt;"",UPPER(_xlpm.MyAuditVal),_xlpm.MacVal&lt;&gt;"",_xlpm.MacVal,_xlpm.CSVVal&lt;&gt;"",_xlpm.CSVVal
)),"")</f>
        <v/>
      </c>
      <c r="M112" s="2" t="str" cm="1">
        <f t="array" ref="M112">IFERROR(_xlfn.LET(
_xlpm.CSVVal,_xlfn.XLOOKUP($A112,CSV!$A:$A,CSV!Q:Q,""),
_xlpm.MacVal,_xlfn.XLOOKUP($A112,Output_Mac!$A:$A,Output_Mac!M:M,""),
_xlpm.MyAuditVal,_xlfn.XLOOKUP($A112,My_Audit!$A:$A,My_Audit!L:L,""),
_xlfn.IFS(_xlpm.MyAuditVal&lt;&gt;"",UPPER(_xlpm.MyAuditVal),_xlpm.MacVal&lt;&gt;"",_xlpm.MacVal,_xlpm.CSVVal&lt;&gt;"",_xlpm.CSVVal
)),"")</f>
        <v/>
      </c>
      <c r="O112" s="2" t="str">
        <f>_xlfn.LET(
    _xlpm.CSVVal, _xlfn.XLOOKUP($A112, CSV!$A:$A, CSV!AA:AA, ""),
    _xlpm.MacVal, _xlfn.XLOOKUP($A112, Output_Mac!$A:$A, Output_Mac!S:S, ""),
    _xlpm.MyAuditVal, _xlfn.XLOOKUP($A112, My_Audit!$A:$A, My_Audit!P:P, ""),
    _xlfn.TEXTJOIN(", ", TRUE, _xlpm.MyAuditVal, _xlpm.MacVal, _xlpm.CSVVal)
)</f>
        <v/>
      </c>
      <c r="P112" s="2" t="str" cm="1">
        <f t="array" ref="P112">IFERROR(_xlfn.LET(
_xlpm.CSVVal,_xlfn.XLOOKUP($A112,CSV!$A:$A,CSV!AB:AB,""),
_xlpm.MacVal,_xlfn.XLOOKUP($A112,Output_Mac!$A:$A,Output_Mac!T:T,""),
_xlpm.MyAuditVal,_xlfn.XLOOKUP($A112,My_Audit!$A:$A,My_Audit!Q:Q,""),
_xlfn.IFS(_xlpm.MyAuditVal&lt;&gt;"",UPPER(_xlpm.MyAuditVal),_xlpm.MacVal&lt;&gt;"",_xlpm.MacVal,_xlpm.CSVVal&lt;&gt;"",_xlpm.CSVVal
)),"No")</f>
        <v>No</v>
      </c>
      <c r="Q112" s="2" t="str" cm="1">
        <f t="array" ref="Q112">IFERROR(_xlfn.LET(
_xlpm.CSVVal,_xlfn.XLOOKUP($A112,CSV!$A:$A,CSV!AC:AC,""),
_xlpm.MacVal,_xlfn.XLOOKUP($A112,Output_Mac!$A:$A,Output_Mac!U:U,""),
_xlpm.MyAuditVal,_xlfn.XLOOKUP($A112,My_Audit!$A:$A,My_Audit!R:R,""),
_xlfn.IFS(_xlpm.MyAuditVal&lt;&gt;"",UPPER(_xlpm.MyAuditVal),_xlpm.MacVal&lt;&gt;"",_xlpm.MacVal,_xlpm.CSVVal&lt;&gt;"",_xlpm.CSVVal
)),"")</f>
        <v/>
      </c>
      <c r="X112" t="str">
        <f>_xlfn.LET(
    _xlpm.MacVal, _xlfn.XLOOKUP($A112, Output_Mac!$A:$A, Output_Mac!AB:AB, ""),
    _xlpm.MyAuditVal, _xlfn.XLOOKUP($A112, My_Audit!$A:$A, My_Audit!N:N, ""),
    _xlfn.TEXTJOIN(", ", TRUE, _xlpm.MyAuditVal, _xlpm.MacVal)
)</f>
        <v/>
      </c>
    </row>
    <row r="113" spans="1:24">
      <c r="A113" s="2" t="str">
        <f>_xlfn.TEXTJOIN("",TRUE,Input!$B$2,ROW(My_Audit!A112))</f>
        <v>X112</v>
      </c>
      <c r="B113" s="2" t="str">
        <f>_xlfn.TEXTJOIN("-",TRUE,"ITD",Input!$A$2,A113)</f>
        <v>ITD-SHR-X112</v>
      </c>
      <c r="C113" s="2" t="str" cm="1">
        <f t="array" ref="C113">IFERROR(_xlfn.LET(
_xlpm.CSVVal,_xlfn.XLOOKUP($A113,CSV!$A:$A,CSV!B:B,""),
_xlpm.MacVal,_xlfn.XLOOKUP($A113,Output_Mac!$A:$A,Output_Mac!B:B,""),
_xlpm.MyAuditVal,_xlfn.XLOOKUP($A113,My_Audit!$A:$A,My_Audit!B:B,""),
_xlfn.IFS(_xlpm.MyAuditVal&lt;&gt;"",UPPER(_xlpm.MyAuditVal),_xlpm.MacVal&lt;&gt;"",_xlpm.MacVal,_xlpm.CSVVal&lt;&gt;"",_xlpm.CSVVal
)),"")</f>
        <v/>
      </c>
      <c r="D113" s="2" t="str" cm="1">
        <f t="array" ref="D113">IFERROR(_xlfn.LET(
_xlpm.CSVVal,_xlfn.XLOOKUP($A113,CSV!$A:$A,CSV!D:D,""),
_xlpm.MacVal,_xlfn.XLOOKUP($A113,Output_Mac!$A:$A,Output_Mac!C:C,""),
_xlpm.MyAuditVal,_xlfn.XLOOKUP($A113,My_Audit!$A:$A,My_Audit!C:C,""),
_xlfn.IFS(_xlpm.MyAuditVal&lt;&gt;"",_xlpm.MyAuditVal,_xlpm.MacVal&lt;&gt;"",_xlpm.MacVal,_xlpm.CSVVal&lt;&gt;"",_xlpm.CSVVal
)),"")</f>
        <v/>
      </c>
      <c r="E113" s="2" t="str">
        <f>_xlfn.XLOOKUP(A113,My_Audit!A:A,My_Audit!D:D,"")</f>
        <v/>
      </c>
      <c r="F113" s="2" t="str" cm="1">
        <f t="array" ref="F113">IFERROR(_xlfn.LET(
_xlpm.CSVVal,_xlfn.XLOOKUP($A113,CSV!$A:$A,CSV!F:F,""),
_xlpm.MacVal,_xlfn.XLOOKUP($A113,Output_Mac!$A:$A,Output_Mac!E:E,""),
_xlpm.MyAuditVal,_xlfn.XLOOKUP($A113,My_Audit!$A:$A,My_Audit!E:E,""),
_xlfn.IFS(_xlpm.MyAuditVal&lt;&gt;"",_xlpm.MyAuditVal,_xlpm.MacVal&lt;&gt;"",_xlpm.MacVal,_xlpm.CSVVal&lt;&gt;"",_xlpm.CSVVal
)),"")</f>
        <v/>
      </c>
      <c r="G113" s="2" t="str" cm="1">
        <f t="array" ref="G113">IFERROR(_xlfn.LET(
_xlpm.CSVVal,_xlfn.XLOOKUP($A113,CSV!$A:$A,CSV!G:G,""),
_xlpm.MacVal,_xlfn.XLOOKUP($A113,Output_Mac!$A:$A,Output_Mac!F:F,""),
_xlpm.MyAuditVal,_xlfn.XLOOKUP($A113,My_Audit!$A:$A,My_Audit!F:F,""),
_xlfn.IFS(_xlpm.MyAuditVal&lt;&gt;"",_xlpm.MyAuditVal,_xlpm.MacVal&lt;&gt;"",_xlpm.MacVal,_xlpm.CSVVal&lt;&gt;"",PROPER(_xlpm.CSVVal)
)),"")</f>
        <v/>
      </c>
      <c r="H113" s="2" t="str" cm="1">
        <f t="array" ref="H113">IFERROR(_xlfn.LET(
_xlpm.CSVVal,_xlfn.XLOOKUP($A113,CSV!$A:$A,CSV!H:H,""),
_xlpm.MacVal,_xlfn.XLOOKUP($A113,Output_Mac!$A:$A,Output_Mac!H:H,""),
_xlpm.MyAuditVal,_xlfn.XLOOKUP($A113,My_Audit!$A:$A,My_Audit!G:G,""),
_xlfn.IFS(_xlpm.MyAuditVal&lt;&gt;"",_xlpm.MyAuditVal,_xlpm.MacVal&lt;&gt;"",_xlpm.MacVal,_xlpm.CSVVal&lt;&gt;"",_xlpm.CSVVal
)),"")</f>
        <v/>
      </c>
      <c r="I113" s="2" t="str">
        <f>_xlfn.XLOOKUP(A113,Output_Mac!A:A,Output_Mac!I:I,"")</f>
        <v/>
      </c>
      <c r="J113" s="2" t="str" cm="1">
        <f t="array" ref="J113">IFERROR(_xlfn.LET(
_xlpm.CSVVal,_xlfn.XLOOKUP($A113,CSV!$A:$A,CSV!I:I,""),
_xlpm.MacVal,_xlfn.XLOOKUP($A113,Output_Mac!$A:$A,Output_Mac!J:J,""),
_xlpm.MyAuditVal,_xlfn.XLOOKUP($A113,My_Audit!$A:$A,My_Audit!I:I,""),
_xlfn.IFS(_xlpm.MyAuditVal&lt;&gt;"",UPPER(_xlpm.MyAuditVal),_xlpm.MacVal&lt;&gt;"",_xlpm.MacVal,_xlpm.CSVVal&lt;&gt;"",_xlpm.CSVVal
)),"")</f>
        <v/>
      </c>
      <c r="K113" s="2" t="str" cm="1">
        <f t="array" ref="K113">IFERROR(_xlfn.LET(
_xlpm.CSVVal,_xlfn.XLOOKUP($A113,CSV!$A:$A,CSV!K:K,""),
_xlpm.MacVal,_xlfn.XLOOKUP($A113,Output_Mac!$A:$A,Output_Mac!K:K,""),
_xlpm.MyAuditVal,_xlfn.XLOOKUP($A113,My_Audit!$A:$A,My_Audit!J:J,""),
_xlfn.IFS(_xlpm.MyAuditVal&lt;&gt;"",UPPER(_xlpm.MyAuditVal),_xlpm.MacVal&lt;&gt;"",_xlpm.MacVal,_xlpm.CSVVal&lt;&gt;"",_xlpm.CSVVal
)),"")</f>
        <v/>
      </c>
      <c r="L113" s="2" t="str" cm="1">
        <f t="array" ref="L113">IFERROR(_xlfn.LET(
_xlpm.CSVVal,_xlfn.XLOOKUP($A113,CSV!$A:$A,CSV!P:P,""),
_xlpm.MacVal,_xlfn.XLOOKUP($A113,Output_Mac!$A:$A,Output_Mac!L:L,""),
_xlpm.MyAuditVal,_xlfn.XLOOKUP($A113,My_Audit!$A:$A,My_Audit!K:K,""),
_xlfn.IFS(_xlpm.MyAuditVal&lt;&gt;"",UPPER(_xlpm.MyAuditVal),_xlpm.MacVal&lt;&gt;"",_xlpm.MacVal,_xlpm.CSVVal&lt;&gt;"",_xlpm.CSVVal
)),"")</f>
        <v/>
      </c>
      <c r="M113" s="2" t="str" cm="1">
        <f t="array" ref="M113">IFERROR(_xlfn.LET(
_xlpm.CSVVal,_xlfn.XLOOKUP($A113,CSV!$A:$A,CSV!Q:Q,""),
_xlpm.MacVal,_xlfn.XLOOKUP($A113,Output_Mac!$A:$A,Output_Mac!M:M,""),
_xlpm.MyAuditVal,_xlfn.XLOOKUP($A113,My_Audit!$A:$A,My_Audit!L:L,""),
_xlfn.IFS(_xlpm.MyAuditVal&lt;&gt;"",UPPER(_xlpm.MyAuditVal),_xlpm.MacVal&lt;&gt;"",_xlpm.MacVal,_xlpm.CSVVal&lt;&gt;"",_xlpm.CSVVal
)),"")</f>
        <v/>
      </c>
      <c r="O113" s="2" t="str">
        <f>_xlfn.LET(
    _xlpm.CSVVal, _xlfn.XLOOKUP($A113, CSV!$A:$A, CSV!AA:AA, ""),
    _xlpm.MacVal, _xlfn.XLOOKUP($A113, Output_Mac!$A:$A, Output_Mac!S:S, ""),
    _xlpm.MyAuditVal, _xlfn.XLOOKUP($A113, My_Audit!$A:$A, My_Audit!P:P, ""),
    _xlfn.TEXTJOIN(", ", TRUE, _xlpm.MyAuditVal, _xlpm.MacVal, _xlpm.CSVVal)
)</f>
        <v/>
      </c>
      <c r="P113" s="2" t="str" cm="1">
        <f t="array" ref="P113">IFERROR(_xlfn.LET(
_xlpm.CSVVal,_xlfn.XLOOKUP($A113,CSV!$A:$A,CSV!AB:AB,""),
_xlpm.MacVal,_xlfn.XLOOKUP($A113,Output_Mac!$A:$A,Output_Mac!T:T,""),
_xlpm.MyAuditVal,_xlfn.XLOOKUP($A113,My_Audit!$A:$A,My_Audit!Q:Q,""),
_xlfn.IFS(_xlpm.MyAuditVal&lt;&gt;"",UPPER(_xlpm.MyAuditVal),_xlpm.MacVal&lt;&gt;"",_xlpm.MacVal,_xlpm.CSVVal&lt;&gt;"",_xlpm.CSVVal
)),"No")</f>
        <v>No</v>
      </c>
      <c r="Q113" s="2" t="str" cm="1">
        <f t="array" ref="Q113">IFERROR(_xlfn.LET(
_xlpm.CSVVal,_xlfn.XLOOKUP($A113,CSV!$A:$A,CSV!AC:AC,""),
_xlpm.MacVal,_xlfn.XLOOKUP($A113,Output_Mac!$A:$A,Output_Mac!U:U,""),
_xlpm.MyAuditVal,_xlfn.XLOOKUP($A113,My_Audit!$A:$A,My_Audit!R:R,""),
_xlfn.IFS(_xlpm.MyAuditVal&lt;&gt;"",UPPER(_xlpm.MyAuditVal),_xlpm.MacVal&lt;&gt;"",_xlpm.MacVal,_xlpm.CSVVal&lt;&gt;"",_xlpm.CSVVal
)),"")</f>
        <v/>
      </c>
      <c r="X113" t="str">
        <f>_xlfn.LET(
    _xlpm.MacVal, _xlfn.XLOOKUP($A113, Output_Mac!$A:$A, Output_Mac!AB:AB, ""),
    _xlpm.MyAuditVal, _xlfn.XLOOKUP($A113, My_Audit!$A:$A, My_Audit!N:N, ""),
    _xlfn.TEXTJOIN(", ", TRUE, _xlpm.MyAuditVal, _xlpm.MacVal)
)</f>
        <v/>
      </c>
    </row>
    <row r="114" spans="1:24">
      <c r="A114" s="2" t="str">
        <f>_xlfn.TEXTJOIN("",TRUE,Input!$B$2,ROW(My_Audit!A113))</f>
        <v>X113</v>
      </c>
      <c r="B114" s="2" t="str">
        <f>_xlfn.TEXTJOIN("-",TRUE,"ITD",Input!$A$2,A114)</f>
        <v>ITD-SHR-X113</v>
      </c>
      <c r="C114" s="2" t="str" cm="1">
        <f t="array" ref="C114">IFERROR(_xlfn.LET(
_xlpm.CSVVal,_xlfn.XLOOKUP($A114,CSV!$A:$A,CSV!B:B,""),
_xlpm.MacVal,_xlfn.XLOOKUP($A114,Output_Mac!$A:$A,Output_Mac!B:B,""),
_xlpm.MyAuditVal,_xlfn.XLOOKUP($A114,My_Audit!$A:$A,My_Audit!B:B,""),
_xlfn.IFS(_xlpm.MyAuditVal&lt;&gt;"",UPPER(_xlpm.MyAuditVal),_xlpm.MacVal&lt;&gt;"",_xlpm.MacVal,_xlpm.CSVVal&lt;&gt;"",_xlpm.CSVVal
)),"")</f>
        <v/>
      </c>
      <c r="D114" s="2" t="str" cm="1">
        <f t="array" ref="D114">IFERROR(_xlfn.LET(
_xlpm.CSVVal,_xlfn.XLOOKUP($A114,CSV!$A:$A,CSV!D:D,""),
_xlpm.MacVal,_xlfn.XLOOKUP($A114,Output_Mac!$A:$A,Output_Mac!C:C,""),
_xlpm.MyAuditVal,_xlfn.XLOOKUP($A114,My_Audit!$A:$A,My_Audit!C:C,""),
_xlfn.IFS(_xlpm.MyAuditVal&lt;&gt;"",_xlpm.MyAuditVal,_xlpm.MacVal&lt;&gt;"",_xlpm.MacVal,_xlpm.CSVVal&lt;&gt;"",_xlpm.CSVVal
)),"")</f>
        <v/>
      </c>
      <c r="E114" s="2" t="str">
        <f>_xlfn.XLOOKUP(A114,My_Audit!A:A,My_Audit!D:D,"")</f>
        <v/>
      </c>
      <c r="F114" s="2" t="str" cm="1">
        <f t="array" ref="F114">IFERROR(_xlfn.LET(
_xlpm.CSVVal,_xlfn.XLOOKUP($A114,CSV!$A:$A,CSV!F:F,""),
_xlpm.MacVal,_xlfn.XLOOKUP($A114,Output_Mac!$A:$A,Output_Mac!E:E,""),
_xlpm.MyAuditVal,_xlfn.XLOOKUP($A114,My_Audit!$A:$A,My_Audit!E:E,""),
_xlfn.IFS(_xlpm.MyAuditVal&lt;&gt;"",_xlpm.MyAuditVal,_xlpm.MacVal&lt;&gt;"",_xlpm.MacVal,_xlpm.CSVVal&lt;&gt;"",_xlpm.CSVVal
)),"")</f>
        <v/>
      </c>
      <c r="G114" s="2" t="str" cm="1">
        <f t="array" ref="G114">IFERROR(_xlfn.LET(
_xlpm.CSVVal,_xlfn.XLOOKUP($A114,CSV!$A:$A,CSV!G:G,""),
_xlpm.MacVal,_xlfn.XLOOKUP($A114,Output_Mac!$A:$A,Output_Mac!F:F,""),
_xlpm.MyAuditVal,_xlfn.XLOOKUP($A114,My_Audit!$A:$A,My_Audit!F:F,""),
_xlfn.IFS(_xlpm.MyAuditVal&lt;&gt;"",_xlpm.MyAuditVal,_xlpm.MacVal&lt;&gt;"",_xlpm.MacVal,_xlpm.CSVVal&lt;&gt;"",PROPER(_xlpm.CSVVal)
)),"")</f>
        <v/>
      </c>
      <c r="H114" s="2" t="str" cm="1">
        <f t="array" ref="H114">IFERROR(_xlfn.LET(
_xlpm.CSVVal,_xlfn.XLOOKUP($A114,CSV!$A:$A,CSV!H:H,""),
_xlpm.MacVal,_xlfn.XLOOKUP($A114,Output_Mac!$A:$A,Output_Mac!H:H,""),
_xlpm.MyAuditVal,_xlfn.XLOOKUP($A114,My_Audit!$A:$A,My_Audit!G:G,""),
_xlfn.IFS(_xlpm.MyAuditVal&lt;&gt;"",_xlpm.MyAuditVal,_xlpm.MacVal&lt;&gt;"",_xlpm.MacVal,_xlpm.CSVVal&lt;&gt;"",_xlpm.CSVVal
)),"")</f>
        <v/>
      </c>
      <c r="I114" s="2" t="str">
        <f>_xlfn.XLOOKUP(A114,Output_Mac!A:A,Output_Mac!I:I,"")</f>
        <v/>
      </c>
      <c r="J114" s="2" t="str" cm="1">
        <f t="array" ref="J114">IFERROR(_xlfn.LET(
_xlpm.CSVVal,_xlfn.XLOOKUP($A114,CSV!$A:$A,CSV!I:I,""),
_xlpm.MacVal,_xlfn.XLOOKUP($A114,Output_Mac!$A:$A,Output_Mac!J:J,""),
_xlpm.MyAuditVal,_xlfn.XLOOKUP($A114,My_Audit!$A:$A,My_Audit!I:I,""),
_xlfn.IFS(_xlpm.MyAuditVal&lt;&gt;"",UPPER(_xlpm.MyAuditVal),_xlpm.MacVal&lt;&gt;"",_xlpm.MacVal,_xlpm.CSVVal&lt;&gt;"",_xlpm.CSVVal
)),"")</f>
        <v/>
      </c>
      <c r="K114" s="2" t="str" cm="1">
        <f t="array" ref="K114">IFERROR(_xlfn.LET(
_xlpm.CSVVal,_xlfn.XLOOKUP($A114,CSV!$A:$A,CSV!K:K,""),
_xlpm.MacVal,_xlfn.XLOOKUP($A114,Output_Mac!$A:$A,Output_Mac!K:K,""),
_xlpm.MyAuditVal,_xlfn.XLOOKUP($A114,My_Audit!$A:$A,My_Audit!J:J,""),
_xlfn.IFS(_xlpm.MyAuditVal&lt;&gt;"",UPPER(_xlpm.MyAuditVal),_xlpm.MacVal&lt;&gt;"",_xlpm.MacVal,_xlpm.CSVVal&lt;&gt;"",_xlpm.CSVVal
)),"")</f>
        <v/>
      </c>
      <c r="L114" s="2" t="str" cm="1">
        <f t="array" ref="L114">IFERROR(_xlfn.LET(
_xlpm.CSVVal,_xlfn.XLOOKUP($A114,CSV!$A:$A,CSV!P:P,""),
_xlpm.MacVal,_xlfn.XLOOKUP($A114,Output_Mac!$A:$A,Output_Mac!L:L,""),
_xlpm.MyAuditVal,_xlfn.XLOOKUP($A114,My_Audit!$A:$A,My_Audit!K:K,""),
_xlfn.IFS(_xlpm.MyAuditVal&lt;&gt;"",UPPER(_xlpm.MyAuditVal),_xlpm.MacVal&lt;&gt;"",_xlpm.MacVal,_xlpm.CSVVal&lt;&gt;"",_xlpm.CSVVal
)),"")</f>
        <v/>
      </c>
      <c r="M114" s="2" t="str" cm="1">
        <f t="array" ref="M114">IFERROR(_xlfn.LET(
_xlpm.CSVVal,_xlfn.XLOOKUP($A114,CSV!$A:$A,CSV!Q:Q,""),
_xlpm.MacVal,_xlfn.XLOOKUP($A114,Output_Mac!$A:$A,Output_Mac!M:M,""),
_xlpm.MyAuditVal,_xlfn.XLOOKUP($A114,My_Audit!$A:$A,My_Audit!L:L,""),
_xlfn.IFS(_xlpm.MyAuditVal&lt;&gt;"",UPPER(_xlpm.MyAuditVal),_xlpm.MacVal&lt;&gt;"",_xlpm.MacVal,_xlpm.CSVVal&lt;&gt;"",_xlpm.CSVVal
)),"")</f>
        <v/>
      </c>
      <c r="O114" s="2" t="str">
        <f>_xlfn.LET(
    _xlpm.CSVVal, _xlfn.XLOOKUP($A114, CSV!$A:$A, CSV!AA:AA, ""),
    _xlpm.MacVal, _xlfn.XLOOKUP($A114, Output_Mac!$A:$A, Output_Mac!S:S, ""),
    _xlpm.MyAuditVal, _xlfn.XLOOKUP($A114, My_Audit!$A:$A, My_Audit!P:P, ""),
    _xlfn.TEXTJOIN(", ", TRUE, _xlpm.MyAuditVal, _xlpm.MacVal, _xlpm.CSVVal)
)</f>
        <v/>
      </c>
      <c r="P114" s="2" t="str" cm="1">
        <f t="array" ref="P114">IFERROR(_xlfn.LET(
_xlpm.CSVVal,_xlfn.XLOOKUP($A114,CSV!$A:$A,CSV!AB:AB,""),
_xlpm.MacVal,_xlfn.XLOOKUP($A114,Output_Mac!$A:$A,Output_Mac!T:T,""),
_xlpm.MyAuditVal,_xlfn.XLOOKUP($A114,My_Audit!$A:$A,My_Audit!Q:Q,""),
_xlfn.IFS(_xlpm.MyAuditVal&lt;&gt;"",UPPER(_xlpm.MyAuditVal),_xlpm.MacVal&lt;&gt;"",_xlpm.MacVal,_xlpm.CSVVal&lt;&gt;"",_xlpm.CSVVal
)),"No")</f>
        <v>No</v>
      </c>
      <c r="Q114" s="2" t="str" cm="1">
        <f t="array" ref="Q114">IFERROR(_xlfn.LET(
_xlpm.CSVVal,_xlfn.XLOOKUP($A114,CSV!$A:$A,CSV!AC:AC,""),
_xlpm.MacVal,_xlfn.XLOOKUP($A114,Output_Mac!$A:$A,Output_Mac!U:U,""),
_xlpm.MyAuditVal,_xlfn.XLOOKUP($A114,My_Audit!$A:$A,My_Audit!R:R,""),
_xlfn.IFS(_xlpm.MyAuditVal&lt;&gt;"",UPPER(_xlpm.MyAuditVal),_xlpm.MacVal&lt;&gt;"",_xlpm.MacVal,_xlpm.CSVVal&lt;&gt;"",_xlpm.CSVVal
)),"")</f>
        <v/>
      </c>
      <c r="X114" t="str">
        <f>_xlfn.LET(
    _xlpm.MacVal, _xlfn.XLOOKUP($A114, Output_Mac!$A:$A, Output_Mac!AB:AB, ""),
    _xlpm.MyAuditVal, _xlfn.XLOOKUP($A114, My_Audit!$A:$A, My_Audit!N:N, ""),
    _xlfn.TEXTJOIN(", ", TRUE, _xlpm.MyAuditVal, _xlpm.MacVal)
)</f>
        <v/>
      </c>
    </row>
    <row r="115" spans="1:24">
      <c r="A115" s="2" t="str">
        <f>_xlfn.TEXTJOIN("",TRUE,Input!$B$2,ROW(My_Audit!A114))</f>
        <v>X114</v>
      </c>
      <c r="B115" s="2" t="str">
        <f>_xlfn.TEXTJOIN("-",TRUE,"ITD",Input!$A$2,A115)</f>
        <v>ITD-SHR-X114</v>
      </c>
      <c r="C115" s="2" t="str" cm="1">
        <f t="array" ref="C115">IFERROR(_xlfn.LET(
_xlpm.CSVVal,_xlfn.XLOOKUP($A115,CSV!$A:$A,CSV!B:B,""),
_xlpm.MacVal,_xlfn.XLOOKUP($A115,Output_Mac!$A:$A,Output_Mac!B:B,""),
_xlpm.MyAuditVal,_xlfn.XLOOKUP($A115,My_Audit!$A:$A,My_Audit!B:B,""),
_xlfn.IFS(_xlpm.MyAuditVal&lt;&gt;"",UPPER(_xlpm.MyAuditVal),_xlpm.MacVal&lt;&gt;"",_xlpm.MacVal,_xlpm.CSVVal&lt;&gt;"",_xlpm.CSVVal
)),"")</f>
        <v/>
      </c>
      <c r="D115" s="2" t="str" cm="1">
        <f t="array" ref="D115">IFERROR(_xlfn.LET(
_xlpm.CSVVal,_xlfn.XLOOKUP($A115,CSV!$A:$A,CSV!D:D,""),
_xlpm.MacVal,_xlfn.XLOOKUP($A115,Output_Mac!$A:$A,Output_Mac!C:C,""),
_xlpm.MyAuditVal,_xlfn.XLOOKUP($A115,My_Audit!$A:$A,My_Audit!C:C,""),
_xlfn.IFS(_xlpm.MyAuditVal&lt;&gt;"",_xlpm.MyAuditVal,_xlpm.MacVal&lt;&gt;"",_xlpm.MacVal,_xlpm.CSVVal&lt;&gt;"",_xlpm.CSVVal
)),"")</f>
        <v/>
      </c>
      <c r="E115" s="2" t="str">
        <f>_xlfn.XLOOKUP(A115,My_Audit!A:A,My_Audit!D:D,"")</f>
        <v/>
      </c>
      <c r="F115" s="2" t="str" cm="1">
        <f t="array" ref="F115">IFERROR(_xlfn.LET(
_xlpm.CSVVal,_xlfn.XLOOKUP($A115,CSV!$A:$A,CSV!F:F,""),
_xlpm.MacVal,_xlfn.XLOOKUP($A115,Output_Mac!$A:$A,Output_Mac!E:E,""),
_xlpm.MyAuditVal,_xlfn.XLOOKUP($A115,My_Audit!$A:$A,My_Audit!E:E,""),
_xlfn.IFS(_xlpm.MyAuditVal&lt;&gt;"",_xlpm.MyAuditVal,_xlpm.MacVal&lt;&gt;"",_xlpm.MacVal,_xlpm.CSVVal&lt;&gt;"",_xlpm.CSVVal
)),"")</f>
        <v/>
      </c>
      <c r="G115" s="2" t="str" cm="1">
        <f t="array" ref="G115">IFERROR(_xlfn.LET(
_xlpm.CSVVal,_xlfn.XLOOKUP($A115,CSV!$A:$A,CSV!G:G,""),
_xlpm.MacVal,_xlfn.XLOOKUP($A115,Output_Mac!$A:$A,Output_Mac!F:F,""),
_xlpm.MyAuditVal,_xlfn.XLOOKUP($A115,My_Audit!$A:$A,My_Audit!F:F,""),
_xlfn.IFS(_xlpm.MyAuditVal&lt;&gt;"",_xlpm.MyAuditVal,_xlpm.MacVal&lt;&gt;"",_xlpm.MacVal,_xlpm.CSVVal&lt;&gt;"",PROPER(_xlpm.CSVVal)
)),"")</f>
        <v/>
      </c>
      <c r="H115" s="2" t="str" cm="1">
        <f t="array" ref="H115">IFERROR(_xlfn.LET(
_xlpm.CSVVal,_xlfn.XLOOKUP($A115,CSV!$A:$A,CSV!H:H,""),
_xlpm.MacVal,_xlfn.XLOOKUP($A115,Output_Mac!$A:$A,Output_Mac!H:H,""),
_xlpm.MyAuditVal,_xlfn.XLOOKUP($A115,My_Audit!$A:$A,My_Audit!G:G,""),
_xlfn.IFS(_xlpm.MyAuditVal&lt;&gt;"",_xlpm.MyAuditVal,_xlpm.MacVal&lt;&gt;"",_xlpm.MacVal,_xlpm.CSVVal&lt;&gt;"",_xlpm.CSVVal
)),"")</f>
        <v/>
      </c>
      <c r="I115" s="2" t="str">
        <f>_xlfn.XLOOKUP(A115,Output_Mac!A:A,Output_Mac!I:I,"")</f>
        <v/>
      </c>
      <c r="J115" s="2" t="str" cm="1">
        <f t="array" ref="J115">IFERROR(_xlfn.LET(
_xlpm.CSVVal,_xlfn.XLOOKUP($A115,CSV!$A:$A,CSV!I:I,""),
_xlpm.MacVal,_xlfn.XLOOKUP($A115,Output_Mac!$A:$A,Output_Mac!J:J,""),
_xlpm.MyAuditVal,_xlfn.XLOOKUP($A115,My_Audit!$A:$A,My_Audit!I:I,""),
_xlfn.IFS(_xlpm.MyAuditVal&lt;&gt;"",UPPER(_xlpm.MyAuditVal),_xlpm.MacVal&lt;&gt;"",_xlpm.MacVal,_xlpm.CSVVal&lt;&gt;"",_xlpm.CSVVal
)),"")</f>
        <v/>
      </c>
      <c r="K115" s="2" t="str" cm="1">
        <f t="array" ref="K115">IFERROR(_xlfn.LET(
_xlpm.CSVVal,_xlfn.XLOOKUP($A115,CSV!$A:$A,CSV!K:K,""),
_xlpm.MacVal,_xlfn.XLOOKUP($A115,Output_Mac!$A:$A,Output_Mac!K:K,""),
_xlpm.MyAuditVal,_xlfn.XLOOKUP($A115,My_Audit!$A:$A,My_Audit!J:J,""),
_xlfn.IFS(_xlpm.MyAuditVal&lt;&gt;"",UPPER(_xlpm.MyAuditVal),_xlpm.MacVal&lt;&gt;"",_xlpm.MacVal,_xlpm.CSVVal&lt;&gt;"",_xlpm.CSVVal
)),"")</f>
        <v/>
      </c>
      <c r="L115" s="2" t="str" cm="1">
        <f t="array" ref="L115">IFERROR(_xlfn.LET(
_xlpm.CSVVal,_xlfn.XLOOKUP($A115,CSV!$A:$A,CSV!P:P,""),
_xlpm.MacVal,_xlfn.XLOOKUP($A115,Output_Mac!$A:$A,Output_Mac!L:L,""),
_xlpm.MyAuditVal,_xlfn.XLOOKUP($A115,My_Audit!$A:$A,My_Audit!K:K,""),
_xlfn.IFS(_xlpm.MyAuditVal&lt;&gt;"",UPPER(_xlpm.MyAuditVal),_xlpm.MacVal&lt;&gt;"",_xlpm.MacVal,_xlpm.CSVVal&lt;&gt;"",_xlpm.CSVVal
)),"")</f>
        <v/>
      </c>
      <c r="M115" s="2" t="str" cm="1">
        <f t="array" ref="M115">IFERROR(_xlfn.LET(
_xlpm.CSVVal,_xlfn.XLOOKUP($A115,CSV!$A:$A,CSV!Q:Q,""),
_xlpm.MacVal,_xlfn.XLOOKUP($A115,Output_Mac!$A:$A,Output_Mac!M:M,""),
_xlpm.MyAuditVal,_xlfn.XLOOKUP($A115,My_Audit!$A:$A,My_Audit!L:L,""),
_xlfn.IFS(_xlpm.MyAuditVal&lt;&gt;"",UPPER(_xlpm.MyAuditVal),_xlpm.MacVal&lt;&gt;"",_xlpm.MacVal,_xlpm.CSVVal&lt;&gt;"",_xlpm.CSVVal
)),"")</f>
        <v/>
      </c>
      <c r="O115" s="2" t="str">
        <f>_xlfn.LET(
    _xlpm.CSVVal, _xlfn.XLOOKUP($A115, CSV!$A:$A, CSV!AA:AA, ""),
    _xlpm.MacVal, _xlfn.XLOOKUP($A115, Output_Mac!$A:$A, Output_Mac!S:S, ""),
    _xlpm.MyAuditVal, _xlfn.XLOOKUP($A115, My_Audit!$A:$A, My_Audit!P:P, ""),
    _xlfn.TEXTJOIN(", ", TRUE, _xlpm.MyAuditVal, _xlpm.MacVal, _xlpm.CSVVal)
)</f>
        <v/>
      </c>
      <c r="P115" s="2" t="str" cm="1">
        <f t="array" ref="P115">IFERROR(_xlfn.LET(
_xlpm.CSVVal,_xlfn.XLOOKUP($A115,CSV!$A:$A,CSV!AB:AB,""),
_xlpm.MacVal,_xlfn.XLOOKUP($A115,Output_Mac!$A:$A,Output_Mac!T:T,""),
_xlpm.MyAuditVal,_xlfn.XLOOKUP($A115,My_Audit!$A:$A,My_Audit!Q:Q,""),
_xlfn.IFS(_xlpm.MyAuditVal&lt;&gt;"",UPPER(_xlpm.MyAuditVal),_xlpm.MacVal&lt;&gt;"",_xlpm.MacVal,_xlpm.CSVVal&lt;&gt;"",_xlpm.CSVVal
)),"No")</f>
        <v>No</v>
      </c>
      <c r="Q115" s="2" t="str" cm="1">
        <f t="array" ref="Q115">IFERROR(_xlfn.LET(
_xlpm.CSVVal,_xlfn.XLOOKUP($A115,CSV!$A:$A,CSV!AC:AC,""),
_xlpm.MacVal,_xlfn.XLOOKUP($A115,Output_Mac!$A:$A,Output_Mac!U:U,""),
_xlpm.MyAuditVal,_xlfn.XLOOKUP($A115,My_Audit!$A:$A,My_Audit!R:R,""),
_xlfn.IFS(_xlpm.MyAuditVal&lt;&gt;"",UPPER(_xlpm.MyAuditVal),_xlpm.MacVal&lt;&gt;"",_xlpm.MacVal,_xlpm.CSVVal&lt;&gt;"",_xlpm.CSVVal
)),"")</f>
        <v/>
      </c>
      <c r="X115" t="str">
        <f>_xlfn.LET(
    _xlpm.MacVal, _xlfn.XLOOKUP($A115, Output_Mac!$A:$A, Output_Mac!AB:AB, ""),
    _xlpm.MyAuditVal, _xlfn.XLOOKUP($A115, My_Audit!$A:$A, My_Audit!N:N, ""),
    _xlfn.TEXTJOIN(", ", TRUE, _xlpm.MyAuditVal, _xlpm.MacVal)
)</f>
        <v/>
      </c>
    </row>
    <row r="116" spans="1:24">
      <c r="A116" s="2" t="str">
        <f>_xlfn.TEXTJOIN("",TRUE,Input!$B$2,ROW(My_Audit!A115))</f>
        <v>X115</v>
      </c>
      <c r="B116" s="2" t="str">
        <f>_xlfn.TEXTJOIN("-",TRUE,"ITD",Input!$A$2,A116)</f>
        <v>ITD-SHR-X115</v>
      </c>
      <c r="C116" s="2" t="str" cm="1">
        <f t="array" ref="C116">IFERROR(_xlfn.LET(
_xlpm.CSVVal,_xlfn.XLOOKUP($A116,CSV!$A:$A,CSV!B:B,""),
_xlpm.MacVal,_xlfn.XLOOKUP($A116,Output_Mac!$A:$A,Output_Mac!B:B,""),
_xlpm.MyAuditVal,_xlfn.XLOOKUP($A116,My_Audit!$A:$A,My_Audit!B:B,""),
_xlfn.IFS(_xlpm.MyAuditVal&lt;&gt;"",UPPER(_xlpm.MyAuditVal),_xlpm.MacVal&lt;&gt;"",_xlpm.MacVal,_xlpm.CSVVal&lt;&gt;"",_xlpm.CSVVal
)),"")</f>
        <v/>
      </c>
      <c r="D116" s="2" t="str" cm="1">
        <f t="array" ref="D116">IFERROR(_xlfn.LET(
_xlpm.CSVVal,_xlfn.XLOOKUP($A116,CSV!$A:$A,CSV!D:D,""),
_xlpm.MacVal,_xlfn.XLOOKUP($A116,Output_Mac!$A:$A,Output_Mac!C:C,""),
_xlpm.MyAuditVal,_xlfn.XLOOKUP($A116,My_Audit!$A:$A,My_Audit!C:C,""),
_xlfn.IFS(_xlpm.MyAuditVal&lt;&gt;"",_xlpm.MyAuditVal,_xlpm.MacVal&lt;&gt;"",_xlpm.MacVal,_xlpm.CSVVal&lt;&gt;"",_xlpm.CSVVal
)),"")</f>
        <v/>
      </c>
      <c r="E116" s="2" t="str">
        <f>_xlfn.XLOOKUP(A116,My_Audit!A:A,My_Audit!D:D,"")</f>
        <v/>
      </c>
      <c r="F116" s="2" t="str" cm="1">
        <f t="array" ref="F116">IFERROR(_xlfn.LET(
_xlpm.CSVVal,_xlfn.XLOOKUP($A116,CSV!$A:$A,CSV!F:F,""),
_xlpm.MacVal,_xlfn.XLOOKUP($A116,Output_Mac!$A:$A,Output_Mac!E:E,""),
_xlpm.MyAuditVal,_xlfn.XLOOKUP($A116,My_Audit!$A:$A,My_Audit!E:E,""),
_xlfn.IFS(_xlpm.MyAuditVal&lt;&gt;"",_xlpm.MyAuditVal,_xlpm.MacVal&lt;&gt;"",_xlpm.MacVal,_xlpm.CSVVal&lt;&gt;"",_xlpm.CSVVal
)),"")</f>
        <v/>
      </c>
      <c r="G116" s="2" t="str" cm="1">
        <f t="array" ref="G116">IFERROR(_xlfn.LET(
_xlpm.CSVVal,_xlfn.XLOOKUP($A116,CSV!$A:$A,CSV!G:G,""),
_xlpm.MacVal,_xlfn.XLOOKUP($A116,Output_Mac!$A:$A,Output_Mac!F:F,""),
_xlpm.MyAuditVal,_xlfn.XLOOKUP($A116,My_Audit!$A:$A,My_Audit!F:F,""),
_xlfn.IFS(_xlpm.MyAuditVal&lt;&gt;"",_xlpm.MyAuditVal,_xlpm.MacVal&lt;&gt;"",_xlpm.MacVal,_xlpm.CSVVal&lt;&gt;"",PROPER(_xlpm.CSVVal)
)),"")</f>
        <v/>
      </c>
      <c r="H116" s="2" t="str" cm="1">
        <f t="array" ref="H116">IFERROR(_xlfn.LET(
_xlpm.CSVVal,_xlfn.XLOOKUP($A116,CSV!$A:$A,CSV!H:H,""),
_xlpm.MacVal,_xlfn.XLOOKUP($A116,Output_Mac!$A:$A,Output_Mac!H:H,""),
_xlpm.MyAuditVal,_xlfn.XLOOKUP($A116,My_Audit!$A:$A,My_Audit!G:G,""),
_xlfn.IFS(_xlpm.MyAuditVal&lt;&gt;"",_xlpm.MyAuditVal,_xlpm.MacVal&lt;&gt;"",_xlpm.MacVal,_xlpm.CSVVal&lt;&gt;"",_xlpm.CSVVal
)),"")</f>
        <v/>
      </c>
      <c r="I116" s="2" t="str">
        <f>_xlfn.XLOOKUP(A116,Output_Mac!A:A,Output_Mac!I:I,"")</f>
        <v/>
      </c>
      <c r="J116" s="2" t="str" cm="1">
        <f t="array" ref="J116">IFERROR(_xlfn.LET(
_xlpm.CSVVal,_xlfn.XLOOKUP($A116,CSV!$A:$A,CSV!I:I,""),
_xlpm.MacVal,_xlfn.XLOOKUP($A116,Output_Mac!$A:$A,Output_Mac!J:J,""),
_xlpm.MyAuditVal,_xlfn.XLOOKUP($A116,My_Audit!$A:$A,My_Audit!I:I,""),
_xlfn.IFS(_xlpm.MyAuditVal&lt;&gt;"",UPPER(_xlpm.MyAuditVal),_xlpm.MacVal&lt;&gt;"",_xlpm.MacVal,_xlpm.CSVVal&lt;&gt;"",_xlpm.CSVVal
)),"")</f>
        <v/>
      </c>
      <c r="K116" s="2" t="str" cm="1">
        <f t="array" ref="K116">IFERROR(_xlfn.LET(
_xlpm.CSVVal,_xlfn.XLOOKUP($A116,CSV!$A:$A,CSV!K:K,""),
_xlpm.MacVal,_xlfn.XLOOKUP($A116,Output_Mac!$A:$A,Output_Mac!K:K,""),
_xlpm.MyAuditVal,_xlfn.XLOOKUP($A116,My_Audit!$A:$A,My_Audit!J:J,""),
_xlfn.IFS(_xlpm.MyAuditVal&lt;&gt;"",UPPER(_xlpm.MyAuditVal),_xlpm.MacVal&lt;&gt;"",_xlpm.MacVal,_xlpm.CSVVal&lt;&gt;"",_xlpm.CSVVal
)),"")</f>
        <v/>
      </c>
      <c r="L116" s="2" t="str" cm="1">
        <f t="array" ref="L116">IFERROR(_xlfn.LET(
_xlpm.CSVVal,_xlfn.XLOOKUP($A116,CSV!$A:$A,CSV!P:P,""),
_xlpm.MacVal,_xlfn.XLOOKUP($A116,Output_Mac!$A:$A,Output_Mac!L:L,""),
_xlpm.MyAuditVal,_xlfn.XLOOKUP($A116,My_Audit!$A:$A,My_Audit!K:K,""),
_xlfn.IFS(_xlpm.MyAuditVal&lt;&gt;"",UPPER(_xlpm.MyAuditVal),_xlpm.MacVal&lt;&gt;"",_xlpm.MacVal,_xlpm.CSVVal&lt;&gt;"",_xlpm.CSVVal
)),"")</f>
        <v/>
      </c>
      <c r="M116" s="2" t="str" cm="1">
        <f t="array" ref="M116">IFERROR(_xlfn.LET(
_xlpm.CSVVal,_xlfn.XLOOKUP($A116,CSV!$A:$A,CSV!Q:Q,""),
_xlpm.MacVal,_xlfn.XLOOKUP($A116,Output_Mac!$A:$A,Output_Mac!M:M,""),
_xlpm.MyAuditVal,_xlfn.XLOOKUP($A116,My_Audit!$A:$A,My_Audit!L:L,""),
_xlfn.IFS(_xlpm.MyAuditVal&lt;&gt;"",UPPER(_xlpm.MyAuditVal),_xlpm.MacVal&lt;&gt;"",_xlpm.MacVal,_xlpm.CSVVal&lt;&gt;"",_xlpm.CSVVal
)),"")</f>
        <v/>
      </c>
      <c r="O116" s="2" t="str">
        <f>_xlfn.LET(
    _xlpm.CSVVal, _xlfn.XLOOKUP($A116, CSV!$A:$A, CSV!AA:AA, ""),
    _xlpm.MacVal, _xlfn.XLOOKUP($A116, Output_Mac!$A:$A, Output_Mac!S:S, ""),
    _xlpm.MyAuditVal, _xlfn.XLOOKUP($A116, My_Audit!$A:$A, My_Audit!P:P, ""),
    _xlfn.TEXTJOIN(", ", TRUE, _xlpm.MyAuditVal, _xlpm.MacVal, _xlpm.CSVVal)
)</f>
        <v/>
      </c>
      <c r="P116" s="2" t="str" cm="1">
        <f t="array" ref="P116">IFERROR(_xlfn.LET(
_xlpm.CSVVal,_xlfn.XLOOKUP($A116,CSV!$A:$A,CSV!AB:AB,""),
_xlpm.MacVal,_xlfn.XLOOKUP($A116,Output_Mac!$A:$A,Output_Mac!T:T,""),
_xlpm.MyAuditVal,_xlfn.XLOOKUP($A116,My_Audit!$A:$A,My_Audit!Q:Q,""),
_xlfn.IFS(_xlpm.MyAuditVal&lt;&gt;"",UPPER(_xlpm.MyAuditVal),_xlpm.MacVal&lt;&gt;"",_xlpm.MacVal,_xlpm.CSVVal&lt;&gt;"",_xlpm.CSVVal
)),"No")</f>
        <v>No</v>
      </c>
      <c r="Q116" s="2" t="str" cm="1">
        <f t="array" ref="Q116">IFERROR(_xlfn.LET(
_xlpm.CSVVal,_xlfn.XLOOKUP($A116,CSV!$A:$A,CSV!AC:AC,""),
_xlpm.MacVal,_xlfn.XLOOKUP($A116,Output_Mac!$A:$A,Output_Mac!U:U,""),
_xlpm.MyAuditVal,_xlfn.XLOOKUP($A116,My_Audit!$A:$A,My_Audit!R:R,""),
_xlfn.IFS(_xlpm.MyAuditVal&lt;&gt;"",UPPER(_xlpm.MyAuditVal),_xlpm.MacVal&lt;&gt;"",_xlpm.MacVal,_xlpm.CSVVal&lt;&gt;"",_xlpm.CSVVal
)),"")</f>
        <v/>
      </c>
      <c r="X116" t="str">
        <f>_xlfn.LET(
    _xlpm.MacVal, _xlfn.XLOOKUP($A116, Output_Mac!$A:$A, Output_Mac!AB:AB, ""),
    _xlpm.MyAuditVal, _xlfn.XLOOKUP($A116, My_Audit!$A:$A, My_Audit!N:N, ""),
    _xlfn.TEXTJOIN(", ", TRUE, _xlpm.MyAuditVal, _xlpm.MacVal)
)</f>
        <v/>
      </c>
    </row>
    <row r="117" spans="1:24">
      <c r="A117" s="2" t="str">
        <f>_xlfn.TEXTJOIN("",TRUE,Input!$B$2,ROW(My_Audit!A116))</f>
        <v>X116</v>
      </c>
      <c r="B117" s="2" t="str">
        <f>_xlfn.TEXTJOIN("-",TRUE,"ITD",Input!$A$2,A117)</f>
        <v>ITD-SHR-X116</v>
      </c>
      <c r="C117" s="2" t="str" cm="1">
        <f t="array" ref="C117">IFERROR(_xlfn.LET(
_xlpm.CSVVal,_xlfn.XLOOKUP($A117,CSV!$A:$A,CSV!B:B,""),
_xlpm.MacVal,_xlfn.XLOOKUP($A117,Output_Mac!$A:$A,Output_Mac!B:B,""),
_xlpm.MyAuditVal,_xlfn.XLOOKUP($A117,My_Audit!$A:$A,My_Audit!B:B,""),
_xlfn.IFS(_xlpm.MyAuditVal&lt;&gt;"",UPPER(_xlpm.MyAuditVal),_xlpm.MacVal&lt;&gt;"",_xlpm.MacVal,_xlpm.CSVVal&lt;&gt;"",_xlpm.CSVVal
)),"")</f>
        <v/>
      </c>
      <c r="D117" s="2" t="str" cm="1">
        <f t="array" ref="D117">IFERROR(_xlfn.LET(
_xlpm.CSVVal,_xlfn.XLOOKUP($A117,CSV!$A:$A,CSV!D:D,""),
_xlpm.MacVal,_xlfn.XLOOKUP($A117,Output_Mac!$A:$A,Output_Mac!C:C,""),
_xlpm.MyAuditVal,_xlfn.XLOOKUP($A117,My_Audit!$A:$A,My_Audit!C:C,""),
_xlfn.IFS(_xlpm.MyAuditVal&lt;&gt;"",_xlpm.MyAuditVal,_xlpm.MacVal&lt;&gt;"",_xlpm.MacVal,_xlpm.CSVVal&lt;&gt;"",_xlpm.CSVVal
)),"")</f>
        <v/>
      </c>
      <c r="E117" s="2" t="str">
        <f>_xlfn.XLOOKUP(A117,My_Audit!A:A,My_Audit!D:D,"")</f>
        <v/>
      </c>
      <c r="F117" s="2" t="str" cm="1">
        <f t="array" ref="F117">IFERROR(_xlfn.LET(
_xlpm.CSVVal,_xlfn.XLOOKUP($A117,CSV!$A:$A,CSV!F:F,""),
_xlpm.MacVal,_xlfn.XLOOKUP($A117,Output_Mac!$A:$A,Output_Mac!E:E,""),
_xlpm.MyAuditVal,_xlfn.XLOOKUP($A117,My_Audit!$A:$A,My_Audit!E:E,""),
_xlfn.IFS(_xlpm.MyAuditVal&lt;&gt;"",_xlpm.MyAuditVal,_xlpm.MacVal&lt;&gt;"",_xlpm.MacVal,_xlpm.CSVVal&lt;&gt;"",_xlpm.CSVVal
)),"")</f>
        <v/>
      </c>
      <c r="G117" s="2" t="str" cm="1">
        <f t="array" ref="G117">IFERROR(_xlfn.LET(
_xlpm.CSVVal,_xlfn.XLOOKUP($A117,CSV!$A:$A,CSV!G:G,""),
_xlpm.MacVal,_xlfn.XLOOKUP($A117,Output_Mac!$A:$A,Output_Mac!F:F,""),
_xlpm.MyAuditVal,_xlfn.XLOOKUP($A117,My_Audit!$A:$A,My_Audit!F:F,""),
_xlfn.IFS(_xlpm.MyAuditVal&lt;&gt;"",_xlpm.MyAuditVal,_xlpm.MacVal&lt;&gt;"",_xlpm.MacVal,_xlpm.CSVVal&lt;&gt;"",PROPER(_xlpm.CSVVal)
)),"")</f>
        <v/>
      </c>
      <c r="H117" s="2" t="str" cm="1">
        <f t="array" ref="H117">IFERROR(_xlfn.LET(
_xlpm.CSVVal,_xlfn.XLOOKUP($A117,CSV!$A:$A,CSV!H:H,""),
_xlpm.MacVal,_xlfn.XLOOKUP($A117,Output_Mac!$A:$A,Output_Mac!H:H,""),
_xlpm.MyAuditVal,_xlfn.XLOOKUP($A117,My_Audit!$A:$A,My_Audit!G:G,""),
_xlfn.IFS(_xlpm.MyAuditVal&lt;&gt;"",_xlpm.MyAuditVal,_xlpm.MacVal&lt;&gt;"",_xlpm.MacVal,_xlpm.CSVVal&lt;&gt;"",_xlpm.CSVVal
)),"")</f>
        <v/>
      </c>
      <c r="I117" s="2" t="str">
        <f>_xlfn.XLOOKUP(A117,Output_Mac!A:A,Output_Mac!I:I,"")</f>
        <v/>
      </c>
      <c r="J117" s="2" t="str" cm="1">
        <f t="array" ref="J117">IFERROR(_xlfn.LET(
_xlpm.CSVVal,_xlfn.XLOOKUP($A117,CSV!$A:$A,CSV!I:I,""),
_xlpm.MacVal,_xlfn.XLOOKUP($A117,Output_Mac!$A:$A,Output_Mac!J:J,""),
_xlpm.MyAuditVal,_xlfn.XLOOKUP($A117,My_Audit!$A:$A,My_Audit!I:I,""),
_xlfn.IFS(_xlpm.MyAuditVal&lt;&gt;"",UPPER(_xlpm.MyAuditVal),_xlpm.MacVal&lt;&gt;"",_xlpm.MacVal,_xlpm.CSVVal&lt;&gt;"",_xlpm.CSVVal
)),"")</f>
        <v/>
      </c>
      <c r="K117" s="2" t="str" cm="1">
        <f t="array" ref="K117">IFERROR(_xlfn.LET(
_xlpm.CSVVal,_xlfn.XLOOKUP($A117,CSV!$A:$A,CSV!K:K,""),
_xlpm.MacVal,_xlfn.XLOOKUP($A117,Output_Mac!$A:$A,Output_Mac!K:K,""),
_xlpm.MyAuditVal,_xlfn.XLOOKUP($A117,My_Audit!$A:$A,My_Audit!J:J,""),
_xlfn.IFS(_xlpm.MyAuditVal&lt;&gt;"",UPPER(_xlpm.MyAuditVal),_xlpm.MacVal&lt;&gt;"",_xlpm.MacVal,_xlpm.CSVVal&lt;&gt;"",_xlpm.CSVVal
)),"")</f>
        <v/>
      </c>
      <c r="L117" s="2" t="str" cm="1">
        <f t="array" ref="L117">IFERROR(_xlfn.LET(
_xlpm.CSVVal,_xlfn.XLOOKUP($A117,CSV!$A:$A,CSV!P:P,""),
_xlpm.MacVal,_xlfn.XLOOKUP($A117,Output_Mac!$A:$A,Output_Mac!L:L,""),
_xlpm.MyAuditVal,_xlfn.XLOOKUP($A117,My_Audit!$A:$A,My_Audit!K:K,""),
_xlfn.IFS(_xlpm.MyAuditVal&lt;&gt;"",UPPER(_xlpm.MyAuditVal),_xlpm.MacVal&lt;&gt;"",_xlpm.MacVal,_xlpm.CSVVal&lt;&gt;"",_xlpm.CSVVal
)),"")</f>
        <v/>
      </c>
      <c r="M117" s="2" t="str" cm="1">
        <f t="array" ref="M117">IFERROR(_xlfn.LET(
_xlpm.CSVVal,_xlfn.XLOOKUP($A117,CSV!$A:$A,CSV!Q:Q,""),
_xlpm.MacVal,_xlfn.XLOOKUP($A117,Output_Mac!$A:$A,Output_Mac!M:M,""),
_xlpm.MyAuditVal,_xlfn.XLOOKUP($A117,My_Audit!$A:$A,My_Audit!L:L,""),
_xlfn.IFS(_xlpm.MyAuditVal&lt;&gt;"",UPPER(_xlpm.MyAuditVal),_xlpm.MacVal&lt;&gt;"",_xlpm.MacVal,_xlpm.CSVVal&lt;&gt;"",_xlpm.CSVVal
)),"")</f>
        <v/>
      </c>
      <c r="O117" s="2" t="str">
        <f>_xlfn.LET(
    _xlpm.CSVVal, _xlfn.XLOOKUP($A117, CSV!$A:$A, CSV!AA:AA, ""),
    _xlpm.MacVal, _xlfn.XLOOKUP($A117, Output_Mac!$A:$A, Output_Mac!S:S, ""),
    _xlpm.MyAuditVal, _xlfn.XLOOKUP($A117, My_Audit!$A:$A, My_Audit!P:P, ""),
    _xlfn.TEXTJOIN(", ", TRUE, _xlpm.MyAuditVal, _xlpm.MacVal, _xlpm.CSVVal)
)</f>
        <v/>
      </c>
      <c r="P117" s="2" t="str" cm="1">
        <f t="array" ref="P117">IFERROR(_xlfn.LET(
_xlpm.CSVVal,_xlfn.XLOOKUP($A117,CSV!$A:$A,CSV!AB:AB,""),
_xlpm.MacVal,_xlfn.XLOOKUP($A117,Output_Mac!$A:$A,Output_Mac!T:T,""),
_xlpm.MyAuditVal,_xlfn.XLOOKUP($A117,My_Audit!$A:$A,My_Audit!Q:Q,""),
_xlfn.IFS(_xlpm.MyAuditVal&lt;&gt;"",UPPER(_xlpm.MyAuditVal),_xlpm.MacVal&lt;&gt;"",_xlpm.MacVal,_xlpm.CSVVal&lt;&gt;"",_xlpm.CSVVal
)),"No")</f>
        <v>No</v>
      </c>
      <c r="Q117" s="2" t="str" cm="1">
        <f t="array" ref="Q117">IFERROR(_xlfn.LET(
_xlpm.CSVVal,_xlfn.XLOOKUP($A117,CSV!$A:$A,CSV!AC:AC,""),
_xlpm.MacVal,_xlfn.XLOOKUP($A117,Output_Mac!$A:$A,Output_Mac!U:U,""),
_xlpm.MyAuditVal,_xlfn.XLOOKUP($A117,My_Audit!$A:$A,My_Audit!R:R,""),
_xlfn.IFS(_xlpm.MyAuditVal&lt;&gt;"",UPPER(_xlpm.MyAuditVal),_xlpm.MacVal&lt;&gt;"",_xlpm.MacVal,_xlpm.CSVVal&lt;&gt;"",_xlpm.CSVVal
)),"")</f>
        <v/>
      </c>
      <c r="X117" t="str">
        <f>_xlfn.LET(
    _xlpm.MacVal, _xlfn.XLOOKUP($A117, Output_Mac!$A:$A, Output_Mac!AB:AB, ""),
    _xlpm.MyAuditVal, _xlfn.XLOOKUP($A117, My_Audit!$A:$A, My_Audit!N:N, ""),
    _xlfn.TEXTJOIN(", ", TRUE, _xlpm.MyAuditVal, _xlpm.MacVal)
)</f>
        <v/>
      </c>
    </row>
    <row r="118" spans="1:24">
      <c r="A118" s="2" t="str">
        <f>_xlfn.TEXTJOIN("",TRUE,Input!$B$2,ROW(My_Audit!A117))</f>
        <v>X117</v>
      </c>
      <c r="B118" s="2" t="str">
        <f>_xlfn.TEXTJOIN("-",TRUE,"ITD",Input!$A$2,A118)</f>
        <v>ITD-SHR-X117</v>
      </c>
      <c r="C118" s="2" t="str" cm="1">
        <f t="array" ref="C118">IFERROR(_xlfn.LET(
_xlpm.CSVVal,_xlfn.XLOOKUP($A118,CSV!$A:$A,CSV!B:B,""),
_xlpm.MacVal,_xlfn.XLOOKUP($A118,Output_Mac!$A:$A,Output_Mac!B:B,""),
_xlpm.MyAuditVal,_xlfn.XLOOKUP($A118,My_Audit!$A:$A,My_Audit!B:B,""),
_xlfn.IFS(_xlpm.MyAuditVal&lt;&gt;"",UPPER(_xlpm.MyAuditVal),_xlpm.MacVal&lt;&gt;"",_xlpm.MacVal,_xlpm.CSVVal&lt;&gt;"",_xlpm.CSVVal
)),"")</f>
        <v/>
      </c>
      <c r="D118" s="2" t="str" cm="1">
        <f t="array" ref="D118">IFERROR(_xlfn.LET(
_xlpm.CSVVal,_xlfn.XLOOKUP($A118,CSV!$A:$A,CSV!D:D,""),
_xlpm.MacVal,_xlfn.XLOOKUP($A118,Output_Mac!$A:$A,Output_Mac!C:C,""),
_xlpm.MyAuditVal,_xlfn.XLOOKUP($A118,My_Audit!$A:$A,My_Audit!C:C,""),
_xlfn.IFS(_xlpm.MyAuditVal&lt;&gt;"",_xlpm.MyAuditVal,_xlpm.MacVal&lt;&gt;"",_xlpm.MacVal,_xlpm.CSVVal&lt;&gt;"",_xlpm.CSVVal
)),"")</f>
        <v/>
      </c>
      <c r="E118" s="2" t="str">
        <f>_xlfn.XLOOKUP(A118,My_Audit!A:A,My_Audit!D:D,"")</f>
        <v/>
      </c>
      <c r="F118" s="2" t="str" cm="1">
        <f t="array" ref="F118">IFERROR(_xlfn.LET(
_xlpm.CSVVal,_xlfn.XLOOKUP($A118,CSV!$A:$A,CSV!F:F,""),
_xlpm.MacVal,_xlfn.XLOOKUP($A118,Output_Mac!$A:$A,Output_Mac!E:E,""),
_xlpm.MyAuditVal,_xlfn.XLOOKUP($A118,My_Audit!$A:$A,My_Audit!E:E,""),
_xlfn.IFS(_xlpm.MyAuditVal&lt;&gt;"",_xlpm.MyAuditVal,_xlpm.MacVal&lt;&gt;"",_xlpm.MacVal,_xlpm.CSVVal&lt;&gt;"",_xlpm.CSVVal
)),"")</f>
        <v/>
      </c>
      <c r="G118" s="2" t="str" cm="1">
        <f t="array" ref="G118">IFERROR(_xlfn.LET(
_xlpm.CSVVal,_xlfn.XLOOKUP($A118,CSV!$A:$A,CSV!G:G,""),
_xlpm.MacVal,_xlfn.XLOOKUP($A118,Output_Mac!$A:$A,Output_Mac!F:F,""),
_xlpm.MyAuditVal,_xlfn.XLOOKUP($A118,My_Audit!$A:$A,My_Audit!F:F,""),
_xlfn.IFS(_xlpm.MyAuditVal&lt;&gt;"",_xlpm.MyAuditVal,_xlpm.MacVal&lt;&gt;"",_xlpm.MacVal,_xlpm.CSVVal&lt;&gt;"",PROPER(_xlpm.CSVVal)
)),"")</f>
        <v/>
      </c>
      <c r="H118" s="2" t="str" cm="1">
        <f t="array" ref="H118">IFERROR(_xlfn.LET(
_xlpm.CSVVal,_xlfn.XLOOKUP($A118,CSV!$A:$A,CSV!H:H,""),
_xlpm.MacVal,_xlfn.XLOOKUP($A118,Output_Mac!$A:$A,Output_Mac!H:H,""),
_xlpm.MyAuditVal,_xlfn.XLOOKUP($A118,My_Audit!$A:$A,My_Audit!G:G,""),
_xlfn.IFS(_xlpm.MyAuditVal&lt;&gt;"",_xlpm.MyAuditVal,_xlpm.MacVal&lt;&gt;"",_xlpm.MacVal,_xlpm.CSVVal&lt;&gt;"",_xlpm.CSVVal
)),"")</f>
        <v/>
      </c>
      <c r="I118" s="2" t="str">
        <f>_xlfn.XLOOKUP(A118,Output_Mac!A:A,Output_Mac!I:I,"")</f>
        <v/>
      </c>
      <c r="J118" s="2" t="str" cm="1">
        <f t="array" ref="J118">IFERROR(_xlfn.LET(
_xlpm.CSVVal,_xlfn.XLOOKUP($A118,CSV!$A:$A,CSV!I:I,""),
_xlpm.MacVal,_xlfn.XLOOKUP($A118,Output_Mac!$A:$A,Output_Mac!J:J,""),
_xlpm.MyAuditVal,_xlfn.XLOOKUP($A118,My_Audit!$A:$A,My_Audit!I:I,""),
_xlfn.IFS(_xlpm.MyAuditVal&lt;&gt;"",UPPER(_xlpm.MyAuditVal),_xlpm.MacVal&lt;&gt;"",_xlpm.MacVal,_xlpm.CSVVal&lt;&gt;"",_xlpm.CSVVal
)),"")</f>
        <v/>
      </c>
      <c r="K118" s="2" t="str" cm="1">
        <f t="array" ref="K118">IFERROR(_xlfn.LET(
_xlpm.CSVVal,_xlfn.XLOOKUP($A118,CSV!$A:$A,CSV!K:K,""),
_xlpm.MacVal,_xlfn.XLOOKUP($A118,Output_Mac!$A:$A,Output_Mac!K:K,""),
_xlpm.MyAuditVal,_xlfn.XLOOKUP($A118,My_Audit!$A:$A,My_Audit!J:J,""),
_xlfn.IFS(_xlpm.MyAuditVal&lt;&gt;"",UPPER(_xlpm.MyAuditVal),_xlpm.MacVal&lt;&gt;"",_xlpm.MacVal,_xlpm.CSVVal&lt;&gt;"",_xlpm.CSVVal
)),"")</f>
        <v/>
      </c>
      <c r="L118" s="2" t="str" cm="1">
        <f t="array" ref="L118">IFERROR(_xlfn.LET(
_xlpm.CSVVal,_xlfn.XLOOKUP($A118,CSV!$A:$A,CSV!P:P,""),
_xlpm.MacVal,_xlfn.XLOOKUP($A118,Output_Mac!$A:$A,Output_Mac!L:L,""),
_xlpm.MyAuditVal,_xlfn.XLOOKUP($A118,My_Audit!$A:$A,My_Audit!K:K,""),
_xlfn.IFS(_xlpm.MyAuditVal&lt;&gt;"",UPPER(_xlpm.MyAuditVal),_xlpm.MacVal&lt;&gt;"",_xlpm.MacVal,_xlpm.CSVVal&lt;&gt;"",_xlpm.CSVVal
)),"")</f>
        <v/>
      </c>
      <c r="M118" s="2" t="str" cm="1">
        <f t="array" ref="M118">IFERROR(_xlfn.LET(
_xlpm.CSVVal,_xlfn.XLOOKUP($A118,CSV!$A:$A,CSV!Q:Q,""),
_xlpm.MacVal,_xlfn.XLOOKUP($A118,Output_Mac!$A:$A,Output_Mac!M:M,""),
_xlpm.MyAuditVal,_xlfn.XLOOKUP($A118,My_Audit!$A:$A,My_Audit!L:L,""),
_xlfn.IFS(_xlpm.MyAuditVal&lt;&gt;"",UPPER(_xlpm.MyAuditVal),_xlpm.MacVal&lt;&gt;"",_xlpm.MacVal,_xlpm.CSVVal&lt;&gt;"",_xlpm.CSVVal
)),"")</f>
        <v/>
      </c>
      <c r="O118" s="2" t="str">
        <f>_xlfn.LET(
    _xlpm.CSVVal, _xlfn.XLOOKUP($A118, CSV!$A:$A, CSV!AA:AA, ""),
    _xlpm.MacVal, _xlfn.XLOOKUP($A118, Output_Mac!$A:$A, Output_Mac!S:S, ""),
    _xlpm.MyAuditVal, _xlfn.XLOOKUP($A118, My_Audit!$A:$A, My_Audit!P:P, ""),
    _xlfn.TEXTJOIN(", ", TRUE, _xlpm.MyAuditVal, _xlpm.MacVal, _xlpm.CSVVal)
)</f>
        <v/>
      </c>
      <c r="P118" s="2" t="str" cm="1">
        <f t="array" ref="P118">IFERROR(_xlfn.LET(
_xlpm.CSVVal,_xlfn.XLOOKUP($A118,CSV!$A:$A,CSV!AB:AB,""),
_xlpm.MacVal,_xlfn.XLOOKUP($A118,Output_Mac!$A:$A,Output_Mac!T:T,""),
_xlpm.MyAuditVal,_xlfn.XLOOKUP($A118,My_Audit!$A:$A,My_Audit!Q:Q,""),
_xlfn.IFS(_xlpm.MyAuditVal&lt;&gt;"",UPPER(_xlpm.MyAuditVal),_xlpm.MacVal&lt;&gt;"",_xlpm.MacVal,_xlpm.CSVVal&lt;&gt;"",_xlpm.CSVVal
)),"No")</f>
        <v>No</v>
      </c>
      <c r="Q118" s="2" t="str" cm="1">
        <f t="array" ref="Q118">IFERROR(_xlfn.LET(
_xlpm.CSVVal,_xlfn.XLOOKUP($A118,CSV!$A:$A,CSV!AC:AC,""),
_xlpm.MacVal,_xlfn.XLOOKUP($A118,Output_Mac!$A:$A,Output_Mac!U:U,""),
_xlpm.MyAuditVal,_xlfn.XLOOKUP($A118,My_Audit!$A:$A,My_Audit!R:R,""),
_xlfn.IFS(_xlpm.MyAuditVal&lt;&gt;"",UPPER(_xlpm.MyAuditVal),_xlpm.MacVal&lt;&gt;"",_xlpm.MacVal,_xlpm.CSVVal&lt;&gt;"",_xlpm.CSVVal
)),"")</f>
        <v/>
      </c>
      <c r="X118" t="str">
        <f>_xlfn.LET(
    _xlpm.MacVal, _xlfn.XLOOKUP($A118, Output_Mac!$A:$A, Output_Mac!AB:AB, ""),
    _xlpm.MyAuditVal, _xlfn.XLOOKUP($A118, My_Audit!$A:$A, My_Audit!N:N, ""),
    _xlfn.TEXTJOIN(", ", TRUE, _xlpm.MyAuditVal, _xlpm.MacVal)
)</f>
        <v/>
      </c>
    </row>
    <row r="119" spans="1:24">
      <c r="A119" s="2" t="str">
        <f>_xlfn.TEXTJOIN("",TRUE,Input!$B$2,ROW(My_Audit!A118))</f>
        <v>X118</v>
      </c>
      <c r="B119" s="2" t="str">
        <f>_xlfn.TEXTJOIN("-",TRUE,"ITD",Input!$A$2,A119)</f>
        <v>ITD-SHR-X118</v>
      </c>
      <c r="C119" s="2" t="str" cm="1">
        <f t="array" ref="C119">IFERROR(_xlfn.LET(
_xlpm.CSVVal,_xlfn.XLOOKUP($A119,CSV!$A:$A,CSV!B:B,""),
_xlpm.MacVal,_xlfn.XLOOKUP($A119,Output_Mac!$A:$A,Output_Mac!B:B,""),
_xlpm.MyAuditVal,_xlfn.XLOOKUP($A119,My_Audit!$A:$A,My_Audit!B:B,""),
_xlfn.IFS(_xlpm.MyAuditVal&lt;&gt;"",UPPER(_xlpm.MyAuditVal),_xlpm.MacVal&lt;&gt;"",_xlpm.MacVal,_xlpm.CSVVal&lt;&gt;"",_xlpm.CSVVal
)),"")</f>
        <v/>
      </c>
      <c r="D119" s="2" t="str" cm="1">
        <f t="array" ref="D119">IFERROR(_xlfn.LET(
_xlpm.CSVVal,_xlfn.XLOOKUP($A119,CSV!$A:$A,CSV!D:D,""),
_xlpm.MacVal,_xlfn.XLOOKUP($A119,Output_Mac!$A:$A,Output_Mac!C:C,""),
_xlpm.MyAuditVal,_xlfn.XLOOKUP($A119,My_Audit!$A:$A,My_Audit!C:C,""),
_xlfn.IFS(_xlpm.MyAuditVal&lt;&gt;"",_xlpm.MyAuditVal,_xlpm.MacVal&lt;&gt;"",_xlpm.MacVal,_xlpm.CSVVal&lt;&gt;"",_xlpm.CSVVal
)),"")</f>
        <v/>
      </c>
      <c r="E119" s="2" t="str">
        <f>_xlfn.XLOOKUP(A119,My_Audit!A:A,My_Audit!D:D,"")</f>
        <v/>
      </c>
      <c r="F119" s="2" t="str" cm="1">
        <f t="array" ref="F119">IFERROR(_xlfn.LET(
_xlpm.CSVVal,_xlfn.XLOOKUP($A119,CSV!$A:$A,CSV!F:F,""),
_xlpm.MacVal,_xlfn.XLOOKUP($A119,Output_Mac!$A:$A,Output_Mac!E:E,""),
_xlpm.MyAuditVal,_xlfn.XLOOKUP($A119,My_Audit!$A:$A,My_Audit!E:E,""),
_xlfn.IFS(_xlpm.MyAuditVal&lt;&gt;"",_xlpm.MyAuditVal,_xlpm.MacVal&lt;&gt;"",_xlpm.MacVal,_xlpm.CSVVal&lt;&gt;"",_xlpm.CSVVal
)),"")</f>
        <v/>
      </c>
      <c r="G119" s="2" t="str" cm="1">
        <f t="array" ref="G119">IFERROR(_xlfn.LET(
_xlpm.CSVVal,_xlfn.XLOOKUP($A119,CSV!$A:$A,CSV!G:G,""),
_xlpm.MacVal,_xlfn.XLOOKUP($A119,Output_Mac!$A:$A,Output_Mac!F:F,""),
_xlpm.MyAuditVal,_xlfn.XLOOKUP($A119,My_Audit!$A:$A,My_Audit!F:F,""),
_xlfn.IFS(_xlpm.MyAuditVal&lt;&gt;"",_xlpm.MyAuditVal,_xlpm.MacVal&lt;&gt;"",_xlpm.MacVal,_xlpm.CSVVal&lt;&gt;"",PROPER(_xlpm.CSVVal)
)),"")</f>
        <v/>
      </c>
      <c r="H119" s="2" t="str" cm="1">
        <f t="array" ref="H119">IFERROR(_xlfn.LET(
_xlpm.CSVVal,_xlfn.XLOOKUP($A119,CSV!$A:$A,CSV!H:H,""),
_xlpm.MacVal,_xlfn.XLOOKUP($A119,Output_Mac!$A:$A,Output_Mac!H:H,""),
_xlpm.MyAuditVal,_xlfn.XLOOKUP($A119,My_Audit!$A:$A,My_Audit!G:G,""),
_xlfn.IFS(_xlpm.MyAuditVal&lt;&gt;"",_xlpm.MyAuditVal,_xlpm.MacVal&lt;&gt;"",_xlpm.MacVal,_xlpm.CSVVal&lt;&gt;"",_xlpm.CSVVal
)),"")</f>
        <v/>
      </c>
      <c r="I119" s="2" t="str">
        <f>_xlfn.XLOOKUP(A119,Output_Mac!A:A,Output_Mac!I:I,"")</f>
        <v/>
      </c>
      <c r="J119" s="2" t="str" cm="1">
        <f t="array" ref="J119">IFERROR(_xlfn.LET(
_xlpm.CSVVal,_xlfn.XLOOKUP($A119,CSV!$A:$A,CSV!I:I,""),
_xlpm.MacVal,_xlfn.XLOOKUP($A119,Output_Mac!$A:$A,Output_Mac!J:J,""),
_xlpm.MyAuditVal,_xlfn.XLOOKUP($A119,My_Audit!$A:$A,My_Audit!I:I,""),
_xlfn.IFS(_xlpm.MyAuditVal&lt;&gt;"",UPPER(_xlpm.MyAuditVal),_xlpm.MacVal&lt;&gt;"",_xlpm.MacVal,_xlpm.CSVVal&lt;&gt;"",_xlpm.CSVVal
)),"")</f>
        <v/>
      </c>
      <c r="K119" s="2" t="str" cm="1">
        <f t="array" ref="K119">IFERROR(_xlfn.LET(
_xlpm.CSVVal,_xlfn.XLOOKUP($A119,CSV!$A:$A,CSV!K:K,""),
_xlpm.MacVal,_xlfn.XLOOKUP($A119,Output_Mac!$A:$A,Output_Mac!K:K,""),
_xlpm.MyAuditVal,_xlfn.XLOOKUP($A119,My_Audit!$A:$A,My_Audit!J:J,""),
_xlfn.IFS(_xlpm.MyAuditVal&lt;&gt;"",UPPER(_xlpm.MyAuditVal),_xlpm.MacVal&lt;&gt;"",_xlpm.MacVal,_xlpm.CSVVal&lt;&gt;"",_xlpm.CSVVal
)),"")</f>
        <v/>
      </c>
      <c r="L119" s="2" t="str" cm="1">
        <f t="array" ref="L119">IFERROR(_xlfn.LET(
_xlpm.CSVVal,_xlfn.XLOOKUP($A119,CSV!$A:$A,CSV!P:P,""),
_xlpm.MacVal,_xlfn.XLOOKUP($A119,Output_Mac!$A:$A,Output_Mac!L:L,""),
_xlpm.MyAuditVal,_xlfn.XLOOKUP($A119,My_Audit!$A:$A,My_Audit!K:K,""),
_xlfn.IFS(_xlpm.MyAuditVal&lt;&gt;"",UPPER(_xlpm.MyAuditVal),_xlpm.MacVal&lt;&gt;"",_xlpm.MacVal,_xlpm.CSVVal&lt;&gt;"",_xlpm.CSVVal
)),"")</f>
        <v/>
      </c>
      <c r="M119" s="2" t="str" cm="1">
        <f t="array" ref="M119">IFERROR(_xlfn.LET(
_xlpm.CSVVal,_xlfn.XLOOKUP($A119,CSV!$A:$A,CSV!Q:Q,""),
_xlpm.MacVal,_xlfn.XLOOKUP($A119,Output_Mac!$A:$A,Output_Mac!M:M,""),
_xlpm.MyAuditVal,_xlfn.XLOOKUP($A119,My_Audit!$A:$A,My_Audit!L:L,""),
_xlfn.IFS(_xlpm.MyAuditVal&lt;&gt;"",UPPER(_xlpm.MyAuditVal),_xlpm.MacVal&lt;&gt;"",_xlpm.MacVal,_xlpm.CSVVal&lt;&gt;"",_xlpm.CSVVal
)),"")</f>
        <v/>
      </c>
      <c r="O119" s="2" t="str">
        <f>_xlfn.LET(
    _xlpm.CSVVal, _xlfn.XLOOKUP($A119, CSV!$A:$A, CSV!AA:AA, ""),
    _xlpm.MacVal, _xlfn.XLOOKUP($A119, Output_Mac!$A:$A, Output_Mac!S:S, ""),
    _xlpm.MyAuditVal, _xlfn.XLOOKUP($A119, My_Audit!$A:$A, My_Audit!P:P, ""),
    _xlfn.TEXTJOIN(", ", TRUE, _xlpm.MyAuditVal, _xlpm.MacVal, _xlpm.CSVVal)
)</f>
        <v/>
      </c>
      <c r="P119" s="2" t="str" cm="1">
        <f t="array" ref="P119">IFERROR(_xlfn.LET(
_xlpm.CSVVal,_xlfn.XLOOKUP($A119,CSV!$A:$A,CSV!AB:AB,""),
_xlpm.MacVal,_xlfn.XLOOKUP($A119,Output_Mac!$A:$A,Output_Mac!T:T,""),
_xlpm.MyAuditVal,_xlfn.XLOOKUP($A119,My_Audit!$A:$A,My_Audit!Q:Q,""),
_xlfn.IFS(_xlpm.MyAuditVal&lt;&gt;"",UPPER(_xlpm.MyAuditVal),_xlpm.MacVal&lt;&gt;"",_xlpm.MacVal,_xlpm.CSVVal&lt;&gt;"",_xlpm.CSVVal
)),"No")</f>
        <v>No</v>
      </c>
      <c r="Q119" s="2" t="str" cm="1">
        <f t="array" ref="Q119">IFERROR(_xlfn.LET(
_xlpm.CSVVal,_xlfn.XLOOKUP($A119,CSV!$A:$A,CSV!AC:AC,""),
_xlpm.MacVal,_xlfn.XLOOKUP($A119,Output_Mac!$A:$A,Output_Mac!U:U,""),
_xlpm.MyAuditVal,_xlfn.XLOOKUP($A119,My_Audit!$A:$A,My_Audit!R:R,""),
_xlfn.IFS(_xlpm.MyAuditVal&lt;&gt;"",UPPER(_xlpm.MyAuditVal),_xlpm.MacVal&lt;&gt;"",_xlpm.MacVal,_xlpm.CSVVal&lt;&gt;"",_xlpm.CSVVal
)),"")</f>
        <v/>
      </c>
      <c r="X119" t="str">
        <f>_xlfn.LET(
    _xlpm.MacVal, _xlfn.XLOOKUP($A119, Output_Mac!$A:$A, Output_Mac!AB:AB, ""),
    _xlpm.MyAuditVal, _xlfn.XLOOKUP($A119, My_Audit!$A:$A, My_Audit!N:N, ""),
    _xlfn.TEXTJOIN(", ", TRUE, _xlpm.MyAuditVal, _xlpm.MacVal)
)</f>
        <v/>
      </c>
    </row>
    <row r="120" spans="1:24">
      <c r="A120" s="2" t="str">
        <f>_xlfn.TEXTJOIN("",TRUE,Input!$B$2,ROW(My_Audit!A119))</f>
        <v>X119</v>
      </c>
      <c r="B120" s="2" t="str">
        <f>_xlfn.TEXTJOIN("-",TRUE,"ITD",Input!$A$2,A120)</f>
        <v>ITD-SHR-X119</v>
      </c>
      <c r="C120" s="2" t="str" cm="1">
        <f t="array" ref="C120">IFERROR(_xlfn.LET(
_xlpm.CSVVal,_xlfn.XLOOKUP($A120,CSV!$A:$A,CSV!B:B,""),
_xlpm.MacVal,_xlfn.XLOOKUP($A120,Output_Mac!$A:$A,Output_Mac!B:B,""),
_xlpm.MyAuditVal,_xlfn.XLOOKUP($A120,My_Audit!$A:$A,My_Audit!B:B,""),
_xlfn.IFS(_xlpm.MyAuditVal&lt;&gt;"",UPPER(_xlpm.MyAuditVal),_xlpm.MacVal&lt;&gt;"",_xlpm.MacVal,_xlpm.CSVVal&lt;&gt;"",_xlpm.CSVVal
)),"")</f>
        <v/>
      </c>
      <c r="D120" s="2" t="str" cm="1">
        <f t="array" ref="D120">IFERROR(_xlfn.LET(
_xlpm.CSVVal,_xlfn.XLOOKUP($A120,CSV!$A:$A,CSV!D:D,""),
_xlpm.MacVal,_xlfn.XLOOKUP($A120,Output_Mac!$A:$A,Output_Mac!C:C,""),
_xlpm.MyAuditVal,_xlfn.XLOOKUP($A120,My_Audit!$A:$A,My_Audit!C:C,""),
_xlfn.IFS(_xlpm.MyAuditVal&lt;&gt;"",_xlpm.MyAuditVal,_xlpm.MacVal&lt;&gt;"",_xlpm.MacVal,_xlpm.CSVVal&lt;&gt;"",_xlpm.CSVVal
)),"")</f>
        <v/>
      </c>
      <c r="E120" s="2" t="str">
        <f>_xlfn.XLOOKUP(A120,My_Audit!A:A,My_Audit!D:D,"")</f>
        <v/>
      </c>
      <c r="F120" s="2" t="str" cm="1">
        <f t="array" ref="F120">IFERROR(_xlfn.LET(
_xlpm.CSVVal,_xlfn.XLOOKUP($A120,CSV!$A:$A,CSV!F:F,""),
_xlpm.MacVal,_xlfn.XLOOKUP($A120,Output_Mac!$A:$A,Output_Mac!E:E,""),
_xlpm.MyAuditVal,_xlfn.XLOOKUP($A120,My_Audit!$A:$A,My_Audit!E:E,""),
_xlfn.IFS(_xlpm.MyAuditVal&lt;&gt;"",_xlpm.MyAuditVal,_xlpm.MacVal&lt;&gt;"",_xlpm.MacVal,_xlpm.CSVVal&lt;&gt;"",_xlpm.CSVVal
)),"")</f>
        <v/>
      </c>
      <c r="G120" s="2" t="str" cm="1">
        <f t="array" ref="G120">IFERROR(_xlfn.LET(
_xlpm.CSVVal,_xlfn.XLOOKUP($A120,CSV!$A:$A,CSV!G:G,""),
_xlpm.MacVal,_xlfn.XLOOKUP($A120,Output_Mac!$A:$A,Output_Mac!F:F,""),
_xlpm.MyAuditVal,_xlfn.XLOOKUP($A120,My_Audit!$A:$A,My_Audit!F:F,""),
_xlfn.IFS(_xlpm.MyAuditVal&lt;&gt;"",_xlpm.MyAuditVal,_xlpm.MacVal&lt;&gt;"",_xlpm.MacVal,_xlpm.CSVVal&lt;&gt;"",PROPER(_xlpm.CSVVal)
)),"")</f>
        <v/>
      </c>
      <c r="H120" s="2" t="str" cm="1">
        <f t="array" ref="H120">IFERROR(_xlfn.LET(
_xlpm.CSVVal,_xlfn.XLOOKUP($A120,CSV!$A:$A,CSV!H:H,""),
_xlpm.MacVal,_xlfn.XLOOKUP($A120,Output_Mac!$A:$A,Output_Mac!H:H,""),
_xlpm.MyAuditVal,_xlfn.XLOOKUP($A120,My_Audit!$A:$A,My_Audit!G:G,""),
_xlfn.IFS(_xlpm.MyAuditVal&lt;&gt;"",_xlpm.MyAuditVal,_xlpm.MacVal&lt;&gt;"",_xlpm.MacVal,_xlpm.CSVVal&lt;&gt;"",_xlpm.CSVVal
)),"")</f>
        <v/>
      </c>
      <c r="I120" s="2" t="str">
        <f>_xlfn.XLOOKUP(A120,Output_Mac!A:A,Output_Mac!I:I,"")</f>
        <v/>
      </c>
      <c r="J120" s="2" t="str" cm="1">
        <f t="array" ref="J120">IFERROR(_xlfn.LET(
_xlpm.CSVVal,_xlfn.XLOOKUP($A120,CSV!$A:$A,CSV!I:I,""),
_xlpm.MacVal,_xlfn.XLOOKUP($A120,Output_Mac!$A:$A,Output_Mac!J:J,""),
_xlpm.MyAuditVal,_xlfn.XLOOKUP($A120,My_Audit!$A:$A,My_Audit!I:I,""),
_xlfn.IFS(_xlpm.MyAuditVal&lt;&gt;"",UPPER(_xlpm.MyAuditVal),_xlpm.MacVal&lt;&gt;"",_xlpm.MacVal,_xlpm.CSVVal&lt;&gt;"",_xlpm.CSVVal
)),"")</f>
        <v/>
      </c>
      <c r="K120" s="2" t="str" cm="1">
        <f t="array" ref="K120">IFERROR(_xlfn.LET(
_xlpm.CSVVal,_xlfn.XLOOKUP($A120,CSV!$A:$A,CSV!K:K,""),
_xlpm.MacVal,_xlfn.XLOOKUP($A120,Output_Mac!$A:$A,Output_Mac!K:K,""),
_xlpm.MyAuditVal,_xlfn.XLOOKUP($A120,My_Audit!$A:$A,My_Audit!J:J,""),
_xlfn.IFS(_xlpm.MyAuditVal&lt;&gt;"",UPPER(_xlpm.MyAuditVal),_xlpm.MacVal&lt;&gt;"",_xlpm.MacVal,_xlpm.CSVVal&lt;&gt;"",_xlpm.CSVVal
)),"")</f>
        <v/>
      </c>
      <c r="L120" s="2" t="str" cm="1">
        <f t="array" ref="L120">IFERROR(_xlfn.LET(
_xlpm.CSVVal,_xlfn.XLOOKUP($A120,CSV!$A:$A,CSV!P:P,""),
_xlpm.MacVal,_xlfn.XLOOKUP($A120,Output_Mac!$A:$A,Output_Mac!L:L,""),
_xlpm.MyAuditVal,_xlfn.XLOOKUP($A120,My_Audit!$A:$A,My_Audit!K:K,""),
_xlfn.IFS(_xlpm.MyAuditVal&lt;&gt;"",UPPER(_xlpm.MyAuditVal),_xlpm.MacVal&lt;&gt;"",_xlpm.MacVal,_xlpm.CSVVal&lt;&gt;"",_xlpm.CSVVal
)),"")</f>
        <v/>
      </c>
      <c r="M120" s="2" t="str" cm="1">
        <f t="array" ref="M120">IFERROR(_xlfn.LET(
_xlpm.CSVVal,_xlfn.XLOOKUP($A120,CSV!$A:$A,CSV!Q:Q,""),
_xlpm.MacVal,_xlfn.XLOOKUP($A120,Output_Mac!$A:$A,Output_Mac!M:M,""),
_xlpm.MyAuditVal,_xlfn.XLOOKUP($A120,My_Audit!$A:$A,My_Audit!L:L,""),
_xlfn.IFS(_xlpm.MyAuditVal&lt;&gt;"",UPPER(_xlpm.MyAuditVal),_xlpm.MacVal&lt;&gt;"",_xlpm.MacVal,_xlpm.CSVVal&lt;&gt;"",_xlpm.CSVVal
)),"")</f>
        <v/>
      </c>
      <c r="O120" s="2" t="str">
        <f>_xlfn.LET(
    _xlpm.CSVVal, _xlfn.XLOOKUP($A120, CSV!$A:$A, CSV!AA:AA, ""),
    _xlpm.MacVal, _xlfn.XLOOKUP($A120, Output_Mac!$A:$A, Output_Mac!S:S, ""),
    _xlpm.MyAuditVal, _xlfn.XLOOKUP($A120, My_Audit!$A:$A, My_Audit!P:P, ""),
    _xlfn.TEXTJOIN(", ", TRUE, _xlpm.MyAuditVal, _xlpm.MacVal, _xlpm.CSVVal)
)</f>
        <v/>
      </c>
      <c r="P120" s="2" t="str" cm="1">
        <f t="array" ref="P120">IFERROR(_xlfn.LET(
_xlpm.CSVVal,_xlfn.XLOOKUP($A120,CSV!$A:$A,CSV!AB:AB,""),
_xlpm.MacVal,_xlfn.XLOOKUP($A120,Output_Mac!$A:$A,Output_Mac!T:T,""),
_xlpm.MyAuditVal,_xlfn.XLOOKUP($A120,My_Audit!$A:$A,My_Audit!Q:Q,""),
_xlfn.IFS(_xlpm.MyAuditVal&lt;&gt;"",UPPER(_xlpm.MyAuditVal),_xlpm.MacVal&lt;&gt;"",_xlpm.MacVal,_xlpm.CSVVal&lt;&gt;"",_xlpm.CSVVal
)),"No")</f>
        <v>No</v>
      </c>
      <c r="Q120" s="2" t="str" cm="1">
        <f t="array" ref="Q120">IFERROR(_xlfn.LET(
_xlpm.CSVVal,_xlfn.XLOOKUP($A120,CSV!$A:$A,CSV!AC:AC,""),
_xlpm.MacVal,_xlfn.XLOOKUP($A120,Output_Mac!$A:$A,Output_Mac!U:U,""),
_xlpm.MyAuditVal,_xlfn.XLOOKUP($A120,My_Audit!$A:$A,My_Audit!R:R,""),
_xlfn.IFS(_xlpm.MyAuditVal&lt;&gt;"",UPPER(_xlpm.MyAuditVal),_xlpm.MacVal&lt;&gt;"",_xlpm.MacVal,_xlpm.CSVVal&lt;&gt;"",_xlpm.CSVVal
)),"")</f>
        <v/>
      </c>
      <c r="X120" t="str">
        <f>_xlfn.LET(
    _xlpm.MacVal, _xlfn.XLOOKUP($A120, Output_Mac!$A:$A, Output_Mac!AB:AB, ""),
    _xlpm.MyAuditVal, _xlfn.XLOOKUP($A120, My_Audit!$A:$A, My_Audit!N:N, ""),
    _xlfn.TEXTJOIN(", ", TRUE, _xlpm.MyAuditVal, _xlpm.MacVal)
)</f>
        <v/>
      </c>
    </row>
    <row r="121" spans="1:24">
      <c r="A121" s="2" t="str">
        <f>_xlfn.TEXTJOIN("",TRUE,Input!$B$2,ROW(My_Audit!A120))</f>
        <v>X120</v>
      </c>
      <c r="B121" s="2" t="str">
        <f>_xlfn.TEXTJOIN("-",TRUE,"ITD",Input!$A$2,A121)</f>
        <v>ITD-SHR-X120</v>
      </c>
      <c r="C121" s="2" t="str" cm="1">
        <f t="array" ref="C121">IFERROR(_xlfn.LET(
_xlpm.CSVVal,_xlfn.XLOOKUP($A121,CSV!$A:$A,CSV!B:B,""),
_xlpm.MacVal,_xlfn.XLOOKUP($A121,Output_Mac!$A:$A,Output_Mac!B:B,""),
_xlpm.MyAuditVal,_xlfn.XLOOKUP($A121,My_Audit!$A:$A,My_Audit!B:B,""),
_xlfn.IFS(_xlpm.MyAuditVal&lt;&gt;"",UPPER(_xlpm.MyAuditVal),_xlpm.MacVal&lt;&gt;"",_xlpm.MacVal,_xlpm.CSVVal&lt;&gt;"",_xlpm.CSVVal
)),"")</f>
        <v/>
      </c>
      <c r="D121" s="2" t="str" cm="1">
        <f t="array" ref="D121">IFERROR(_xlfn.LET(
_xlpm.CSVVal,_xlfn.XLOOKUP($A121,CSV!$A:$A,CSV!D:D,""),
_xlpm.MacVal,_xlfn.XLOOKUP($A121,Output_Mac!$A:$A,Output_Mac!C:C,""),
_xlpm.MyAuditVal,_xlfn.XLOOKUP($A121,My_Audit!$A:$A,My_Audit!C:C,""),
_xlfn.IFS(_xlpm.MyAuditVal&lt;&gt;"",_xlpm.MyAuditVal,_xlpm.MacVal&lt;&gt;"",_xlpm.MacVal,_xlpm.CSVVal&lt;&gt;"",_xlpm.CSVVal
)),"")</f>
        <v/>
      </c>
      <c r="E121" s="2" t="str">
        <f>_xlfn.XLOOKUP(A121,My_Audit!A:A,My_Audit!D:D,"")</f>
        <v/>
      </c>
      <c r="F121" s="2" t="str" cm="1">
        <f t="array" ref="F121">IFERROR(_xlfn.LET(
_xlpm.CSVVal,_xlfn.XLOOKUP($A121,CSV!$A:$A,CSV!F:F,""),
_xlpm.MacVal,_xlfn.XLOOKUP($A121,Output_Mac!$A:$A,Output_Mac!E:E,""),
_xlpm.MyAuditVal,_xlfn.XLOOKUP($A121,My_Audit!$A:$A,My_Audit!E:E,""),
_xlfn.IFS(_xlpm.MyAuditVal&lt;&gt;"",_xlpm.MyAuditVal,_xlpm.MacVal&lt;&gt;"",_xlpm.MacVal,_xlpm.CSVVal&lt;&gt;"",_xlpm.CSVVal
)),"")</f>
        <v/>
      </c>
      <c r="G121" s="2" t="str" cm="1">
        <f t="array" ref="G121">IFERROR(_xlfn.LET(
_xlpm.CSVVal,_xlfn.XLOOKUP($A121,CSV!$A:$A,CSV!G:G,""),
_xlpm.MacVal,_xlfn.XLOOKUP($A121,Output_Mac!$A:$A,Output_Mac!F:F,""),
_xlpm.MyAuditVal,_xlfn.XLOOKUP($A121,My_Audit!$A:$A,My_Audit!F:F,""),
_xlfn.IFS(_xlpm.MyAuditVal&lt;&gt;"",_xlpm.MyAuditVal,_xlpm.MacVal&lt;&gt;"",_xlpm.MacVal,_xlpm.CSVVal&lt;&gt;"",PROPER(_xlpm.CSVVal)
)),"")</f>
        <v/>
      </c>
      <c r="H121" s="2" t="str" cm="1">
        <f t="array" ref="H121">IFERROR(_xlfn.LET(
_xlpm.CSVVal,_xlfn.XLOOKUP($A121,CSV!$A:$A,CSV!H:H,""),
_xlpm.MacVal,_xlfn.XLOOKUP($A121,Output_Mac!$A:$A,Output_Mac!H:H,""),
_xlpm.MyAuditVal,_xlfn.XLOOKUP($A121,My_Audit!$A:$A,My_Audit!G:G,""),
_xlfn.IFS(_xlpm.MyAuditVal&lt;&gt;"",_xlpm.MyAuditVal,_xlpm.MacVal&lt;&gt;"",_xlpm.MacVal,_xlpm.CSVVal&lt;&gt;"",_xlpm.CSVVal
)),"")</f>
        <v/>
      </c>
      <c r="I121" s="2" t="str">
        <f>_xlfn.XLOOKUP(A121,Output_Mac!A:A,Output_Mac!I:I,"")</f>
        <v/>
      </c>
      <c r="J121" s="2" t="str" cm="1">
        <f t="array" ref="J121">IFERROR(_xlfn.LET(
_xlpm.CSVVal,_xlfn.XLOOKUP($A121,CSV!$A:$A,CSV!I:I,""),
_xlpm.MacVal,_xlfn.XLOOKUP($A121,Output_Mac!$A:$A,Output_Mac!J:J,""),
_xlpm.MyAuditVal,_xlfn.XLOOKUP($A121,My_Audit!$A:$A,My_Audit!I:I,""),
_xlfn.IFS(_xlpm.MyAuditVal&lt;&gt;"",UPPER(_xlpm.MyAuditVal),_xlpm.MacVal&lt;&gt;"",_xlpm.MacVal,_xlpm.CSVVal&lt;&gt;"",_xlpm.CSVVal
)),"")</f>
        <v/>
      </c>
      <c r="K121" s="2" t="str" cm="1">
        <f t="array" ref="K121">IFERROR(_xlfn.LET(
_xlpm.CSVVal,_xlfn.XLOOKUP($A121,CSV!$A:$A,CSV!K:K,""),
_xlpm.MacVal,_xlfn.XLOOKUP($A121,Output_Mac!$A:$A,Output_Mac!K:K,""),
_xlpm.MyAuditVal,_xlfn.XLOOKUP($A121,My_Audit!$A:$A,My_Audit!J:J,""),
_xlfn.IFS(_xlpm.MyAuditVal&lt;&gt;"",UPPER(_xlpm.MyAuditVal),_xlpm.MacVal&lt;&gt;"",_xlpm.MacVal,_xlpm.CSVVal&lt;&gt;"",_xlpm.CSVVal
)),"")</f>
        <v/>
      </c>
      <c r="L121" s="2" t="str" cm="1">
        <f t="array" ref="L121">IFERROR(_xlfn.LET(
_xlpm.CSVVal,_xlfn.XLOOKUP($A121,CSV!$A:$A,CSV!P:P,""),
_xlpm.MacVal,_xlfn.XLOOKUP($A121,Output_Mac!$A:$A,Output_Mac!L:L,""),
_xlpm.MyAuditVal,_xlfn.XLOOKUP($A121,My_Audit!$A:$A,My_Audit!K:K,""),
_xlfn.IFS(_xlpm.MyAuditVal&lt;&gt;"",UPPER(_xlpm.MyAuditVal),_xlpm.MacVal&lt;&gt;"",_xlpm.MacVal,_xlpm.CSVVal&lt;&gt;"",_xlpm.CSVVal
)),"")</f>
        <v/>
      </c>
      <c r="M121" s="2" t="str" cm="1">
        <f t="array" ref="M121">IFERROR(_xlfn.LET(
_xlpm.CSVVal,_xlfn.XLOOKUP($A121,CSV!$A:$A,CSV!Q:Q,""),
_xlpm.MacVal,_xlfn.XLOOKUP($A121,Output_Mac!$A:$A,Output_Mac!M:M,""),
_xlpm.MyAuditVal,_xlfn.XLOOKUP($A121,My_Audit!$A:$A,My_Audit!L:L,""),
_xlfn.IFS(_xlpm.MyAuditVal&lt;&gt;"",UPPER(_xlpm.MyAuditVal),_xlpm.MacVal&lt;&gt;"",_xlpm.MacVal,_xlpm.CSVVal&lt;&gt;"",_xlpm.CSVVal
)),"")</f>
        <v/>
      </c>
      <c r="O121" s="2" t="str">
        <f>_xlfn.LET(
    _xlpm.CSVVal, _xlfn.XLOOKUP($A121, CSV!$A:$A, CSV!AA:AA, ""),
    _xlpm.MacVal, _xlfn.XLOOKUP($A121, Output_Mac!$A:$A, Output_Mac!S:S, ""),
    _xlpm.MyAuditVal, _xlfn.XLOOKUP($A121, My_Audit!$A:$A, My_Audit!P:P, ""),
    _xlfn.TEXTJOIN(", ", TRUE, _xlpm.MyAuditVal, _xlpm.MacVal, _xlpm.CSVVal)
)</f>
        <v/>
      </c>
      <c r="P121" s="2" t="str" cm="1">
        <f t="array" ref="P121">IFERROR(_xlfn.LET(
_xlpm.CSVVal,_xlfn.XLOOKUP($A121,CSV!$A:$A,CSV!AB:AB,""),
_xlpm.MacVal,_xlfn.XLOOKUP($A121,Output_Mac!$A:$A,Output_Mac!T:T,""),
_xlpm.MyAuditVal,_xlfn.XLOOKUP($A121,My_Audit!$A:$A,My_Audit!Q:Q,""),
_xlfn.IFS(_xlpm.MyAuditVal&lt;&gt;"",UPPER(_xlpm.MyAuditVal),_xlpm.MacVal&lt;&gt;"",_xlpm.MacVal,_xlpm.CSVVal&lt;&gt;"",_xlpm.CSVVal
)),"No")</f>
        <v>No</v>
      </c>
      <c r="Q121" s="2" t="str" cm="1">
        <f t="array" ref="Q121">IFERROR(_xlfn.LET(
_xlpm.CSVVal,_xlfn.XLOOKUP($A121,CSV!$A:$A,CSV!AC:AC,""),
_xlpm.MacVal,_xlfn.XLOOKUP($A121,Output_Mac!$A:$A,Output_Mac!U:U,""),
_xlpm.MyAuditVal,_xlfn.XLOOKUP($A121,My_Audit!$A:$A,My_Audit!R:R,""),
_xlfn.IFS(_xlpm.MyAuditVal&lt;&gt;"",UPPER(_xlpm.MyAuditVal),_xlpm.MacVal&lt;&gt;"",_xlpm.MacVal,_xlpm.CSVVal&lt;&gt;"",_xlpm.CSVVal
)),"")</f>
        <v/>
      </c>
      <c r="X121" t="str">
        <f>_xlfn.LET(
    _xlpm.MacVal, _xlfn.XLOOKUP($A121, Output_Mac!$A:$A, Output_Mac!AB:AB, ""),
    _xlpm.MyAuditVal, _xlfn.XLOOKUP($A121, My_Audit!$A:$A, My_Audit!N:N, ""),
    _xlfn.TEXTJOIN(", ", TRUE, _xlpm.MyAuditVal, _xlpm.MacVal)
)</f>
        <v/>
      </c>
    </row>
    <row r="122" spans="1:24">
      <c r="A122" s="2" t="str">
        <f>_xlfn.TEXTJOIN("",TRUE,Input!$B$2,ROW(My_Audit!A121))</f>
        <v>X121</v>
      </c>
      <c r="B122" s="2" t="str">
        <f>_xlfn.TEXTJOIN("-",TRUE,"ITD",Input!$A$2,A122)</f>
        <v>ITD-SHR-X121</v>
      </c>
      <c r="C122" s="2" t="str" cm="1">
        <f t="array" ref="C122">IFERROR(_xlfn.LET(
_xlpm.CSVVal,_xlfn.XLOOKUP($A122,CSV!$A:$A,CSV!B:B,""),
_xlpm.MacVal,_xlfn.XLOOKUP($A122,Output_Mac!$A:$A,Output_Mac!B:B,""),
_xlpm.MyAuditVal,_xlfn.XLOOKUP($A122,My_Audit!$A:$A,My_Audit!B:B,""),
_xlfn.IFS(_xlpm.MyAuditVal&lt;&gt;"",UPPER(_xlpm.MyAuditVal),_xlpm.MacVal&lt;&gt;"",_xlpm.MacVal,_xlpm.CSVVal&lt;&gt;"",_xlpm.CSVVal
)),"")</f>
        <v/>
      </c>
      <c r="D122" s="2" t="str" cm="1">
        <f t="array" ref="D122">IFERROR(_xlfn.LET(
_xlpm.CSVVal,_xlfn.XLOOKUP($A122,CSV!$A:$A,CSV!D:D,""),
_xlpm.MacVal,_xlfn.XLOOKUP($A122,Output_Mac!$A:$A,Output_Mac!C:C,""),
_xlpm.MyAuditVal,_xlfn.XLOOKUP($A122,My_Audit!$A:$A,My_Audit!C:C,""),
_xlfn.IFS(_xlpm.MyAuditVal&lt;&gt;"",_xlpm.MyAuditVal,_xlpm.MacVal&lt;&gt;"",_xlpm.MacVal,_xlpm.CSVVal&lt;&gt;"",_xlpm.CSVVal
)),"")</f>
        <v/>
      </c>
      <c r="E122" s="2" t="str">
        <f>_xlfn.XLOOKUP(A122,My_Audit!A:A,My_Audit!D:D,"")</f>
        <v/>
      </c>
      <c r="F122" s="2" t="str" cm="1">
        <f t="array" ref="F122">IFERROR(_xlfn.LET(
_xlpm.CSVVal,_xlfn.XLOOKUP($A122,CSV!$A:$A,CSV!F:F,""),
_xlpm.MacVal,_xlfn.XLOOKUP($A122,Output_Mac!$A:$A,Output_Mac!E:E,""),
_xlpm.MyAuditVal,_xlfn.XLOOKUP($A122,My_Audit!$A:$A,My_Audit!E:E,""),
_xlfn.IFS(_xlpm.MyAuditVal&lt;&gt;"",_xlpm.MyAuditVal,_xlpm.MacVal&lt;&gt;"",_xlpm.MacVal,_xlpm.CSVVal&lt;&gt;"",_xlpm.CSVVal
)),"")</f>
        <v/>
      </c>
      <c r="G122" s="2" t="str" cm="1">
        <f t="array" ref="G122">IFERROR(_xlfn.LET(
_xlpm.CSVVal,_xlfn.XLOOKUP($A122,CSV!$A:$A,CSV!G:G,""),
_xlpm.MacVal,_xlfn.XLOOKUP($A122,Output_Mac!$A:$A,Output_Mac!F:F,""),
_xlpm.MyAuditVal,_xlfn.XLOOKUP($A122,My_Audit!$A:$A,My_Audit!F:F,""),
_xlfn.IFS(_xlpm.MyAuditVal&lt;&gt;"",_xlpm.MyAuditVal,_xlpm.MacVal&lt;&gt;"",_xlpm.MacVal,_xlpm.CSVVal&lt;&gt;"",PROPER(_xlpm.CSVVal)
)),"")</f>
        <v/>
      </c>
      <c r="H122" s="2" t="str" cm="1">
        <f t="array" ref="H122">IFERROR(_xlfn.LET(
_xlpm.CSVVal,_xlfn.XLOOKUP($A122,CSV!$A:$A,CSV!H:H,""),
_xlpm.MacVal,_xlfn.XLOOKUP($A122,Output_Mac!$A:$A,Output_Mac!H:H,""),
_xlpm.MyAuditVal,_xlfn.XLOOKUP($A122,My_Audit!$A:$A,My_Audit!G:G,""),
_xlfn.IFS(_xlpm.MyAuditVal&lt;&gt;"",_xlpm.MyAuditVal,_xlpm.MacVal&lt;&gt;"",_xlpm.MacVal,_xlpm.CSVVal&lt;&gt;"",_xlpm.CSVVal
)),"")</f>
        <v/>
      </c>
      <c r="I122" s="2" t="str">
        <f>_xlfn.XLOOKUP(A122,Output_Mac!A:A,Output_Mac!I:I,"")</f>
        <v/>
      </c>
      <c r="J122" s="2" t="str" cm="1">
        <f t="array" ref="J122">IFERROR(_xlfn.LET(
_xlpm.CSVVal,_xlfn.XLOOKUP($A122,CSV!$A:$A,CSV!I:I,""),
_xlpm.MacVal,_xlfn.XLOOKUP($A122,Output_Mac!$A:$A,Output_Mac!J:J,""),
_xlpm.MyAuditVal,_xlfn.XLOOKUP($A122,My_Audit!$A:$A,My_Audit!I:I,""),
_xlfn.IFS(_xlpm.MyAuditVal&lt;&gt;"",UPPER(_xlpm.MyAuditVal),_xlpm.MacVal&lt;&gt;"",_xlpm.MacVal,_xlpm.CSVVal&lt;&gt;"",_xlpm.CSVVal
)),"")</f>
        <v/>
      </c>
      <c r="K122" s="2" t="str" cm="1">
        <f t="array" ref="K122">IFERROR(_xlfn.LET(
_xlpm.CSVVal,_xlfn.XLOOKUP($A122,CSV!$A:$A,CSV!K:K,""),
_xlpm.MacVal,_xlfn.XLOOKUP($A122,Output_Mac!$A:$A,Output_Mac!K:K,""),
_xlpm.MyAuditVal,_xlfn.XLOOKUP($A122,My_Audit!$A:$A,My_Audit!J:J,""),
_xlfn.IFS(_xlpm.MyAuditVal&lt;&gt;"",UPPER(_xlpm.MyAuditVal),_xlpm.MacVal&lt;&gt;"",_xlpm.MacVal,_xlpm.CSVVal&lt;&gt;"",_xlpm.CSVVal
)),"")</f>
        <v/>
      </c>
      <c r="L122" s="2" t="str" cm="1">
        <f t="array" ref="L122">IFERROR(_xlfn.LET(
_xlpm.CSVVal,_xlfn.XLOOKUP($A122,CSV!$A:$A,CSV!P:P,""),
_xlpm.MacVal,_xlfn.XLOOKUP($A122,Output_Mac!$A:$A,Output_Mac!L:L,""),
_xlpm.MyAuditVal,_xlfn.XLOOKUP($A122,My_Audit!$A:$A,My_Audit!K:K,""),
_xlfn.IFS(_xlpm.MyAuditVal&lt;&gt;"",UPPER(_xlpm.MyAuditVal),_xlpm.MacVal&lt;&gt;"",_xlpm.MacVal,_xlpm.CSVVal&lt;&gt;"",_xlpm.CSVVal
)),"")</f>
        <v/>
      </c>
      <c r="M122" s="2" t="str" cm="1">
        <f t="array" ref="M122">IFERROR(_xlfn.LET(
_xlpm.CSVVal,_xlfn.XLOOKUP($A122,CSV!$A:$A,CSV!Q:Q,""),
_xlpm.MacVal,_xlfn.XLOOKUP($A122,Output_Mac!$A:$A,Output_Mac!M:M,""),
_xlpm.MyAuditVal,_xlfn.XLOOKUP($A122,My_Audit!$A:$A,My_Audit!L:L,""),
_xlfn.IFS(_xlpm.MyAuditVal&lt;&gt;"",UPPER(_xlpm.MyAuditVal),_xlpm.MacVal&lt;&gt;"",_xlpm.MacVal,_xlpm.CSVVal&lt;&gt;"",_xlpm.CSVVal
)),"")</f>
        <v/>
      </c>
      <c r="O122" s="2" t="str">
        <f>_xlfn.LET(
    _xlpm.CSVVal, _xlfn.XLOOKUP($A122, CSV!$A:$A, CSV!AA:AA, ""),
    _xlpm.MacVal, _xlfn.XLOOKUP($A122, Output_Mac!$A:$A, Output_Mac!S:S, ""),
    _xlpm.MyAuditVal, _xlfn.XLOOKUP($A122, My_Audit!$A:$A, My_Audit!P:P, ""),
    _xlfn.TEXTJOIN(", ", TRUE, _xlpm.MyAuditVal, _xlpm.MacVal, _xlpm.CSVVal)
)</f>
        <v/>
      </c>
      <c r="P122" s="2" t="str" cm="1">
        <f t="array" ref="P122">IFERROR(_xlfn.LET(
_xlpm.CSVVal,_xlfn.XLOOKUP($A122,CSV!$A:$A,CSV!AB:AB,""),
_xlpm.MacVal,_xlfn.XLOOKUP($A122,Output_Mac!$A:$A,Output_Mac!T:T,""),
_xlpm.MyAuditVal,_xlfn.XLOOKUP($A122,My_Audit!$A:$A,My_Audit!Q:Q,""),
_xlfn.IFS(_xlpm.MyAuditVal&lt;&gt;"",UPPER(_xlpm.MyAuditVal),_xlpm.MacVal&lt;&gt;"",_xlpm.MacVal,_xlpm.CSVVal&lt;&gt;"",_xlpm.CSVVal
)),"No")</f>
        <v>No</v>
      </c>
      <c r="Q122" s="2" t="str" cm="1">
        <f t="array" ref="Q122">IFERROR(_xlfn.LET(
_xlpm.CSVVal,_xlfn.XLOOKUP($A122,CSV!$A:$A,CSV!AC:AC,""),
_xlpm.MacVal,_xlfn.XLOOKUP($A122,Output_Mac!$A:$A,Output_Mac!U:U,""),
_xlpm.MyAuditVal,_xlfn.XLOOKUP($A122,My_Audit!$A:$A,My_Audit!R:R,""),
_xlfn.IFS(_xlpm.MyAuditVal&lt;&gt;"",UPPER(_xlpm.MyAuditVal),_xlpm.MacVal&lt;&gt;"",_xlpm.MacVal,_xlpm.CSVVal&lt;&gt;"",_xlpm.CSVVal
)),"")</f>
        <v/>
      </c>
      <c r="X122" t="str">
        <f>_xlfn.LET(
    _xlpm.MacVal, _xlfn.XLOOKUP($A122, Output_Mac!$A:$A, Output_Mac!AB:AB, ""),
    _xlpm.MyAuditVal, _xlfn.XLOOKUP($A122, My_Audit!$A:$A, My_Audit!N:N, ""),
    _xlfn.TEXTJOIN(", ", TRUE, _xlpm.MyAuditVal, _xlpm.MacVal)
)</f>
        <v/>
      </c>
    </row>
    <row r="123" spans="1:24">
      <c r="A123" s="2" t="str">
        <f>_xlfn.TEXTJOIN("",TRUE,Input!$B$2,ROW(My_Audit!A122))</f>
        <v>X122</v>
      </c>
      <c r="B123" s="2" t="str">
        <f>_xlfn.TEXTJOIN("-",TRUE,"ITD",Input!$A$2,A123)</f>
        <v>ITD-SHR-X122</v>
      </c>
      <c r="C123" s="2" t="str" cm="1">
        <f t="array" ref="C123">IFERROR(_xlfn.LET(
_xlpm.CSVVal,_xlfn.XLOOKUP($A123,CSV!$A:$A,CSV!B:B,""),
_xlpm.MacVal,_xlfn.XLOOKUP($A123,Output_Mac!$A:$A,Output_Mac!B:B,""),
_xlpm.MyAuditVal,_xlfn.XLOOKUP($A123,My_Audit!$A:$A,My_Audit!B:B,""),
_xlfn.IFS(_xlpm.MyAuditVal&lt;&gt;"",UPPER(_xlpm.MyAuditVal),_xlpm.MacVal&lt;&gt;"",_xlpm.MacVal,_xlpm.CSVVal&lt;&gt;"",_xlpm.CSVVal
)),"")</f>
        <v/>
      </c>
      <c r="D123" s="2" t="str" cm="1">
        <f t="array" ref="D123">IFERROR(_xlfn.LET(
_xlpm.CSVVal,_xlfn.XLOOKUP($A123,CSV!$A:$A,CSV!D:D,""),
_xlpm.MacVal,_xlfn.XLOOKUP($A123,Output_Mac!$A:$A,Output_Mac!C:C,""),
_xlpm.MyAuditVal,_xlfn.XLOOKUP($A123,My_Audit!$A:$A,My_Audit!C:C,""),
_xlfn.IFS(_xlpm.MyAuditVal&lt;&gt;"",_xlpm.MyAuditVal,_xlpm.MacVal&lt;&gt;"",_xlpm.MacVal,_xlpm.CSVVal&lt;&gt;"",_xlpm.CSVVal
)),"")</f>
        <v/>
      </c>
      <c r="E123" s="2" t="str">
        <f>_xlfn.XLOOKUP(A123,My_Audit!A:A,My_Audit!D:D,"")</f>
        <v/>
      </c>
      <c r="F123" s="2" t="str" cm="1">
        <f t="array" ref="F123">IFERROR(_xlfn.LET(
_xlpm.CSVVal,_xlfn.XLOOKUP($A123,CSV!$A:$A,CSV!F:F,""),
_xlpm.MacVal,_xlfn.XLOOKUP($A123,Output_Mac!$A:$A,Output_Mac!E:E,""),
_xlpm.MyAuditVal,_xlfn.XLOOKUP($A123,My_Audit!$A:$A,My_Audit!E:E,""),
_xlfn.IFS(_xlpm.MyAuditVal&lt;&gt;"",_xlpm.MyAuditVal,_xlpm.MacVal&lt;&gt;"",_xlpm.MacVal,_xlpm.CSVVal&lt;&gt;"",_xlpm.CSVVal
)),"")</f>
        <v/>
      </c>
      <c r="G123" s="2" t="str" cm="1">
        <f t="array" ref="G123">IFERROR(_xlfn.LET(
_xlpm.CSVVal,_xlfn.XLOOKUP($A123,CSV!$A:$A,CSV!G:G,""),
_xlpm.MacVal,_xlfn.XLOOKUP($A123,Output_Mac!$A:$A,Output_Mac!F:F,""),
_xlpm.MyAuditVal,_xlfn.XLOOKUP($A123,My_Audit!$A:$A,My_Audit!F:F,""),
_xlfn.IFS(_xlpm.MyAuditVal&lt;&gt;"",_xlpm.MyAuditVal,_xlpm.MacVal&lt;&gt;"",_xlpm.MacVal,_xlpm.CSVVal&lt;&gt;"",PROPER(_xlpm.CSVVal)
)),"")</f>
        <v/>
      </c>
      <c r="H123" s="2" t="str" cm="1">
        <f t="array" ref="H123">IFERROR(_xlfn.LET(
_xlpm.CSVVal,_xlfn.XLOOKUP($A123,CSV!$A:$A,CSV!H:H,""),
_xlpm.MacVal,_xlfn.XLOOKUP($A123,Output_Mac!$A:$A,Output_Mac!H:H,""),
_xlpm.MyAuditVal,_xlfn.XLOOKUP($A123,My_Audit!$A:$A,My_Audit!G:G,""),
_xlfn.IFS(_xlpm.MyAuditVal&lt;&gt;"",_xlpm.MyAuditVal,_xlpm.MacVal&lt;&gt;"",_xlpm.MacVal,_xlpm.CSVVal&lt;&gt;"",_xlpm.CSVVal
)),"")</f>
        <v/>
      </c>
      <c r="I123" s="2" t="str">
        <f>_xlfn.XLOOKUP(A123,Output_Mac!A:A,Output_Mac!I:I,"")</f>
        <v/>
      </c>
      <c r="J123" s="2" t="str" cm="1">
        <f t="array" ref="J123">IFERROR(_xlfn.LET(
_xlpm.CSVVal,_xlfn.XLOOKUP($A123,CSV!$A:$A,CSV!I:I,""),
_xlpm.MacVal,_xlfn.XLOOKUP($A123,Output_Mac!$A:$A,Output_Mac!J:J,""),
_xlpm.MyAuditVal,_xlfn.XLOOKUP($A123,My_Audit!$A:$A,My_Audit!I:I,""),
_xlfn.IFS(_xlpm.MyAuditVal&lt;&gt;"",UPPER(_xlpm.MyAuditVal),_xlpm.MacVal&lt;&gt;"",_xlpm.MacVal,_xlpm.CSVVal&lt;&gt;"",_xlpm.CSVVal
)),"")</f>
        <v/>
      </c>
      <c r="K123" s="2" t="str" cm="1">
        <f t="array" ref="K123">IFERROR(_xlfn.LET(
_xlpm.CSVVal,_xlfn.XLOOKUP($A123,CSV!$A:$A,CSV!K:K,""),
_xlpm.MacVal,_xlfn.XLOOKUP($A123,Output_Mac!$A:$A,Output_Mac!K:K,""),
_xlpm.MyAuditVal,_xlfn.XLOOKUP($A123,My_Audit!$A:$A,My_Audit!J:J,""),
_xlfn.IFS(_xlpm.MyAuditVal&lt;&gt;"",UPPER(_xlpm.MyAuditVal),_xlpm.MacVal&lt;&gt;"",_xlpm.MacVal,_xlpm.CSVVal&lt;&gt;"",_xlpm.CSVVal
)),"")</f>
        <v/>
      </c>
      <c r="L123" s="2" t="str" cm="1">
        <f t="array" ref="L123">IFERROR(_xlfn.LET(
_xlpm.CSVVal,_xlfn.XLOOKUP($A123,CSV!$A:$A,CSV!P:P,""),
_xlpm.MacVal,_xlfn.XLOOKUP($A123,Output_Mac!$A:$A,Output_Mac!L:L,""),
_xlpm.MyAuditVal,_xlfn.XLOOKUP($A123,My_Audit!$A:$A,My_Audit!K:K,""),
_xlfn.IFS(_xlpm.MyAuditVal&lt;&gt;"",UPPER(_xlpm.MyAuditVal),_xlpm.MacVal&lt;&gt;"",_xlpm.MacVal,_xlpm.CSVVal&lt;&gt;"",_xlpm.CSVVal
)),"")</f>
        <v/>
      </c>
      <c r="M123" s="2" t="str" cm="1">
        <f t="array" ref="M123">IFERROR(_xlfn.LET(
_xlpm.CSVVal,_xlfn.XLOOKUP($A123,CSV!$A:$A,CSV!Q:Q,""),
_xlpm.MacVal,_xlfn.XLOOKUP($A123,Output_Mac!$A:$A,Output_Mac!M:M,""),
_xlpm.MyAuditVal,_xlfn.XLOOKUP($A123,My_Audit!$A:$A,My_Audit!L:L,""),
_xlfn.IFS(_xlpm.MyAuditVal&lt;&gt;"",UPPER(_xlpm.MyAuditVal),_xlpm.MacVal&lt;&gt;"",_xlpm.MacVal,_xlpm.CSVVal&lt;&gt;"",_xlpm.CSVVal
)),"")</f>
        <v/>
      </c>
      <c r="O123" s="2" t="str">
        <f>_xlfn.LET(
    _xlpm.CSVVal, _xlfn.XLOOKUP($A123, CSV!$A:$A, CSV!AA:AA, ""),
    _xlpm.MacVal, _xlfn.XLOOKUP($A123, Output_Mac!$A:$A, Output_Mac!S:S, ""),
    _xlpm.MyAuditVal, _xlfn.XLOOKUP($A123, My_Audit!$A:$A, My_Audit!P:P, ""),
    _xlfn.TEXTJOIN(", ", TRUE, _xlpm.MyAuditVal, _xlpm.MacVal, _xlpm.CSVVal)
)</f>
        <v/>
      </c>
      <c r="P123" s="2" t="str" cm="1">
        <f t="array" ref="P123">IFERROR(_xlfn.LET(
_xlpm.CSVVal,_xlfn.XLOOKUP($A123,CSV!$A:$A,CSV!AB:AB,""),
_xlpm.MacVal,_xlfn.XLOOKUP($A123,Output_Mac!$A:$A,Output_Mac!T:T,""),
_xlpm.MyAuditVal,_xlfn.XLOOKUP($A123,My_Audit!$A:$A,My_Audit!Q:Q,""),
_xlfn.IFS(_xlpm.MyAuditVal&lt;&gt;"",UPPER(_xlpm.MyAuditVal),_xlpm.MacVal&lt;&gt;"",_xlpm.MacVal,_xlpm.CSVVal&lt;&gt;"",_xlpm.CSVVal
)),"No")</f>
        <v>No</v>
      </c>
      <c r="Q123" s="2" t="str" cm="1">
        <f t="array" ref="Q123">IFERROR(_xlfn.LET(
_xlpm.CSVVal,_xlfn.XLOOKUP($A123,CSV!$A:$A,CSV!AC:AC,""),
_xlpm.MacVal,_xlfn.XLOOKUP($A123,Output_Mac!$A:$A,Output_Mac!U:U,""),
_xlpm.MyAuditVal,_xlfn.XLOOKUP($A123,My_Audit!$A:$A,My_Audit!R:R,""),
_xlfn.IFS(_xlpm.MyAuditVal&lt;&gt;"",UPPER(_xlpm.MyAuditVal),_xlpm.MacVal&lt;&gt;"",_xlpm.MacVal,_xlpm.CSVVal&lt;&gt;"",_xlpm.CSVVal
)),"")</f>
        <v/>
      </c>
      <c r="X123" t="str">
        <f>_xlfn.LET(
    _xlpm.MacVal, _xlfn.XLOOKUP($A123, Output_Mac!$A:$A, Output_Mac!AB:AB, ""),
    _xlpm.MyAuditVal, _xlfn.XLOOKUP($A123, My_Audit!$A:$A, My_Audit!N:N, ""),
    _xlfn.TEXTJOIN(", ", TRUE, _xlpm.MyAuditVal, _xlpm.MacVal)
)</f>
        <v/>
      </c>
    </row>
    <row r="124" spans="1:24">
      <c r="A124" s="2" t="str">
        <f>_xlfn.TEXTJOIN("",TRUE,Input!$B$2,ROW(My_Audit!A123))</f>
        <v>X123</v>
      </c>
      <c r="B124" s="2" t="str">
        <f>_xlfn.TEXTJOIN("-",TRUE,"ITD",Input!$A$2,A124)</f>
        <v>ITD-SHR-X123</v>
      </c>
      <c r="C124" s="2" t="str" cm="1">
        <f t="array" ref="C124">IFERROR(_xlfn.LET(
_xlpm.CSVVal,_xlfn.XLOOKUP($A124,CSV!$A:$A,CSV!B:B,""),
_xlpm.MacVal,_xlfn.XLOOKUP($A124,Output_Mac!$A:$A,Output_Mac!B:B,""),
_xlpm.MyAuditVal,_xlfn.XLOOKUP($A124,My_Audit!$A:$A,My_Audit!B:B,""),
_xlfn.IFS(_xlpm.MyAuditVal&lt;&gt;"",UPPER(_xlpm.MyAuditVal),_xlpm.MacVal&lt;&gt;"",_xlpm.MacVal,_xlpm.CSVVal&lt;&gt;"",_xlpm.CSVVal
)),"")</f>
        <v/>
      </c>
      <c r="D124" s="2" t="str" cm="1">
        <f t="array" ref="D124">IFERROR(_xlfn.LET(
_xlpm.CSVVal,_xlfn.XLOOKUP($A124,CSV!$A:$A,CSV!D:D,""),
_xlpm.MacVal,_xlfn.XLOOKUP($A124,Output_Mac!$A:$A,Output_Mac!C:C,""),
_xlpm.MyAuditVal,_xlfn.XLOOKUP($A124,My_Audit!$A:$A,My_Audit!C:C,""),
_xlfn.IFS(_xlpm.MyAuditVal&lt;&gt;"",_xlpm.MyAuditVal,_xlpm.MacVal&lt;&gt;"",_xlpm.MacVal,_xlpm.CSVVal&lt;&gt;"",_xlpm.CSVVal
)),"")</f>
        <v/>
      </c>
      <c r="E124" s="2" t="str">
        <f>_xlfn.XLOOKUP(A124,My_Audit!A:A,My_Audit!D:D,"")</f>
        <v/>
      </c>
      <c r="F124" s="2" t="str" cm="1">
        <f t="array" ref="F124">IFERROR(_xlfn.LET(
_xlpm.CSVVal,_xlfn.XLOOKUP($A124,CSV!$A:$A,CSV!F:F,""),
_xlpm.MacVal,_xlfn.XLOOKUP($A124,Output_Mac!$A:$A,Output_Mac!E:E,""),
_xlpm.MyAuditVal,_xlfn.XLOOKUP($A124,My_Audit!$A:$A,My_Audit!E:E,""),
_xlfn.IFS(_xlpm.MyAuditVal&lt;&gt;"",_xlpm.MyAuditVal,_xlpm.MacVal&lt;&gt;"",_xlpm.MacVal,_xlpm.CSVVal&lt;&gt;"",_xlpm.CSVVal
)),"")</f>
        <v/>
      </c>
      <c r="G124" s="2" t="str" cm="1">
        <f t="array" ref="G124">IFERROR(_xlfn.LET(
_xlpm.CSVVal,_xlfn.XLOOKUP($A124,CSV!$A:$A,CSV!G:G,""),
_xlpm.MacVal,_xlfn.XLOOKUP($A124,Output_Mac!$A:$A,Output_Mac!F:F,""),
_xlpm.MyAuditVal,_xlfn.XLOOKUP($A124,My_Audit!$A:$A,My_Audit!F:F,""),
_xlfn.IFS(_xlpm.MyAuditVal&lt;&gt;"",_xlpm.MyAuditVal,_xlpm.MacVal&lt;&gt;"",_xlpm.MacVal,_xlpm.CSVVal&lt;&gt;"",PROPER(_xlpm.CSVVal)
)),"")</f>
        <v/>
      </c>
      <c r="H124" s="2" t="str" cm="1">
        <f t="array" ref="H124">IFERROR(_xlfn.LET(
_xlpm.CSVVal,_xlfn.XLOOKUP($A124,CSV!$A:$A,CSV!H:H,""),
_xlpm.MacVal,_xlfn.XLOOKUP($A124,Output_Mac!$A:$A,Output_Mac!H:H,""),
_xlpm.MyAuditVal,_xlfn.XLOOKUP($A124,My_Audit!$A:$A,My_Audit!G:G,""),
_xlfn.IFS(_xlpm.MyAuditVal&lt;&gt;"",_xlpm.MyAuditVal,_xlpm.MacVal&lt;&gt;"",_xlpm.MacVal,_xlpm.CSVVal&lt;&gt;"",_xlpm.CSVVal
)),"")</f>
        <v/>
      </c>
      <c r="I124" s="2" t="str">
        <f>_xlfn.XLOOKUP(A124,Output_Mac!A:A,Output_Mac!I:I,"")</f>
        <v/>
      </c>
      <c r="J124" s="2" t="str" cm="1">
        <f t="array" ref="J124">IFERROR(_xlfn.LET(
_xlpm.CSVVal,_xlfn.XLOOKUP($A124,CSV!$A:$A,CSV!I:I,""),
_xlpm.MacVal,_xlfn.XLOOKUP($A124,Output_Mac!$A:$A,Output_Mac!J:J,""),
_xlpm.MyAuditVal,_xlfn.XLOOKUP($A124,My_Audit!$A:$A,My_Audit!I:I,""),
_xlfn.IFS(_xlpm.MyAuditVal&lt;&gt;"",UPPER(_xlpm.MyAuditVal),_xlpm.MacVal&lt;&gt;"",_xlpm.MacVal,_xlpm.CSVVal&lt;&gt;"",_xlpm.CSVVal
)),"")</f>
        <v/>
      </c>
      <c r="K124" s="2" t="str" cm="1">
        <f t="array" ref="K124">IFERROR(_xlfn.LET(
_xlpm.CSVVal,_xlfn.XLOOKUP($A124,CSV!$A:$A,CSV!K:K,""),
_xlpm.MacVal,_xlfn.XLOOKUP($A124,Output_Mac!$A:$A,Output_Mac!K:K,""),
_xlpm.MyAuditVal,_xlfn.XLOOKUP($A124,My_Audit!$A:$A,My_Audit!J:J,""),
_xlfn.IFS(_xlpm.MyAuditVal&lt;&gt;"",UPPER(_xlpm.MyAuditVal),_xlpm.MacVal&lt;&gt;"",_xlpm.MacVal,_xlpm.CSVVal&lt;&gt;"",_xlpm.CSVVal
)),"")</f>
        <v/>
      </c>
      <c r="L124" s="2" t="str" cm="1">
        <f t="array" ref="L124">IFERROR(_xlfn.LET(
_xlpm.CSVVal,_xlfn.XLOOKUP($A124,CSV!$A:$A,CSV!P:P,""),
_xlpm.MacVal,_xlfn.XLOOKUP($A124,Output_Mac!$A:$A,Output_Mac!L:L,""),
_xlpm.MyAuditVal,_xlfn.XLOOKUP($A124,My_Audit!$A:$A,My_Audit!K:K,""),
_xlfn.IFS(_xlpm.MyAuditVal&lt;&gt;"",UPPER(_xlpm.MyAuditVal),_xlpm.MacVal&lt;&gt;"",_xlpm.MacVal,_xlpm.CSVVal&lt;&gt;"",_xlpm.CSVVal
)),"")</f>
        <v/>
      </c>
      <c r="M124" s="2" t="str" cm="1">
        <f t="array" ref="M124">IFERROR(_xlfn.LET(
_xlpm.CSVVal,_xlfn.XLOOKUP($A124,CSV!$A:$A,CSV!Q:Q,""),
_xlpm.MacVal,_xlfn.XLOOKUP($A124,Output_Mac!$A:$A,Output_Mac!M:M,""),
_xlpm.MyAuditVal,_xlfn.XLOOKUP($A124,My_Audit!$A:$A,My_Audit!L:L,""),
_xlfn.IFS(_xlpm.MyAuditVal&lt;&gt;"",UPPER(_xlpm.MyAuditVal),_xlpm.MacVal&lt;&gt;"",_xlpm.MacVal,_xlpm.CSVVal&lt;&gt;"",_xlpm.CSVVal
)),"")</f>
        <v/>
      </c>
      <c r="O124" s="2" t="str">
        <f>_xlfn.LET(
    _xlpm.CSVVal, _xlfn.XLOOKUP($A124, CSV!$A:$A, CSV!AA:AA, ""),
    _xlpm.MacVal, _xlfn.XLOOKUP($A124, Output_Mac!$A:$A, Output_Mac!S:S, ""),
    _xlpm.MyAuditVal, _xlfn.XLOOKUP($A124, My_Audit!$A:$A, My_Audit!P:P, ""),
    _xlfn.TEXTJOIN(", ", TRUE, _xlpm.MyAuditVal, _xlpm.MacVal, _xlpm.CSVVal)
)</f>
        <v/>
      </c>
      <c r="P124" s="2" t="str" cm="1">
        <f t="array" ref="P124">IFERROR(_xlfn.LET(
_xlpm.CSVVal,_xlfn.XLOOKUP($A124,CSV!$A:$A,CSV!AB:AB,""),
_xlpm.MacVal,_xlfn.XLOOKUP($A124,Output_Mac!$A:$A,Output_Mac!T:T,""),
_xlpm.MyAuditVal,_xlfn.XLOOKUP($A124,My_Audit!$A:$A,My_Audit!Q:Q,""),
_xlfn.IFS(_xlpm.MyAuditVal&lt;&gt;"",UPPER(_xlpm.MyAuditVal),_xlpm.MacVal&lt;&gt;"",_xlpm.MacVal,_xlpm.CSVVal&lt;&gt;"",_xlpm.CSVVal
)),"No")</f>
        <v>No</v>
      </c>
      <c r="Q124" s="2" t="str" cm="1">
        <f t="array" ref="Q124">IFERROR(_xlfn.LET(
_xlpm.CSVVal,_xlfn.XLOOKUP($A124,CSV!$A:$A,CSV!AC:AC,""),
_xlpm.MacVal,_xlfn.XLOOKUP($A124,Output_Mac!$A:$A,Output_Mac!U:U,""),
_xlpm.MyAuditVal,_xlfn.XLOOKUP($A124,My_Audit!$A:$A,My_Audit!R:R,""),
_xlfn.IFS(_xlpm.MyAuditVal&lt;&gt;"",UPPER(_xlpm.MyAuditVal),_xlpm.MacVal&lt;&gt;"",_xlpm.MacVal,_xlpm.CSVVal&lt;&gt;"",_xlpm.CSVVal
)),"")</f>
        <v/>
      </c>
      <c r="X124" t="str">
        <f>_xlfn.LET(
    _xlpm.MacVal, _xlfn.XLOOKUP($A124, Output_Mac!$A:$A, Output_Mac!AB:AB, ""),
    _xlpm.MyAuditVal, _xlfn.XLOOKUP($A124, My_Audit!$A:$A, My_Audit!N:N, ""),
    _xlfn.TEXTJOIN(", ", TRUE, _xlpm.MyAuditVal, _xlpm.MacVal)
)</f>
        <v/>
      </c>
    </row>
    <row r="125" spans="1:24">
      <c r="A125" s="2" t="str">
        <f>_xlfn.TEXTJOIN("",TRUE,Input!$B$2,ROW(My_Audit!A124))</f>
        <v>X124</v>
      </c>
      <c r="B125" s="2" t="str">
        <f>_xlfn.TEXTJOIN("-",TRUE,"ITD",Input!$A$2,A125)</f>
        <v>ITD-SHR-X124</v>
      </c>
      <c r="C125" s="2" t="str" cm="1">
        <f t="array" ref="C125">IFERROR(_xlfn.LET(
_xlpm.CSVVal,_xlfn.XLOOKUP($A125,CSV!$A:$A,CSV!B:B,""),
_xlpm.MacVal,_xlfn.XLOOKUP($A125,Output_Mac!$A:$A,Output_Mac!B:B,""),
_xlpm.MyAuditVal,_xlfn.XLOOKUP($A125,My_Audit!$A:$A,My_Audit!B:B,""),
_xlfn.IFS(_xlpm.MyAuditVal&lt;&gt;"",UPPER(_xlpm.MyAuditVal),_xlpm.MacVal&lt;&gt;"",_xlpm.MacVal,_xlpm.CSVVal&lt;&gt;"",_xlpm.CSVVal
)),"")</f>
        <v/>
      </c>
      <c r="D125" s="2" t="str" cm="1">
        <f t="array" ref="D125">IFERROR(_xlfn.LET(
_xlpm.CSVVal,_xlfn.XLOOKUP($A125,CSV!$A:$A,CSV!D:D,""),
_xlpm.MacVal,_xlfn.XLOOKUP($A125,Output_Mac!$A:$A,Output_Mac!C:C,""),
_xlpm.MyAuditVal,_xlfn.XLOOKUP($A125,My_Audit!$A:$A,My_Audit!C:C,""),
_xlfn.IFS(_xlpm.MyAuditVal&lt;&gt;"",_xlpm.MyAuditVal,_xlpm.MacVal&lt;&gt;"",_xlpm.MacVal,_xlpm.CSVVal&lt;&gt;"",_xlpm.CSVVal
)),"")</f>
        <v/>
      </c>
      <c r="E125" s="2" t="str">
        <f>_xlfn.XLOOKUP(A125,My_Audit!A:A,My_Audit!D:D,"")</f>
        <v/>
      </c>
      <c r="F125" s="2" t="str" cm="1">
        <f t="array" ref="F125">IFERROR(_xlfn.LET(
_xlpm.CSVVal,_xlfn.XLOOKUP($A125,CSV!$A:$A,CSV!F:F,""),
_xlpm.MacVal,_xlfn.XLOOKUP($A125,Output_Mac!$A:$A,Output_Mac!E:E,""),
_xlpm.MyAuditVal,_xlfn.XLOOKUP($A125,My_Audit!$A:$A,My_Audit!E:E,""),
_xlfn.IFS(_xlpm.MyAuditVal&lt;&gt;"",_xlpm.MyAuditVal,_xlpm.MacVal&lt;&gt;"",_xlpm.MacVal,_xlpm.CSVVal&lt;&gt;"",_xlpm.CSVVal
)),"")</f>
        <v/>
      </c>
      <c r="G125" s="2" t="str" cm="1">
        <f t="array" ref="G125">IFERROR(_xlfn.LET(
_xlpm.CSVVal,_xlfn.XLOOKUP($A125,CSV!$A:$A,CSV!G:G,""),
_xlpm.MacVal,_xlfn.XLOOKUP($A125,Output_Mac!$A:$A,Output_Mac!F:F,""),
_xlpm.MyAuditVal,_xlfn.XLOOKUP($A125,My_Audit!$A:$A,My_Audit!F:F,""),
_xlfn.IFS(_xlpm.MyAuditVal&lt;&gt;"",_xlpm.MyAuditVal,_xlpm.MacVal&lt;&gt;"",_xlpm.MacVal,_xlpm.CSVVal&lt;&gt;"",PROPER(_xlpm.CSVVal)
)),"")</f>
        <v/>
      </c>
      <c r="H125" s="2" t="str" cm="1">
        <f t="array" ref="H125">IFERROR(_xlfn.LET(
_xlpm.CSVVal,_xlfn.XLOOKUP($A125,CSV!$A:$A,CSV!H:H,""),
_xlpm.MacVal,_xlfn.XLOOKUP($A125,Output_Mac!$A:$A,Output_Mac!H:H,""),
_xlpm.MyAuditVal,_xlfn.XLOOKUP($A125,My_Audit!$A:$A,My_Audit!G:G,""),
_xlfn.IFS(_xlpm.MyAuditVal&lt;&gt;"",_xlpm.MyAuditVal,_xlpm.MacVal&lt;&gt;"",_xlpm.MacVal,_xlpm.CSVVal&lt;&gt;"",_xlpm.CSVVal
)),"")</f>
        <v/>
      </c>
      <c r="I125" s="2" t="str">
        <f>_xlfn.XLOOKUP(A125,Output_Mac!A:A,Output_Mac!I:I,"")</f>
        <v/>
      </c>
      <c r="J125" s="2" t="str" cm="1">
        <f t="array" ref="J125">IFERROR(_xlfn.LET(
_xlpm.CSVVal,_xlfn.XLOOKUP($A125,CSV!$A:$A,CSV!I:I,""),
_xlpm.MacVal,_xlfn.XLOOKUP($A125,Output_Mac!$A:$A,Output_Mac!J:J,""),
_xlpm.MyAuditVal,_xlfn.XLOOKUP($A125,My_Audit!$A:$A,My_Audit!I:I,""),
_xlfn.IFS(_xlpm.MyAuditVal&lt;&gt;"",UPPER(_xlpm.MyAuditVal),_xlpm.MacVal&lt;&gt;"",_xlpm.MacVal,_xlpm.CSVVal&lt;&gt;"",_xlpm.CSVVal
)),"")</f>
        <v/>
      </c>
      <c r="K125" s="2" t="str" cm="1">
        <f t="array" ref="K125">IFERROR(_xlfn.LET(
_xlpm.CSVVal,_xlfn.XLOOKUP($A125,CSV!$A:$A,CSV!K:K,""),
_xlpm.MacVal,_xlfn.XLOOKUP($A125,Output_Mac!$A:$A,Output_Mac!K:K,""),
_xlpm.MyAuditVal,_xlfn.XLOOKUP($A125,My_Audit!$A:$A,My_Audit!J:J,""),
_xlfn.IFS(_xlpm.MyAuditVal&lt;&gt;"",UPPER(_xlpm.MyAuditVal),_xlpm.MacVal&lt;&gt;"",_xlpm.MacVal,_xlpm.CSVVal&lt;&gt;"",_xlpm.CSVVal
)),"")</f>
        <v/>
      </c>
      <c r="L125" s="2" t="str" cm="1">
        <f t="array" ref="L125">IFERROR(_xlfn.LET(
_xlpm.CSVVal,_xlfn.XLOOKUP($A125,CSV!$A:$A,CSV!P:P,""),
_xlpm.MacVal,_xlfn.XLOOKUP($A125,Output_Mac!$A:$A,Output_Mac!L:L,""),
_xlpm.MyAuditVal,_xlfn.XLOOKUP($A125,My_Audit!$A:$A,My_Audit!K:K,""),
_xlfn.IFS(_xlpm.MyAuditVal&lt;&gt;"",UPPER(_xlpm.MyAuditVal),_xlpm.MacVal&lt;&gt;"",_xlpm.MacVal,_xlpm.CSVVal&lt;&gt;"",_xlpm.CSVVal
)),"")</f>
        <v/>
      </c>
      <c r="M125" s="2" t="str" cm="1">
        <f t="array" ref="M125">IFERROR(_xlfn.LET(
_xlpm.CSVVal,_xlfn.XLOOKUP($A125,CSV!$A:$A,CSV!Q:Q,""),
_xlpm.MacVal,_xlfn.XLOOKUP($A125,Output_Mac!$A:$A,Output_Mac!M:M,""),
_xlpm.MyAuditVal,_xlfn.XLOOKUP($A125,My_Audit!$A:$A,My_Audit!L:L,""),
_xlfn.IFS(_xlpm.MyAuditVal&lt;&gt;"",UPPER(_xlpm.MyAuditVal),_xlpm.MacVal&lt;&gt;"",_xlpm.MacVal,_xlpm.CSVVal&lt;&gt;"",_xlpm.CSVVal
)),"")</f>
        <v/>
      </c>
      <c r="O125" s="2" t="str">
        <f>_xlfn.LET(
    _xlpm.CSVVal, _xlfn.XLOOKUP($A125, CSV!$A:$A, CSV!AA:AA, ""),
    _xlpm.MacVal, _xlfn.XLOOKUP($A125, Output_Mac!$A:$A, Output_Mac!S:S, ""),
    _xlpm.MyAuditVal, _xlfn.XLOOKUP($A125, My_Audit!$A:$A, My_Audit!P:P, ""),
    _xlfn.TEXTJOIN(", ", TRUE, _xlpm.MyAuditVal, _xlpm.MacVal, _xlpm.CSVVal)
)</f>
        <v/>
      </c>
      <c r="P125" s="2" t="str" cm="1">
        <f t="array" ref="P125">IFERROR(_xlfn.LET(
_xlpm.CSVVal,_xlfn.XLOOKUP($A125,CSV!$A:$A,CSV!AB:AB,""),
_xlpm.MacVal,_xlfn.XLOOKUP($A125,Output_Mac!$A:$A,Output_Mac!T:T,""),
_xlpm.MyAuditVal,_xlfn.XLOOKUP($A125,My_Audit!$A:$A,My_Audit!Q:Q,""),
_xlfn.IFS(_xlpm.MyAuditVal&lt;&gt;"",UPPER(_xlpm.MyAuditVal),_xlpm.MacVal&lt;&gt;"",_xlpm.MacVal,_xlpm.CSVVal&lt;&gt;"",_xlpm.CSVVal
)),"No")</f>
        <v>No</v>
      </c>
      <c r="Q125" s="2" t="str" cm="1">
        <f t="array" ref="Q125">IFERROR(_xlfn.LET(
_xlpm.CSVVal,_xlfn.XLOOKUP($A125,CSV!$A:$A,CSV!AC:AC,""),
_xlpm.MacVal,_xlfn.XLOOKUP($A125,Output_Mac!$A:$A,Output_Mac!U:U,""),
_xlpm.MyAuditVal,_xlfn.XLOOKUP($A125,My_Audit!$A:$A,My_Audit!R:R,""),
_xlfn.IFS(_xlpm.MyAuditVal&lt;&gt;"",UPPER(_xlpm.MyAuditVal),_xlpm.MacVal&lt;&gt;"",_xlpm.MacVal,_xlpm.CSVVal&lt;&gt;"",_xlpm.CSVVal
)),"")</f>
        <v/>
      </c>
      <c r="X125" t="str">
        <f>_xlfn.LET(
    _xlpm.MacVal, _xlfn.XLOOKUP($A125, Output_Mac!$A:$A, Output_Mac!AB:AB, ""),
    _xlpm.MyAuditVal, _xlfn.XLOOKUP($A125, My_Audit!$A:$A, My_Audit!N:N, ""),
    _xlfn.TEXTJOIN(", ", TRUE, _xlpm.MyAuditVal, _xlpm.MacVal)
)</f>
        <v/>
      </c>
    </row>
    <row r="126" spans="1:24">
      <c r="A126" s="2" t="str">
        <f>_xlfn.TEXTJOIN("",TRUE,Input!$B$2,ROW(My_Audit!A125))</f>
        <v>X125</v>
      </c>
      <c r="B126" s="2" t="str">
        <f>_xlfn.TEXTJOIN("-",TRUE,"ITD",Input!$A$2,A126)</f>
        <v>ITD-SHR-X125</v>
      </c>
      <c r="C126" s="2" t="str" cm="1">
        <f t="array" ref="C126">IFERROR(_xlfn.LET(
_xlpm.CSVVal,_xlfn.XLOOKUP($A126,CSV!$A:$A,CSV!B:B,""),
_xlpm.MacVal,_xlfn.XLOOKUP($A126,Output_Mac!$A:$A,Output_Mac!B:B,""),
_xlpm.MyAuditVal,_xlfn.XLOOKUP($A126,My_Audit!$A:$A,My_Audit!B:B,""),
_xlfn.IFS(_xlpm.MyAuditVal&lt;&gt;"",UPPER(_xlpm.MyAuditVal),_xlpm.MacVal&lt;&gt;"",_xlpm.MacVal,_xlpm.CSVVal&lt;&gt;"",_xlpm.CSVVal
)),"")</f>
        <v/>
      </c>
      <c r="D126" s="2" t="str" cm="1">
        <f t="array" ref="D126">IFERROR(_xlfn.LET(
_xlpm.CSVVal,_xlfn.XLOOKUP($A126,CSV!$A:$A,CSV!D:D,""),
_xlpm.MacVal,_xlfn.XLOOKUP($A126,Output_Mac!$A:$A,Output_Mac!C:C,""),
_xlpm.MyAuditVal,_xlfn.XLOOKUP($A126,My_Audit!$A:$A,My_Audit!C:C,""),
_xlfn.IFS(_xlpm.MyAuditVal&lt;&gt;"",_xlpm.MyAuditVal,_xlpm.MacVal&lt;&gt;"",_xlpm.MacVal,_xlpm.CSVVal&lt;&gt;"",_xlpm.CSVVal
)),"")</f>
        <v/>
      </c>
      <c r="E126" s="2" t="str">
        <f>_xlfn.XLOOKUP(A126,My_Audit!A:A,My_Audit!D:D,"")</f>
        <v/>
      </c>
      <c r="F126" s="2" t="str" cm="1">
        <f t="array" ref="F126">IFERROR(_xlfn.LET(
_xlpm.CSVVal,_xlfn.XLOOKUP($A126,CSV!$A:$A,CSV!F:F,""),
_xlpm.MacVal,_xlfn.XLOOKUP($A126,Output_Mac!$A:$A,Output_Mac!E:E,""),
_xlpm.MyAuditVal,_xlfn.XLOOKUP($A126,My_Audit!$A:$A,My_Audit!E:E,""),
_xlfn.IFS(_xlpm.MyAuditVal&lt;&gt;"",_xlpm.MyAuditVal,_xlpm.MacVal&lt;&gt;"",_xlpm.MacVal,_xlpm.CSVVal&lt;&gt;"",_xlpm.CSVVal
)),"")</f>
        <v/>
      </c>
      <c r="G126" s="2" t="str" cm="1">
        <f t="array" ref="G126">IFERROR(_xlfn.LET(
_xlpm.CSVVal,_xlfn.XLOOKUP($A126,CSV!$A:$A,CSV!G:G,""),
_xlpm.MacVal,_xlfn.XLOOKUP($A126,Output_Mac!$A:$A,Output_Mac!F:F,""),
_xlpm.MyAuditVal,_xlfn.XLOOKUP($A126,My_Audit!$A:$A,My_Audit!F:F,""),
_xlfn.IFS(_xlpm.MyAuditVal&lt;&gt;"",_xlpm.MyAuditVal,_xlpm.MacVal&lt;&gt;"",_xlpm.MacVal,_xlpm.CSVVal&lt;&gt;"",PROPER(_xlpm.CSVVal)
)),"")</f>
        <v/>
      </c>
      <c r="H126" s="2" t="str" cm="1">
        <f t="array" ref="H126">IFERROR(_xlfn.LET(
_xlpm.CSVVal,_xlfn.XLOOKUP($A126,CSV!$A:$A,CSV!H:H,""),
_xlpm.MacVal,_xlfn.XLOOKUP($A126,Output_Mac!$A:$A,Output_Mac!H:H,""),
_xlpm.MyAuditVal,_xlfn.XLOOKUP($A126,My_Audit!$A:$A,My_Audit!G:G,""),
_xlfn.IFS(_xlpm.MyAuditVal&lt;&gt;"",_xlpm.MyAuditVal,_xlpm.MacVal&lt;&gt;"",_xlpm.MacVal,_xlpm.CSVVal&lt;&gt;"",_xlpm.CSVVal
)),"")</f>
        <v/>
      </c>
      <c r="I126" s="2" t="str">
        <f>_xlfn.XLOOKUP(A126,Output_Mac!A:A,Output_Mac!I:I,"")</f>
        <v/>
      </c>
      <c r="J126" s="2" t="str" cm="1">
        <f t="array" ref="J126">IFERROR(_xlfn.LET(
_xlpm.CSVVal,_xlfn.XLOOKUP($A126,CSV!$A:$A,CSV!I:I,""),
_xlpm.MacVal,_xlfn.XLOOKUP($A126,Output_Mac!$A:$A,Output_Mac!J:J,""),
_xlpm.MyAuditVal,_xlfn.XLOOKUP($A126,My_Audit!$A:$A,My_Audit!I:I,""),
_xlfn.IFS(_xlpm.MyAuditVal&lt;&gt;"",UPPER(_xlpm.MyAuditVal),_xlpm.MacVal&lt;&gt;"",_xlpm.MacVal,_xlpm.CSVVal&lt;&gt;"",_xlpm.CSVVal
)),"")</f>
        <v/>
      </c>
      <c r="K126" s="2" t="str" cm="1">
        <f t="array" ref="K126">IFERROR(_xlfn.LET(
_xlpm.CSVVal,_xlfn.XLOOKUP($A126,CSV!$A:$A,CSV!K:K,""),
_xlpm.MacVal,_xlfn.XLOOKUP($A126,Output_Mac!$A:$A,Output_Mac!K:K,""),
_xlpm.MyAuditVal,_xlfn.XLOOKUP($A126,My_Audit!$A:$A,My_Audit!J:J,""),
_xlfn.IFS(_xlpm.MyAuditVal&lt;&gt;"",UPPER(_xlpm.MyAuditVal),_xlpm.MacVal&lt;&gt;"",_xlpm.MacVal,_xlpm.CSVVal&lt;&gt;"",_xlpm.CSVVal
)),"")</f>
        <v/>
      </c>
      <c r="L126" s="2" t="str" cm="1">
        <f t="array" ref="L126">IFERROR(_xlfn.LET(
_xlpm.CSVVal,_xlfn.XLOOKUP($A126,CSV!$A:$A,CSV!P:P,""),
_xlpm.MacVal,_xlfn.XLOOKUP($A126,Output_Mac!$A:$A,Output_Mac!L:L,""),
_xlpm.MyAuditVal,_xlfn.XLOOKUP($A126,My_Audit!$A:$A,My_Audit!K:K,""),
_xlfn.IFS(_xlpm.MyAuditVal&lt;&gt;"",UPPER(_xlpm.MyAuditVal),_xlpm.MacVal&lt;&gt;"",_xlpm.MacVal,_xlpm.CSVVal&lt;&gt;"",_xlpm.CSVVal
)),"")</f>
        <v/>
      </c>
      <c r="M126" s="2" t="str" cm="1">
        <f t="array" ref="M126">IFERROR(_xlfn.LET(
_xlpm.CSVVal,_xlfn.XLOOKUP($A126,CSV!$A:$A,CSV!Q:Q,""),
_xlpm.MacVal,_xlfn.XLOOKUP($A126,Output_Mac!$A:$A,Output_Mac!M:M,""),
_xlpm.MyAuditVal,_xlfn.XLOOKUP($A126,My_Audit!$A:$A,My_Audit!L:L,""),
_xlfn.IFS(_xlpm.MyAuditVal&lt;&gt;"",UPPER(_xlpm.MyAuditVal),_xlpm.MacVal&lt;&gt;"",_xlpm.MacVal,_xlpm.CSVVal&lt;&gt;"",_xlpm.CSVVal
)),"")</f>
        <v/>
      </c>
      <c r="O126" s="2" t="str">
        <f>_xlfn.LET(
    _xlpm.CSVVal, _xlfn.XLOOKUP($A126, CSV!$A:$A, CSV!AA:AA, ""),
    _xlpm.MacVal, _xlfn.XLOOKUP($A126, Output_Mac!$A:$A, Output_Mac!S:S, ""),
    _xlpm.MyAuditVal, _xlfn.XLOOKUP($A126, My_Audit!$A:$A, My_Audit!P:P, ""),
    _xlfn.TEXTJOIN(", ", TRUE, _xlpm.MyAuditVal, _xlpm.MacVal, _xlpm.CSVVal)
)</f>
        <v/>
      </c>
      <c r="P126" s="2" t="str" cm="1">
        <f t="array" ref="P126">IFERROR(_xlfn.LET(
_xlpm.CSVVal,_xlfn.XLOOKUP($A126,CSV!$A:$A,CSV!AB:AB,""),
_xlpm.MacVal,_xlfn.XLOOKUP($A126,Output_Mac!$A:$A,Output_Mac!T:T,""),
_xlpm.MyAuditVal,_xlfn.XLOOKUP($A126,My_Audit!$A:$A,My_Audit!Q:Q,""),
_xlfn.IFS(_xlpm.MyAuditVal&lt;&gt;"",UPPER(_xlpm.MyAuditVal),_xlpm.MacVal&lt;&gt;"",_xlpm.MacVal,_xlpm.CSVVal&lt;&gt;"",_xlpm.CSVVal
)),"No")</f>
        <v>No</v>
      </c>
      <c r="Q126" s="2" t="str" cm="1">
        <f t="array" ref="Q126">IFERROR(_xlfn.LET(
_xlpm.CSVVal,_xlfn.XLOOKUP($A126,CSV!$A:$A,CSV!AC:AC,""),
_xlpm.MacVal,_xlfn.XLOOKUP($A126,Output_Mac!$A:$A,Output_Mac!U:U,""),
_xlpm.MyAuditVal,_xlfn.XLOOKUP($A126,My_Audit!$A:$A,My_Audit!R:R,""),
_xlfn.IFS(_xlpm.MyAuditVal&lt;&gt;"",UPPER(_xlpm.MyAuditVal),_xlpm.MacVal&lt;&gt;"",_xlpm.MacVal,_xlpm.CSVVal&lt;&gt;"",_xlpm.CSVVal
)),"")</f>
        <v/>
      </c>
      <c r="X126" t="str">
        <f>_xlfn.LET(
    _xlpm.MacVal, _xlfn.XLOOKUP($A126, Output_Mac!$A:$A, Output_Mac!AB:AB, ""),
    _xlpm.MyAuditVal, _xlfn.XLOOKUP($A126, My_Audit!$A:$A, My_Audit!N:N, ""),
    _xlfn.TEXTJOIN(", ", TRUE, _xlpm.MyAuditVal, _xlpm.MacVal)
)</f>
        <v/>
      </c>
    </row>
    <row r="127" spans="1:24">
      <c r="A127" s="2" t="str">
        <f>_xlfn.TEXTJOIN("",TRUE,Input!$B$2,ROW(My_Audit!A126))</f>
        <v>X126</v>
      </c>
      <c r="B127" s="2" t="str">
        <f>_xlfn.TEXTJOIN("-",TRUE,"ITD",Input!$A$2,A127)</f>
        <v>ITD-SHR-X126</v>
      </c>
      <c r="C127" s="2" t="str" cm="1">
        <f t="array" ref="C127">IFERROR(_xlfn.LET(
_xlpm.CSVVal,_xlfn.XLOOKUP($A127,CSV!$A:$A,CSV!B:B,""),
_xlpm.MacVal,_xlfn.XLOOKUP($A127,Output_Mac!$A:$A,Output_Mac!B:B,""),
_xlpm.MyAuditVal,_xlfn.XLOOKUP($A127,My_Audit!$A:$A,My_Audit!B:B,""),
_xlfn.IFS(_xlpm.MyAuditVal&lt;&gt;"",UPPER(_xlpm.MyAuditVal),_xlpm.MacVal&lt;&gt;"",_xlpm.MacVal,_xlpm.CSVVal&lt;&gt;"",_xlpm.CSVVal
)),"")</f>
        <v/>
      </c>
      <c r="D127" s="2" t="str" cm="1">
        <f t="array" ref="D127">IFERROR(_xlfn.LET(
_xlpm.CSVVal,_xlfn.XLOOKUP($A127,CSV!$A:$A,CSV!D:D,""),
_xlpm.MacVal,_xlfn.XLOOKUP($A127,Output_Mac!$A:$A,Output_Mac!C:C,""),
_xlpm.MyAuditVal,_xlfn.XLOOKUP($A127,My_Audit!$A:$A,My_Audit!C:C,""),
_xlfn.IFS(_xlpm.MyAuditVal&lt;&gt;"",_xlpm.MyAuditVal,_xlpm.MacVal&lt;&gt;"",_xlpm.MacVal,_xlpm.CSVVal&lt;&gt;"",_xlpm.CSVVal
)),"")</f>
        <v/>
      </c>
      <c r="E127" s="2" t="str">
        <f>_xlfn.XLOOKUP(A127,My_Audit!A:A,My_Audit!D:D,"")</f>
        <v/>
      </c>
      <c r="F127" s="2" t="str" cm="1">
        <f t="array" ref="F127">IFERROR(_xlfn.LET(
_xlpm.CSVVal,_xlfn.XLOOKUP($A127,CSV!$A:$A,CSV!F:F,""),
_xlpm.MacVal,_xlfn.XLOOKUP($A127,Output_Mac!$A:$A,Output_Mac!E:E,""),
_xlpm.MyAuditVal,_xlfn.XLOOKUP($A127,My_Audit!$A:$A,My_Audit!E:E,""),
_xlfn.IFS(_xlpm.MyAuditVal&lt;&gt;"",_xlpm.MyAuditVal,_xlpm.MacVal&lt;&gt;"",_xlpm.MacVal,_xlpm.CSVVal&lt;&gt;"",_xlpm.CSVVal
)),"")</f>
        <v/>
      </c>
      <c r="G127" s="2" t="str" cm="1">
        <f t="array" ref="G127">IFERROR(_xlfn.LET(
_xlpm.CSVVal,_xlfn.XLOOKUP($A127,CSV!$A:$A,CSV!G:G,""),
_xlpm.MacVal,_xlfn.XLOOKUP($A127,Output_Mac!$A:$A,Output_Mac!F:F,""),
_xlpm.MyAuditVal,_xlfn.XLOOKUP($A127,My_Audit!$A:$A,My_Audit!F:F,""),
_xlfn.IFS(_xlpm.MyAuditVal&lt;&gt;"",_xlpm.MyAuditVal,_xlpm.MacVal&lt;&gt;"",_xlpm.MacVal,_xlpm.CSVVal&lt;&gt;"",PROPER(_xlpm.CSVVal)
)),"")</f>
        <v/>
      </c>
      <c r="H127" s="2" t="str" cm="1">
        <f t="array" ref="H127">IFERROR(_xlfn.LET(
_xlpm.CSVVal,_xlfn.XLOOKUP($A127,CSV!$A:$A,CSV!H:H,""),
_xlpm.MacVal,_xlfn.XLOOKUP($A127,Output_Mac!$A:$A,Output_Mac!H:H,""),
_xlpm.MyAuditVal,_xlfn.XLOOKUP($A127,My_Audit!$A:$A,My_Audit!G:G,""),
_xlfn.IFS(_xlpm.MyAuditVal&lt;&gt;"",_xlpm.MyAuditVal,_xlpm.MacVal&lt;&gt;"",_xlpm.MacVal,_xlpm.CSVVal&lt;&gt;"",_xlpm.CSVVal
)),"")</f>
        <v/>
      </c>
      <c r="I127" s="2" t="str">
        <f>_xlfn.XLOOKUP(A127,Output_Mac!A:A,Output_Mac!I:I,"")</f>
        <v/>
      </c>
      <c r="J127" s="2" t="str" cm="1">
        <f t="array" ref="J127">IFERROR(_xlfn.LET(
_xlpm.CSVVal,_xlfn.XLOOKUP($A127,CSV!$A:$A,CSV!I:I,""),
_xlpm.MacVal,_xlfn.XLOOKUP($A127,Output_Mac!$A:$A,Output_Mac!J:J,""),
_xlpm.MyAuditVal,_xlfn.XLOOKUP($A127,My_Audit!$A:$A,My_Audit!I:I,""),
_xlfn.IFS(_xlpm.MyAuditVal&lt;&gt;"",UPPER(_xlpm.MyAuditVal),_xlpm.MacVal&lt;&gt;"",_xlpm.MacVal,_xlpm.CSVVal&lt;&gt;"",_xlpm.CSVVal
)),"")</f>
        <v/>
      </c>
      <c r="K127" s="2" t="str" cm="1">
        <f t="array" ref="K127">IFERROR(_xlfn.LET(
_xlpm.CSVVal,_xlfn.XLOOKUP($A127,CSV!$A:$A,CSV!K:K,""),
_xlpm.MacVal,_xlfn.XLOOKUP($A127,Output_Mac!$A:$A,Output_Mac!K:K,""),
_xlpm.MyAuditVal,_xlfn.XLOOKUP($A127,My_Audit!$A:$A,My_Audit!J:J,""),
_xlfn.IFS(_xlpm.MyAuditVal&lt;&gt;"",UPPER(_xlpm.MyAuditVal),_xlpm.MacVal&lt;&gt;"",_xlpm.MacVal,_xlpm.CSVVal&lt;&gt;"",_xlpm.CSVVal
)),"")</f>
        <v/>
      </c>
      <c r="L127" s="2" t="str" cm="1">
        <f t="array" ref="L127">IFERROR(_xlfn.LET(
_xlpm.CSVVal,_xlfn.XLOOKUP($A127,CSV!$A:$A,CSV!P:P,""),
_xlpm.MacVal,_xlfn.XLOOKUP($A127,Output_Mac!$A:$A,Output_Mac!L:L,""),
_xlpm.MyAuditVal,_xlfn.XLOOKUP($A127,My_Audit!$A:$A,My_Audit!K:K,""),
_xlfn.IFS(_xlpm.MyAuditVal&lt;&gt;"",UPPER(_xlpm.MyAuditVal),_xlpm.MacVal&lt;&gt;"",_xlpm.MacVal,_xlpm.CSVVal&lt;&gt;"",_xlpm.CSVVal
)),"")</f>
        <v/>
      </c>
      <c r="M127" s="2" t="str" cm="1">
        <f t="array" ref="M127">IFERROR(_xlfn.LET(
_xlpm.CSVVal,_xlfn.XLOOKUP($A127,CSV!$A:$A,CSV!Q:Q,""),
_xlpm.MacVal,_xlfn.XLOOKUP($A127,Output_Mac!$A:$A,Output_Mac!M:M,""),
_xlpm.MyAuditVal,_xlfn.XLOOKUP($A127,My_Audit!$A:$A,My_Audit!L:L,""),
_xlfn.IFS(_xlpm.MyAuditVal&lt;&gt;"",UPPER(_xlpm.MyAuditVal),_xlpm.MacVal&lt;&gt;"",_xlpm.MacVal,_xlpm.CSVVal&lt;&gt;"",_xlpm.CSVVal
)),"")</f>
        <v/>
      </c>
      <c r="O127" s="2" t="str">
        <f>_xlfn.LET(
    _xlpm.CSVVal, _xlfn.XLOOKUP($A127, CSV!$A:$A, CSV!AA:AA, ""),
    _xlpm.MacVal, _xlfn.XLOOKUP($A127, Output_Mac!$A:$A, Output_Mac!S:S, ""),
    _xlpm.MyAuditVal, _xlfn.XLOOKUP($A127, My_Audit!$A:$A, My_Audit!P:P, ""),
    _xlfn.TEXTJOIN(", ", TRUE, _xlpm.MyAuditVal, _xlpm.MacVal, _xlpm.CSVVal)
)</f>
        <v/>
      </c>
      <c r="P127" s="2" t="str" cm="1">
        <f t="array" ref="P127">IFERROR(_xlfn.LET(
_xlpm.CSVVal,_xlfn.XLOOKUP($A127,CSV!$A:$A,CSV!AB:AB,""),
_xlpm.MacVal,_xlfn.XLOOKUP($A127,Output_Mac!$A:$A,Output_Mac!T:T,""),
_xlpm.MyAuditVal,_xlfn.XLOOKUP($A127,My_Audit!$A:$A,My_Audit!Q:Q,""),
_xlfn.IFS(_xlpm.MyAuditVal&lt;&gt;"",UPPER(_xlpm.MyAuditVal),_xlpm.MacVal&lt;&gt;"",_xlpm.MacVal,_xlpm.CSVVal&lt;&gt;"",_xlpm.CSVVal
)),"No")</f>
        <v>No</v>
      </c>
      <c r="Q127" s="2" t="str" cm="1">
        <f t="array" ref="Q127">IFERROR(_xlfn.LET(
_xlpm.CSVVal,_xlfn.XLOOKUP($A127,CSV!$A:$A,CSV!AC:AC,""),
_xlpm.MacVal,_xlfn.XLOOKUP($A127,Output_Mac!$A:$A,Output_Mac!U:U,""),
_xlpm.MyAuditVal,_xlfn.XLOOKUP($A127,My_Audit!$A:$A,My_Audit!R:R,""),
_xlfn.IFS(_xlpm.MyAuditVal&lt;&gt;"",UPPER(_xlpm.MyAuditVal),_xlpm.MacVal&lt;&gt;"",_xlpm.MacVal,_xlpm.CSVVal&lt;&gt;"",_xlpm.CSVVal
)),"")</f>
        <v/>
      </c>
      <c r="X127" t="str">
        <f>_xlfn.LET(
    _xlpm.MacVal, _xlfn.XLOOKUP($A127, Output_Mac!$A:$A, Output_Mac!AB:AB, ""),
    _xlpm.MyAuditVal, _xlfn.XLOOKUP($A127, My_Audit!$A:$A, My_Audit!N:N, ""),
    _xlfn.TEXTJOIN(", ", TRUE, _xlpm.MyAuditVal, _xlpm.MacVal)
)</f>
        <v/>
      </c>
    </row>
    <row r="128" spans="1:24">
      <c r="A128" s="2" t="str">
        <f>_xlfn.TEXTJOIN("",TRUE,Input!$B$2,ROW(My_Audit!A127))</f>
        <v>X127</v>
      </c>
      <c r="B128" s="2" t="str">
        <f>_xlfn.TEXTJOIN("-",TRUE,"ITD",Input!$A$2,A128)</f>
        <v>ITD-SHR-X127</v>
      </c>
      <c r="C128" s="2" t="str" cm="1">
        <f t="array" ref="C128">IFERROR(_xlfn.LET(
_xlpm.CSVVal,_xlfn.XLOOKUP($A128,CSV!$A:$A,CSV!B:B,""),
_xlpm.MacVal,_xlfn.XLOOKUP($A128,Output_Mac!$A:$A,Output_Mac!B:B,""),
_xlpm.MyAuditVal,_xlfn.XLOOKUP($A128,My_Audit!$A:$A,My_Audit!B:B,""),
_xlfn.IFS(_xlpm.MyAuditVal&lt;&gt;"",UPPER(_xlpm.MyAuditVal),_xlpm.MacVal&lt;&gt;"",_xlpm.MacVal,_xlpm.CSVVal&lt;&gt;"",_xlpm.CSVVal
)),"")</f>
        <v/>
      </c>
      <c r="D128" s="2" t="str" cm="1">
        <f t="array" ref="D128">IFERROR(_xlfn.LET(
_xlpm.CSVVal,_xlfn.XLOOKUP($A128,CSV!$A:$A,CSV!D:D,""),
_xlpm.MacVal,_xlfn.XLOOKUP($A128,Output_Mac!$A:$A,Output_Mac!C:C,""),
_xlpm.MyAuditVal,_xlfn.XLOOKUP($A128,My_Audit!$A:$A,My_Audit!C:C,""),
_xlfn.IFS(_xlpm.MyAuditVal&lt;&gt;"",_xlpm.MyAuditVal,_xlpm.MacVal&lt;&gt;"",_xlpm.MacVal,_xlpm.CSVVal&lt;&gt;"",_xlpm.CSVVal
)),"")</f>
        <v/>
      </c>
      <c r="E128" s="2" t="str">
        <f>_xlfn.XLOOKUP(A128,My_Audit!A:A,My_Audit!D:D,"")</f>
        <v/>
      </c>
      <c r="F128" s="2" t="str" cm="1">
        <f t="array" ref="F128">IFERROR(_xlfn.LET(
_xlpm.CSVVal,_xlfn.XLOOKUP($A128,CSV!$A:$A,CSV!F:F,""),
_xlpm.MacVal,_xlfn.XLOOKUP($A128,Output_Mac!$A:$A,Output_Mac!E:E,""),
_xlpm.MyAuditVal,_xlfn.XLOOKUP($A128,My_Audit!$A:$A,My_Audit!E:E,""),
_xlfn.IFS(_xlpm.MyAuditVal&lt;&gt;"",_xlpm.MyAuditVal,_xlpm.MacVal&lt;&gt;"",_xlpm.MacVal,_xlpm.CSVVal&lt;&gt;"",_xlpm.CSVVal
)),"")</f>
        <v/>
      </c>
      <c r="G128" s="2" t="str" cm="1">
        <f t="array" ref="G128">IFERROR(_xlfn.LET(
_xlpm.CSVVal,_xlfn.XLOOKUP($A128,CSV!$A:$A,CSV!G:G,""),
_xlpm.MacVal,_xlfn.XLOOKUP($A128,Output_Mac!$A:$A,Output_Mac!F:F,""),
_xlpm.MyAuditVal,_xlfn.XLOOKUP($A128,My_Audit!$A:$A,My_Audit!F:F,""),
_xlfn.IFS(_xlpm.MyAuditVal&lt;&gt;"",_xlpm.MyAuditVal,_xlpm.MacVal&lt;&gt;"",_xlpm.MacVal,_xlpm.CSVVal&lt;&gt;"",PROPER(_xlpm.CSVVal)
)),"")</f>
        <v/>
      </c>
      <c r="H128" s="2" t="str" cm="1">
        <f t="array" ref="H128">IFERROR(_xlfn.LET(
_xlpm.CSVVal,_xlfn.XLOOKUP($A128,CSV!$A:$A,CSV!H:H,""),
_xlpm.MacVal,_xlfn.XLOOKUP($A128,Output_Mac!$A:$A,Output_Mac!H:H,""),
_xlpm.MyAuditVal,_xlfn.XLOOKUP($A128,My_Audit!$A:$A,My_Audit!G:G,""),
_xlfn.IFS(_xlpm.MyAuditVal&lt;&gt;"",_xlpm.MyAuditVal,_xlpm.MacVal&lt;&gt;"",_xlpm.MacVal,_xlpm.CSVVal&lt;&gt;"",_xlpm.CSVVal
)),"")</f>
        <v/>
      </c>
      <c r="I128" s="2" t="str">
        <f>_xlfn.XLOOKUP(A128,Output_Mac!A:A,Output_Mac!I:I,"")</f>
        <v/>
      </c>
      <c r="J128" s="2" t="str" cm="1">
        <f t="array" ref="J128">IFERROR(_xlfn.LET(
_xlpm.CSVVal,_xlfn.XLOOKUP($A128,CSV!$A:$A,CSV!I:I,""),
_xlpm.MacVal,_xlfn.XLOOKUP($A128,Output_Mac!$A:$A,Output_Mac!J:J,""),
_xlpm.MyAuditVal,_xlfn.XLOOKUP($A128,My_Audit!$A:$A,My_Audit!I:I,""),
_xlfn.IFS(_xlpm.MyAuditVal&lt;&gt;"",UPPER(_xlpm.MyAuditVal),_xlpm.MacVal&lt;&gt;"",_xlpm.MacVal,_xlpm.CSVVal&lt;&gt;"",_xlpm.CSVVal
)),"")</f>
        <v/>
      </c>
      <c r="K128" s="2" t="str" cm="1">
        <f t="array" ref="K128">IFERROR(_xlfn.LET(
_xlpm.CSVVal,_xlfn.XLOOKUP($A128,CSV!$A:$A,CSV!K:K,""),
_xlpm.MacVal,_xlfn.XLOOKUP($A128,Output_Mac!$A:$A,Output_Mac!K:K,""),
_xlpm.MyAuditVal,_xlfn.XLOOKUP($A128,My_Audit!$A:$A,My_Audit!J:J,""),
_xlfn.IFS(_xlpm.MyAuditVal&lt;&gt;"",UPPER(_xlpm.MyAuditVal),_xlpm.MacVal&lt;&gt;"",_xlpm.MacVal,_xlpm.CSVVal&lt;&gt;"",_xlpm.CSVVal
)),"")</f>
        <v/>
      </c>
      <c r="L128" s="2" t="str" cm="1">
        <f t="array" ref="L128">IFERROR(_xlfn.LET(
_xlpm.CSVVal,_xlfn.XLOOKUP($A128,CSV!$A:$A,CSV!P:P,""),
_xlpm.MacVal,_xlfn.XLOOKUP($A128,Output_Mac!$A:$A,Output_Mac!L:L,""),
_xlpm.MyAuditVal,_xlfn.XLOOKUP($A128,My_Audit!$A:$A,My_Audit!K:K,""),
_xlfn.IFS(_xlpm.MyAuditVal&lt;&gt;"",UPPER(_xlpm.MyAuditVal),_xlpm.MacVal&lt;&gt;"",_xlpm.MacVal,_xlpm.CSVVal&lt;&gt;"",_xlpm.CSVVal
)),"")</f>
        <v/>
      </c>
      <c r="M128" s="2" t="str" cm="1">
        <f t="array" ref="M128">IFERROR(_xlfn.LET(
_xlpm.CSVVal,_xlfn.XLOOKUP($A128,CSV!$A:$A,CSV!Q:Q,""),
_xlpm.MacVal,_xlfn.XLOOKUP($A128,Output_Mac!$A:$A,Output_Mac!M:M,""),
_xlpm.MyAuditVal,_xlfn.XLOOKUP($A128,My_Audit!$A:$A,My_Audit!L:L,""),
_xlfn.IFS(_xlpm.MyAuditVal&lt;&gt;"",UPPER(_xlpm.MyAuditVal),_xlpm.MacVal&lt;&gt;"",_xlpm.MacVal,_xlpm.CSVVal&lt;&gt;"",_xlpm.CSVVal
)),"")</f>
        <v/>
      </c>
      <c r="O128" s="2" t="str">
        <f>_xlfn.LET(
    _xlpm.CSVVal, _xlfn.XLOOKUP($A128, CSV!$A:$A, CSV!AA:AA, ""),
    _xlpm.MacVal, _xlfn.XLOOKUP($A128, Output_Mac!$A:$A, Output_Mac!S:S, ""),
    _xlpm.MyAuditVal, _xlfn.XLOOKUP($A128, My_Audit!$A:$A, My_Audit!P:P, ""),
    _xlfn.TEXTJOIN(", ", TRUE, _xlpm.MyAuditVal, _xlpm.MacVal, _xlpm.CSVVal)
)</f>
        <v/>
      </c>
      <c r="P128" s="2" t="str" cm="1">
        <f t="array" ref="P128">IFERROR(_xlfn.LET(
_xlpm.CSVVal,_xlfn.XLOOKUP($A128,CSV!$A:$A,CSV!AB:AB,""),
_xlpm.MacVal,_xlfn.XLOOKUP($A128,Output_Mac!$A:$A,Output_Mac!T:T,""),
_xlpm.MyAuditVal,_xlfn.XLOOKUP($A128,My_Audit!$A:$A,My_Audit!Q:Q,""),
_xlfn.IFS(_xlpm.MyAuditVal&lt;&gt;"",UPPER(_xlpm.MyAuditVal),_xlpm.MacVal&lt;&gt;"",_xlpm.MacVal,_xlpm.CSVVal&lt;&gt;"",_xlpm.CSVVal
)),"No")</f>
        <v>No</v>
      </c>
      <c r="Q128" s="2" t="str" cm="1">
        <f t="array" ref="Q128">IFERROR(_xlfn.LET(
_xlpm.CSVVal,_xlfn.XLOOKUP($A128,CSV!$A:$A,CSV!AC:AC,""),
_xlpm.MacVal,_xlfn.XLOOKUP($A128,Output_Mac!$A:$A,Output_Mac!U:U,""),
_xlpm.MyAuditVal,_xlfn.XLOOKUP($A128,My_Audit!$A:$A,My_Audit!R:R,""),
_xlfn.IFS(_xlpm.MyAuditVal&lt;&gt;"",UPPER(_xlpm.MyAuditVal),_xlpm.MacVal&lt;&gt;"",_xlpm.MacVal,_xlpm.CSVVal&lt;&gt;"",_xlpm.CSVVal
)),"")</f>
        <v/>
      </c>
      <c r="X128" t="str">
        <f>_xlfn.LET(
    _xlpm.MacVal, _xlfn.XLOOKUP($A128, Output_Mac!$A:$A, Output_Mac!AB:AB, ""),
    _xlpm.MyAuditVal, _xlfn.XLOOKUP($A128, My_Audit!$A:$A, My_Audit!N:N, ""),
    _xlfn.TEXTJOIN(", ", TRUE, _xlpm.MyAuditVal, _xlpm.MacVal)
)</f>
        <v/>
      </c>
    </row>
    <row r="129" spans="1:24">
      <c r="A129" s="2" t="str">
        <f>_xlfn.TEXTJOIN("",TRUE,Input!$B$2,ROW(My_Audit!A128))</f>
        <v>X128</v>
      </c>
      <c r="B129" s="2" t="str">
        <f>_xlfn.TEXTJOIN("-",TRUE,"ITD",Input!$A$2,A129)</f>
        <v>ITD-SHR-X128</v>
      </c>
      <c r="C129" s="2" t="str" cm="1">
        <f t="array" ref="C129">IFERROR(_xlfn.LET(
_xlpm.CSVVal,_xlfn.XLOOKUP($A129,CSV!$A:$A,CSV!B:B,""),
_xlpm.MacVal,_xlfn.XLOOKUP($A129,Output_Mac!$A:$A,Output_Mac!B:B,""),
_xlpm.MyAuditVal,_xlfn.XLOOKUP($A129,My_Audit!$A:$A,My_Audit!B:B,""),
_xlfn.IFS(_xlpm.MyAuditVal&lt;&gt;"",UPPER(_xlpm.MyAuditVal),_xlpm.MacVal&lt;&gt;"",_xlpm.MacVal,_xlpm.CSVVal&lt;&gt;"",_xlpm.CSVVal
)),"")</f>
        <v/>
      </c>
      <c r="D129" s="2" t="str" cm="1">
        <f t="array" ref="D129">IFERROR(_xlfn.LET(
_xlpm.CSVVal,_xlfn.XLOOKUP($A129,CSV!$A:$A,CSV!D:D,""),
_xlpm.MacVal,_xlfn.XLOOKUP($A129,Output_Mac!$A:$A,Output_Mac!C:C,""),
_xlpm.MyAuditVal,_xlfn.XLOOKUP($A129,My_Audit!$A:$A,My_Audit!C:C,""),
_xlfn.IFS(_xlpm.MyAuditVal&lt;&gt;"",_xlpm.MyAuditVal,_xlpm.MacVal&lt;&gt;"",_xlpm.MacVal,_xlpm.CSVVal&lt;&gt;"",_xlpm.CSVVal
)),"")</f>
        <v/>
      </c>
      <c r="E129" s="2" t="str">
        <f>_xlfn.XLOOKUP(A129,My_Audit!A:A,My_Audit!D:D,"")</f>
        <v/>
      </c>
      <c r="F129" s="2" t="str" cm="1">
        <f t="array" ref="F129">IFERROR(_xlfn.LET(
_xlpm.CSVVal,_xlfn.XLOOKUP($A129,CSV!$A:$A,CSV!F:F,""),
_xlpm.MacVal,_xlfn.XLOOKUP($A129,Output_Mac!$A:$A,Output_Mac!E:E,""),
_xlpm.MyAuditVal,_xlfn.XLOOKUP($A129,My_Audit!$A:$A,My_Audit!E:E,""),
_xlfn.IFS(_xlpm.MyAuditVal&lt;&gt;"",_xlpm.MyAuditVal,_xlpm.MacVal&lt;&gt;"",_xlpm.MacVal,_xlpm.CSVVal&lt;&gt;"",_xlpm.CSVVal
)),"")</f>
        <v/>
      </c>
      <c r="G129" s="2" t="str" cm="1">
        <f t="array" ref="G129">IFERROR(_xlfn.LET(
_xlpm.CSVVal,_xlfn.XLOOKUP($A129,CSV!$A:$A,CSV!G:G,""),
_xlpm.MacVal,_xlfn.XLOOKUP($A129,Output_Mac!$A:$A,Output_Mac!F:F,""),
_xlpm.MyAuditVal,_xlfn.XLOOKUP($A129,My_Audit!$A:$A,My_Audit!F:F,""),
_xlfn.IFS(_xlpm.MyAuditVal&lt;&gt;"",_xlpm.MyAuditVal,_xlpm.MacVal&lt;&gt;"",_xlpm.MacVal,_xlpm.CSVVal&lt;&gt;"",PROPER(_xlpm.CSVVal)
)),"")</f>
        <v/>
      </c>
      <c r="H129" s="2" t="str" cm="1">
        <f t="array" ref="H129">IFERROR(_xlfn.LET(
_xlpm.CSVVal,_xlfn.XLOOKUP($A129,CSV!$A:$A,CSV!H:H,""),
_xlpm.MacVal,_xlfn.XLOOKUP($A129,Output_Mac!$A:$A,Output_Mac!H:H,""),
_xlpm.MyAuditVal,_xlfn.XLOOKUP($A129,My_Audit!$A:$A,My_Audit!G:G,""),
_xlfn.IFS(_xlpm.MyAuditVal&lt;&gt;"",_xlpm.MyAuditVal,_xlpm.MacVal&lt;&gt;"",_xlpm.MacVal,_xlpm.CSVVal&lt;&gt;"",_xlpm.CSVVal
)),"")</f>
        <v/>
      </c>
      <c r="I129" s="2" t="str">
        <f>_xlfn.XLOOKUP(A129,Output_Mac!A:A,Output_Mac!I:I,"")</f>
        <v/>
      </c>
      <c r="J129" s="2" t="str" cm="1">
        <f t="array" ref="J129">IFERROR(_xlfn.LET(
_xlpm.CSVVal,_xlfn.XLOOKUP($A129,CSV!$A:$A,CSV!I:I,""),
_xlpm.MacVal,_xlfn.XLOOKUP($A129,Output_Mac!$A:$A,Output_Mac!J:J,""),
_xlpm.MyAuditVal,_xlfn.XLOOKUP($A129,My_Audit!$A:$A,My_Audit!I:I,""),
_xlfn.IFS(_xlpm.MyAuditVal&lt;&gt;"",UPPER(_xlpm.MyAuditVal),_xlpm.MacVal&lt;&gt;"",_xlpm.MacVal,_xlpm.CSVVal&lt;&gt;"",_xlpm.CSVVal
)),"")</f>
        <v/>
      </c>
      <c r="K129" s="2" t="str" cm="1">
        <f t="array" ref="K129">IFERROR(_xlfn.LET(
_xlpm.CSVVal,_xlfn.XLOOKUP($A129,CSV!$A:$A,CSV!K:K,""),
_xlpm.MacVal,_xlfn.XLOOKUP($A129,Output_Mac!$A:$A,Output_Mac!K:K,""),
_xlpm.MyAuditVal,_xlfn.XLOOKUP($A129,My_Audit!$A:$A,My_Audit!J:J,""),
_xlfn.IFS(_xlpm.MyAuditVal&lt;&gt;"",UPPER(_xlpm.MyAuditVal),_xlpm.MacVal&lt;&gt;"",_xlpm.MacVal,_xlpm.CSVVal&lt;&gt;"",_xlpm.CSVVal
)),"")</f>
        <v/>
      </c>
      <c r="L129" s="2" t="str" cm="1">
        <f t="array" ref="L129">IFERROR(_xlfn.LET(
_xlpm.CSVVal,_xlfn.XLOOKUP($A129,CSV!$A:$A,CSV!P:P,""),
_xlpm.MacVal,_xlfn.XLOOKUP($A129,Output_Mac!$A:$A,Output_Mac!L:L,""),
_xlpm.MyAuditVal,_xlfn.XLOOKUP($A129,My_Audit!$A:$A,My_Audit!K:K,""),
_xlfn.IFS(_xlpm.MyAuditVal&lt;&gt;"",UPPER(_xlpm.MyAuditVal),_xlpm.MacVal&lt;&gt;"",_xlpm.MacVal,_xlpm.CSVVal&lt;&gt;"",_xlpm.CSVVal
)),"")</f>
        <v/>
      </c>
      <c r="M129" s="2" t="str" cm="1">
        <f t="array" ref="M129">IFERROR(_xlfn.LET(
_xlpm.CSVVal,_xlfn.XLOOKUP($A129,CSV!$A:$A,CSV!Q:Q,""),
_xlpm.MacVal,_xlfn.XLOOKUP($A129,Output_Mac!$A:$A,Output_Mac!M:M,""),
_xlpm.MyAuditVal,_xlfn.XLOOKUP($A129,My_Audit!$A:$A,My_Audit!L:L,""),
_xlfn.IFS(_xlpm.MyAuditVal&lt;&gt;"",UPPER(_xlpm.MyAuditVal),_xlpm.MacVal&lt;&gt;"",_xlpm.MacVal,_xlpm.CSVVal&lt;&gt;"",_xlpm.CSVVal
)),"")</f>
        <v/>
      </c>
      <c r="O129" s="2" t="str">
        <f>_xlfn.LET(
    _xlpm.CSVVal, _xlfn.XLOOKUP($A129, CSV!$A:$A, CSV!AA:AA, ""),
    _xlpm.MacVal, _xlfn.XLOOKUP($A129, Output_Mac!$A:$A, Output_Mac!S:S, ""),
    _xlpm.MyAuditVal, _xlfn.XLOOKUP($A129, My_Audit!$A:$A, My_Audit!P:P, ""),
    _xlfn.TEXTJOIN(", ", TRUE, _xlpm.MyAuditVal, _xlpm.MacVal, _xlpm.CSVVal)
)</f>
        <v/>
      </c>
      <c r="P129" s="2" t="str" cm="1">
        <f t="array" ref="P129">IFERROR(_xlfn.LET(
_xlpm.CSVVal,_xlfn.XLOOKUP($A129,CSV!$A:$A,CSV!AB:AB,""),
_xlpm.MacVal,_xlfn.XLOOKUP($A129,Output_Mac!$A:$A,Output_Mac!T:T,""),
_xlpm.MyAuditVal,_xlfn.XLOOKUP($A129,My_Audit!$A:$A,My_Audit!Q:Q,""),
_xlfn.IFS(_xlpm.MyAuditVal&lt;&gt;"",UPPER(_xlpm.MyAuditVal),_xlpm.MacVal&lt;&gt;"",_xlpm.MacVal,_xlpm.CSVVal&lt;&gt;"",_xlpm.CSVVal
)),"No")</f>
        <v>No</v>
      </c>
      <c r="Q129" s="2" t="str" cm="1">
        <f t="array" ref="Q129">IFERROR(_xlfn.LET(
_xlpm.CSVVal,_xlfn.XLOOKUP($A129,CSV!$A:$A,CSV!AC:AC,""),
_xlpm.MacVal,_xlfn.XLOOKUP($A129,Output_Mac!$A:$A,Output_Mac!U:U,""),
_xlpm.MyAuditVal,_xlfn.XLOOKUP($A129,My_Audit!$A:$A,My_Audit!R:R,""),
_xlfn.IFS(_xlpm.MyAuditVal&lt;&gt;"",UPPER(_xlpm.MyAuditVal),_xlpm.MacVal&lt;&gt;"",_xlpm.MacVal,_xlpm.CSVVal&lt;&gt;"",_xlpm.CSVVal
)),"")</f>
        <v/>
      </c>
      <c r="X129" t="str">
        <f>_xlfn.LET(
    _xlpm.MacVal, _xlfn.XLOOKUP($A129, Output_Mac!$A:$A, Output_Mac!AB:AB, ""),
    _xlpm.MyAuditVal, _xlfn.XLOOKUP($A129, My_Audit!$A:$A, My_Audit!N:N, ""),
    _xlfn.TEXTJOIN(", ", TRUE, _xlpm.MyAuditVal, _xlpm.MacVal)
)</f>
        <v/>
      </c>
    </row>
    <row r="130" spans="1:24">
      <c r="A130" s="2" t="str">
        <f>_xlfn.TEXTJOIN("",TRUE,Input!$B$2,ROW(My_Audit!A129))</f>
        <v>X129</v>
      </c>
      <c r="B130" s="2" t="str">
        <f>_xlfn.TEXTJOIN("-",TRUE,"ITD",Input!$A$2,A130)</f>
        <v>ITD-SHR-X129</v>
      </c>
      <c r="C130" s="2" t="str" cm="1">
        <f t="array" ref="C130">IFERROR(_xlfn.LET(
_xlpm.CSVVal,_xlfn.XLOOKUP($A130,CSV!$A:$A,CSV!B:B,""),
_xlpm.MacVal,_xlfn.XLOOKUP($A130,Output_Mac!$A:$A,Output_Mac!B:B,""),
_xlpm.MyAuditVal,_xlfn.XLOOKUP($A130,My_Audit!$A:$A,My_Audit!B:B,""),
_xlfn.IFS(_xlpm.MyAuditVal&lt;&gt;"",UPPER(_xlpm.MyAuditVal),_xlpm.MacVal&lt;&gt;"",_xlpm.MacVal,_xlpm.CSVVal&lt;&gt;"",_xlpm.CSVVal
)),"")</f>
        <v/>
      </c>
      <c r="D130" s="2" t="str" cm="1">
        <f t="array" ref="D130">IFERROR(_xlfn.LET(
_xlpm.CSVVal,_xlfn.XLOOKUP($A130,CSV!$A:$A,CSV!D:D,""),
_xlpm.MacVal,_xlfn.XLOOKUP($A130,Output_Mac!$A:$A,Output_Mac!C:C,""),
_xlpm.MyAuditVal,_xlfn.XLOOKUP($A130,My_Audit!$A:$A,My_Audit!C:C,""),
_xlfn.IFS(_xlpm.MyAuditVal&lt;&gt;"",_xlpm.MyAuditVal,_xlpm.MacVal&lt;&gt;"",_xlpm.MacVal,_xlpm.CSVVal&lt;&gt;"",_xlpm.CSVVal
)),"")</f>
        <v/>
      </c>
      <c r="E130" s="2" t="str">
        <f>_xlfn.XLOOKUP(A130,My_Audit!A:A,My_Audit!D:D,"")</f>
        <v/>
      </c>
      <c r="F130" s="2" t="str" cm="1">
        <f t="array" ref="F130">IFERROR(_xlfn.LET(
_xlpm.CSVVal,_xlfn.XLOOKUP($A130,CSV!$A:$A,CSV!F:F,""),
_xlpm.MacVal,_xlfn.XLOOKUP($A130,Output_Mac!$A:$A,Output_Mac!E:E,""),
_xlpm.MyAuditVal,_xlfn.XLOOKUP($A130,My_Audit!$A:$A,My_Audit!E:E,""),
_xlfn.IFS(_xlpm.MyAuditVal&lt;&gt;"",_xlpm.MyAuditVal,_xlpm.MacVal&lt;&gt;"",_xlpm.MacVal,_xlpm.CSVVal&lt;&gt;"",_xlpm.CSVVal
)),"")</f>
        <v/>
      </c>
      <c r="G130" s="2" t="str" cm="1">
        <f t="array" ref="G130">IFERROR(_xlfn.LET(
_xlpm.CSVVal,_xlfn.XLOOKUP($A130,CSV!$A:$A,CSV!G:G,""),
_xlpm.MacVal,_xlfn.XLOOKUP($A130,Output_Mac!$A:$A,Output_Mac!F:F,""),
_xlpm.MyAuditVal,_xlfn.XLOOKUP($A130,My_Audit!$A:$A,My_Audit!F:F,""),
_xlfn.IFS(_xlpm.MyAuditVal&lt;&gt;"",_xlpm.MyAuditVal,_xlpm.MacVal&lt;&gt;"",_xlpm.MacVal,_xlpm.CSVVal&lt;&gt;"",PROPER(_xlpm.CSVVal)
)),"")</f>
        <v/>
      </c>
      <c r="H130" s="2" t="str" cm="1">
        <f t="array" ref="H130">IFERROR(_xlfn.LET(
_xlpm.CSVVal,_xlfn.XLOOKUP($A130,CSV!$A:$A,CSV!H:H,""),
_xlpm.MacVal,_xlfn.XLOOKUP($A130,Output_Mac!$A:$A,Output_Mac!H:H,""),
_xlpm.MyAuditVal,_xlfn.XLOOKUP($A130,My_Audit!$A:$A,My_Audit!G:G,""),
_xlfn.IFS(_xlpm.MyAuditVal&lt;&gt;"",_xlpm.MyAuditVal,_xlpm.MacVal&lt;&gt;"",_xlpm.MacVal,_xlpm.CSVVal&lt;&gt;"",_xlpm.CSVVal
)),"")</f>
        <v/>
      </c>
      <c r="I130" s="2" t="str">
        <f>_xlfn.XLOOKUP(A130,Output_Mac!A:A,Output_Mac!I:I,"")</f>
        <v/>
      </c>
      <c r="J130" s="2" t="str" cm="1">
        <f t="array" ref="J130">IFERROR(_xlfn.LET(
_xlpm.CSVVal,_xlfn.XLOOKUP($A130,CSV!$A:$A,CSV!I:I,""),
_xlpm.MacVal,_xlfn.XLOOKUP($A130,Output_Mac!$A:$A,Output_Mac!J:J,""),
_xlpm.MyAuditVal,_xlfn.XLOOKUP($A130,My_Audit!$A:$A,My_Audit!I:I,""),
_xlfn.IFS(_xlpm.MyAuditVal&lt;&gt;"",UPPER(_xlpm.MyAuditVal),_xlpm.MacVal&lt;&gt;"",_xlpm.MacVal,_xlpm.CSVVal&lt;&gt;"",_xlpm.CSVVal
)),"")</f>
        <v/>
      </c>
      <c r="K130" s="2" t="str" cm="1">
        <f t="array" ref="K130">IFERROR(_xlfn.LET(
_xlpm.CSVVal,_xlfn.XLOOKUP($A130,CSV!$A:$A,CSV!K:K,""),
_xlpm.MacVal,_xlfn.XLOOKUP($A130,Output_Mac!$A:$A,Output_Mac!K:K,""),
_xlpm.MyAuditVal,_xlfn.XLOOKUP($A130,My_Audit!$A:$A,My_Audit!J:J,""),
_xlfn.IFS(_xlpm.MyAuditVal&lt;&gt;"",UPPER(_xlpm.MyAuditVal),_xlpm.MacVal&lt;&gt;"",_xlpm.MacVal,_xlpm.CSVVal&lt;&gt;"",_xlpm.CSVVal
)),"")</f>
        <v/>
      </c>
      <c r="L130" s="2" t="str" cm="1">
        <f t="array" ref="L130">IFERROR(_xlfn.LET(
_xlpm.CSVVal,_xlfn.XLOOKUP($A130,CSV!$A:$A,CSV!P:P,""),
_xlpm.MacVal,_xlfn.XLOOKUP($A130,Output_Mac!$A:$A,Output_Mac!L:L,""),
_xlpm.MyAuditVal,_xlfn.XLOOKUP($A130,My_Audit!$A:$A,My_Audit!K:K,""),
_xlfn.IFS(_xlpm.MyAuditVal&lt;&gt;"",UPPER(_xlpm.MyAuditVal),_xlpm.MacVal&lt;&gt;"",_xlpm.MacVal,_xlpm.CSVVal&lt;&gt;"",_xlpm.CSVVal
)),"")</f>
        <v/>
      </c>
      <c r="M130" s="2" t="str" cm="1">
        <f t="array" ref="M130">IFERROR(_xlfn.LET(
_xlpm.CSVVal,_xlfn.XLOOKUP($A130,CSV!$A:$A,CSV!Q:Q,""),
_xlpm.MacVal,_xlfn.XLOOKUP($A130,Output_Mac!$A:$A,Output_Mac!M:M,""),
_xlpm.MyAuditVal,_xlfn.XLOOKUP($A130,My_Audit!$A:$A,My_Audit!L:L,""),
_xlfn.IFS(_xlpm.MyAuditVal&lt;&gt;"",UPPER(_xlpm.MyAuditVal),_xlpm.MacVal&lt;&gt;"",_xlpm.MacVal,_xlpm.CSVVal&lt;&gt;"",_xlpm.CSVVal
)),"")</f>
        <v/>
      </c>
      <c r="O130" s="2" t="str">
        <f>_xlfn.LET(
    _xlpm.CSVVal, _xlfn.XLOOKUP($A130, CSV!$A:$A, CSV!AA:AA, ""),
    _xlpm.MacVal, _xlfn.XLOOKUP($A130, Output_Mac!$A:$A, Output_Mac!S:S, ""),
    _xlpm.MyAuditVal, _xlfn.XLOOKUP($A130, My_Audit!$A:$A, My_Audit!P:P, ""),
    _xlfn.TEXTJOIN(", ", TRUE, _xlpm.MyAuditVal, _xlpm.MacVal, _xlpm.CSVVal)
)</f>
        <v/>
      </c>
      <c r="P130" s="2" t="str" cm="1">
        <f t="array" ref="P130">IFERROR(_xlfn.LET(
_xlpm.CSVVal,_xlfn.XLOOKUP($A130,CSV!$A:$A,CSV!AB:AB,""),
_xlpm.MacVal,_xlfn.XLOOKUP($A130,Output_Mac!$A:$A,Output_Mac!T:T,""),
_xlpm.MyAuditVal,_xlfn.XLOOKUP($A130,My_Audit!$A:$A,My_Audit!Q:Q,""),
_xlfn.IFS(_xlpm.MyAuditVal&lt;&gt;"",UPPER(_xlpm.MyAuditVal),_xlpm.MacVal&lt;&gt;"",_xlpm.MacVal,_xlpm.CSVVal&lt;&gt;"",_xlpm.CSVVal
)),"No")</f>
        <v>No</v>
      </c>
      <c r="Q130" s="2" t="str" cm="1">
        <f t="array" ref="Q130">IFERROR(_xlfn.LET(
_xlpm.CSVVal,_xlfn.XLOOKUP($A130,CSV!$A:$A,CSV!AC:AC,""),
_xlpm.MacVal,_xlfn.XLOOKUP($A130,Output_Mac!$A:$A,Output_Mac!U:U,""),
_xlpm.MyAuditVal,_xlfn.XLOOKUP($A130,My_Audit!$A:$A,My_Audit!R:R,""),
_xlfn.IFS(_xlpm.MyAuditVal&lt;&gt;"",UPPER(_xlpm.MyAuditVal),_xlpm.MacVal&lt;&gt;"",_xlpm.MacVal,_xlpm.CSVVal&lt;&gt;"",_xlpm.CSVVal
)),"")</f>
        <v/>
      </c>
      <c r="X130" t="str">
        <f>_xlfn.LET(
    _xlpm.MacVal, _xlfn.XLOOKUP($A130, Output_Mac!$A:$A, Output_Mac!AB:AB, ""),
    _xlpm.MyAuditVal, _xlfn.XLOOKUP($A130, My_Audit!$A:$A, My_Audit!N:N, ""),
    _xlfn.TEXTJOIN(", ", TRUE, _xlpm.MyAuditVal, _xlpm.MacVal)
)</f>
        <v/>
      </c>
    </row>
    <row r="131" spans="1:24">
      <c r="A131" s="2" t="str">
        <f>_xlfn.TEXTJOIN("",TRUE,Input!$B$2,ROW(My_Audit!A130))</f>
        <v>X130</v>
      </c>
      <c r="B131" s="2" t="str">
        <f>_xlfn.TEXTJOIN("-",TRUE,"ITD",Input!$A$2,A131)</f>
        <v>ITD-SHR-X130</v>
      </c>
      <c r="C131" s="2" t="str" cm="1">
        <f t="array" ref="C131">IFERROR(_xlfn.LET(
_xlpm.CSVVal,_xlfn.XLOOKUP($A131,CSV!$A:$A,CSV!B:B,""),
_xlpm.MacVal,_xlfn.XLOOKUP($A131,Output_Mac!$A:$A,Output_Mac!B:B,""),
_xlpm.MyAuditVal,_xlfn.XLOOKUP($A131,My_Audit!$A:$A,My_Audit!B:B,""),
_xlfn.IFS(_xlpm.MyAuditVal&lt;&gt;"",UPPER(_xlpm.MyAuditVal),_xlpm.MacVal&lt;&gt;"",_xlpm.MacVal,_xlpm.CSVVal&lt;&gt;"",_xlpm.CSVVal
)),"")</f>
        <v/>
      </c>
      <c r="D131" s="2" t="str" cm="1">
        <f t="array" ref="D131">IFERROR(_xlfn.LET(
_xlpm.CSVVal,_xlfn.XLOOKUP($A131,CSV!$A:$A,CSV!D:D,""),
_xlpm.MacVal,_xlfn.XLOOKUP($A131,Output_Mac!$A:$A,Output_Mac!C:C,""),
_xlpm.MyAuditVal,_xlfn.XLOOKUP($A131,My_Audit!$A:$A,My_Audit!C:C,""),
_xlfn.IFS(_xlpm.MyAuditVal&lt;&gt;"",_xlpm.MyAuditVal,_xlpm.MacVal&lt;&gt;"",_xlpm.MacVal,_xlpm.CSVVal&lt;&gt;"",_xlpm.CSVVal
)),"")</f>
        <v/>
      </c>
      <c r="E131" s="2" t="str">
        <f>_xlfn.XLOOKUP(A131,My_Audit!A:A,My_Audit!D:D,"")</f>
        <v/>
      </c>
      <c r="F131" s="2" t="str" cm="1">
        <f t="array" ref="F131">IFERROR(_xlfn.LET(
_xlpm.CSVVal,_xlfn.XLOOKUP($A131,CSV!$A:$A,CSV!F:F,""),
_xlpm.MacVal,_xlfn.XLOOKUP($A131,Output_Mac!$A:$A,Output_Mac!E:E,""),
_xlpm.MyAuditVal,_xlfn.XLOOKUP($A131,My_Audit!$A:$A,My_Audit!E:E,""),
_xlfn.IFS(_xlpm.MyAuditVal&lt;&gt;"",_xlpm.MyAuditVal,_xlpm.MacVal&lt;&gt;"",_xlpm.MacVal,_xlpm.CSVVal&lt;&gt;"",_xlpm.CSVVal
)),"")</f>
        <v/>
      </c>
      <c r="G131" s="2" t="str" cm="1">
        <f t="array" ref="G131">IFERROR(_xlfn.LET(
_xlpm.CSVVal,_xlfn.XLOOKUP($A131,CSV!$A:$A,CSV!G:G,""),
_xlpm.MacVal,_xlfn.XLOOKUP($A131,Output_Mac!$A:$A,Output_Mac!F:F,""),
_xlpm.MyAuditVal,_xlfn.XLOOKUP($A131,My_Audit!$A:$A,My_Audit!F:F,""),
_xlfn.IFS(_xlpm.MyAuditVal&lt;&gt;"",_xlpm.MyAuditVal,_xlpm.MacVal&lt;&gt;"",_xlpm.MacVal,_xlpm.CSVVal&lt;&gt;"",PROPER(_xlpm.CSVVal)
)),"")</f>
        <v/>
      </c>
      <c r="H131" s="2" t="str" cm="1">
        <f t="array" ref="H131">IFERROR(_xlfn.LET(
_xlpm.CSVVal,_xlfn.XLOOKUP($A131,CSV!$A:$A,CSV!H:H,""),
_xlpm.MacVal,_xlfn.XLOOKUP($A131,Output_Mac!$A:$A,Output_Mac!H:H,""),
_xlpm.MyAuditVal,_xlfn.XLOOKUP($A131,My_Audit!$A:$A,My_Audit!G:G,""),
_xlfn.IFS(_xlpm.MyAuditVal&lt;&gt;"",_xlpm.MyAuditVal,_xlpm.MacVal&lt;&gt;"",_xlpm.MacVal,_xlpm.CSVVal&lt;&gt;"",_xlpm.CSVVal
)),"")</f>
        <v/>
      </c>
      <c r="I131" s="2" t="str">
        <f>_xlfn.XLOOKUP(A131,Output_Mac!A:A,Output_Mac!I:I,"")</f>
        <v/>
      </c>
      <c r="J131" s="2" t="str" cm="1">
        <f t="array" ref="J131">IFERROR(_xlfn.LET(
_xlpm.CSVVal,_xlfn.XLOOKUP($A131,CSV!$A:$A,CSV!I:I,""),
_xlpm.MacVal,_xlfn.XLOOKUP($A131,Output_Mac!$A:$A,Output_Mac!J:J,""),
_xlpm.MyAuditVal,_xlfn.XLOOKUP($A131,My_Audit!$A:$A,My_Audit!I:I,""),
_xlfn.IFS(_xlpm.MyAuditVal&lt;&gt;"",UPPER(_xlpm.MyAuditVal),_xlpm.MacVal&lt;&gt;"",_xlpm.MacVal,_xlpm.CSVVal&lt;&gt;"",_xlpm.CSVVal
)),"")</f>
        <v/>
      </c>
      <c r="K131" s="2" t="str" cm="1">
        <f t="array" ref="K131">IFERROR(_xlfn.LET(
_xlpm.CSVVal,_xlfn.XLOOKUP($A131,CSV!$A:$A,CSV!K:K,""),
_xlpm.MacVal,_xlfn.XLOOKUP($A131,Output_Mac!$A:$A,Output_Mac!K:K,""),
_xlpm.MyAuditVal,_xlfn.XLOOKUP($A131,My_Audit!$A:$A,My_Audit!J:J,""),
_xlfn.IFS(_xlpm.MyAuditVal&lt;&gt;"",UPPER(_xlpm.MyAuditVal),_xlpm.MacVal&lt;&gt;"",_xlpm.MacVal,_xlpm.CSVVal&lt;&gt;"",_xlpm.CSVVal
)),"")</f>
        <v/>
      </c>
      <c r="L131" s="2" t="str" cm="1">
        <f t="array" ref="L131">IFERROR(_xlfn.LET(
_xlpm.CSVVal,_xlfn.XLOOKUP($A131,CSV!$A:$A,CSV!P:P,""),
_xlpm.MacVal,_xlfn.XLOOKUP($A131,Output_Mac!$A:$A,Output_Mac!L:L,""),
_xlpm.MyAuditVal,_xlfn.XLOOKUP($A131,My_Audit!$A:$A,My_Audit!K:K,""),
_xlfn.IFS(_xlpm.MyAuditVal&lt;&gt;"",UPPER(_xlpm.MyAuditVal),_xlpm.MacVal&lt;&gt;"",_xlpm.MacVal,_xlpm.CSVVal&lt;&gt;"",_xlpm.CSVVal
)),"")</f>
        <v/>
      </c>
      <c r="M131" s="2" t="str" cm="1">
        <f t="array" ref="M131">IFERROR(_xlfn.LET(
_xlpm.CSVVal,_xlfn.XLOOKUP($A131,CSV!$A:$A,CSV!Q:Q,""),
_xlpm.MacVal,_xlfn.XLOOKUP($A131,Output_Mac!$A:$A,Output_Mac!M:M,""),
_xlpm.MyAuditVal,_xlfn.XLOOKUP($A131,My_Audit!$A:$A,My_Audit!L:L,""),
_xlfn.IFS(_xlpm.MyAuditVal&lt;&gt;"",UPPER(_xlpm.MyAuditVal),_xlpm.MacVal&lt;&gt;"",_xlpm.MacVal,_xlpm.CSVVal&lt;&gt;"",_xlpm.CSVVal
)),"")</f>
        <v/>
      </c>
      <c r="O131" s="2" t="str">
        <f>_xlfn.LET(
    _xlpm.CSVVal, _xlfn.XLOOKUP($A131, CSV!$A:$A, CSV!AA:AA, ""),
    _xlpm.MacVal, _xlfn.XLOOKUP($A131, Output_Mac!$A:$A, Output_Mac!S:S, ""),
    _xlpm.MyAuditVal, _xlfn.XLOOKUP($A131, My_Audit!$A:$A, My_Audit!P:P, ""),
    _xlfn.TEXTJOIN(", ", TRUE, _xlpm.MyAuditVal, _xlpm.MacVal, _xlpm.CSVVal)
)</f>
        <v/>
      </c>
      <c r="P131" s="2" t="str" cm="1">
        <f t="array" ref="P131">IFERROR(_xlfn.LET(
_xlpm.CSVVal,_xlfn.XLOOKUP($A131,CSV!$A:$A,CSV!AB:AB,""),
_xlpm.MacVal,_xlfn.XLOOKUP($A131,Output_Mac!$A:$A,Output_Mac!T:T,""),
_xlpm.MyAuditVal,_xlfn.XLOOKUP($A131,My_Audit!$A:$A,My_Audit!Q:Q,""),
_xlfn.IFS(_xlpm.MyAuditVal&lt;&gt;"",UPPER(_xlpm.MyAuditVal),_xlpm.MacVal&lt;&gt;"",_xlpm.MacVal,_xlpm.CSVVal&lt;&gt;"",_xlpm.CSVVal
)),"No")</f>
        <v>No</v>
      </c>
      <c r="Q131" s="2" t="str" cm="1">
        <f t="array" ref="Q131">IFERROR(_xlfn.LET(
_xlpm.CSVVal,_xlfn.XLOOKUP($A131,CSV!$A:$A,CSV!AC:AC,""),
_xlpm.MacVal,_xlfn.XLOOKUP($A131,Output_Mac!$A:$A,Output_Mac!U:U,""),
_xlpm.MyAuditVal,_xlfn.XLOOKUP($A131,My_Audit!$A:$A,My_Audit!R:R,""),
_xlfn.IFS(_xlpm.MyAuditVal&lt;&gt;"",UPPER(_xlpm.MyAuditVal),_xlpm.MacVal&lt;&gt;"",_xlpm.MacVal,_xlpm.CSVVal&lt;&gt;"",_xlpm.CSVVal
)),"")</f>
        <v/>
      </c>
      <c r="X131" t="str">
        <f>_xlfn.LET(
    _xlpm.MacVal, _xlfn.XLOOKUP($A131, Output_Mac!$A:$A, Output_Mac!AB:AB, ""),
    _xlpm.MyAuditVal, _xlfn.XLOOKUP($A131, My_Audit!$A:$A, My_Audit!N:N, ""),
    _xlfn.TEXTJOIN(", ", TRUE, _xlpm.MyAuditVal, _xlpm.MacVal)
)</f>
        <v/>
      </c>
    </row>
    <row r="132" spans="1:24">
      <c r="A132" s="2" t="str">
        <f>_xlfn.TEXTJOIN("",TRUE,Input!$B$2,ROW(My_Audit!A131))</f>
        <v>X131</v>
      </c>
      <c r="B132" s="2" t="str">
        <f>_xlfn.TEXTJOIN("-",TRUE,"ITD",Input!$A$2,A132)</f>
        <v>ITD-SHR-X131</v>
      </c>
      <c r="C132" s="2" t="str" cm="1">
        <f t="array" ref="C132">IFERROR(_xlfn.LET(
_xlpm.CSVVal,_xlfn.XLOOKUP($A132,CSV!$A:$A,CSV!B:B,""),
_xlpm.MacVal,_xlfn.XLOOKUP($A132,Output_Mac!$A:$A,Output_Mac!B:B,""),
_xlpm.MyAuditVal,_xlfn.XLOOKUP($A132,My_Audit!$A:$A,My_Audit!B:B,""),
_xlfn.IFS(_xlpm.MyAuditVal&lt;&gt;"",UPPER(_xlpm.MyAuditVal),_xlpm.MacVal&lt;&gt;"",_xlpm.MacVal,_xlpm.CSVVal&lt;&gt;"",_xlpm.CSVVal
)),"")</f>
        <v/>
      </c>
      <c r="D132" s="2" t="str" cm="1">
        <f t="array" ref="D132">IFERROR(_xlfn.LET(
_xlpm.CSVVal,_xlfn.XLOOKUP($A132,CSV!$A:$A,CSV!D:D,""),
_xlpm.MacVal,_xlfn.XLOOKUP($A132,Output_Mac!$A:$A,Output_Mac!C:C,""),
_xlpm.MyAuditVal,_xlfn.XLOOKUP($A132,My_Audit!$A:$A,My_Audit!C:C,""),
_xlfn.IFS(_xlpm.MyAuditVal&lt;&gt;"",_xlpm.MyAuditVal,_xlpm.MacVal&lt;&gt;"",_xlpm.MacVal,_xlpm.CSVVal&lt;&gt;"",_xlpm.CSVVal
)),"")</f>
        <v/>
      </c>
      <c r="E132" s="2" t="str">
        <f>_xlfn.XLOOKUP(A132,My_Audit!A:A,My_Audit!D:D,"")</f>
        <v/>
      </c>
      <c r="F132" s="2" t="str" cm="1">
        <f t="array" ref="F132">IFERROR(_xlfn.LET(
_xlpm.CSVVal,_xlfn.XLOOKUP($A132,CSV!$A:$A,CSV!F:F,""),
_xlpm.MacVal,_xlfn.XLOOKUP($A132,Output_Mac!$A:$A,Output_Mac!E:E,""),
_xlpm.MyAuditVal,_xlfn.XLOOKUP($A132,My_Audit!$A:$A,My_Audit!E:E,""),
_xlfn.IFS(_xlpm.MyAuditVal&lt;&gt;"",_xlpm.MyAuditVal,_xlpm.MacVal&lt;&gt;"",_xlpm.MacVal,_xlpm.CSVVal&lt;&gt;"",_xlpm.CSVVal
)),"")</f>
        <v/>
      </c>
      <c r="G132" s="2" t="str" cm="1">
        <f t="array" ref="G132">IFERROR(_xlfn.LET(
_xlpm.CSVVal,_xlfn.XLOOKUP($A132,CSV!$A:$A,CSV!G:G,""),
_xlpm.MacVal,_xlfn.XLOOKUP($A132,Output_Mac!$A:$A,Output_Mac!F:F,""),
_xlpm.MyAuditVal,_xlfn.XLOOKUP($A132,My_Audit!$A:$A,My_Audit!F:F,""),
_xlfn.IFS(_xlpm.MyAuditVal&lt;&gt;"",_xlpm.MyAuditVal,_xlpm.MacVal&lt;&gt;"",_xlpm.MacVal,_xlpm.CSVVal&lt;&gt;"",PROPER(_xlpm.CSVVal)
)),"")</f>
        <v/>
      </c>
      <c r="H132" s="2" t="str" cm="1">
        <f t="array" ref="H132">IFERROR(_xlfn.LET(
_xlpm.CSVVal,_xlfn.XLOOKUP($A132,CSV!$A:$A,CSV!H:H,""),
_xlpm.MacVal,_xlfn.XLOOKUP($A132,Output_Mac!$A:$A,Output_Mac!H:H,""),
_xlpm.MyAuditVal,_xlfn.XLOOKUP($A132,My_Audit!$A:$A,My_Audit!G:G,""),
_xlfn.IFS(_xlpm.MyAuditVal&lt;&gt;"",_xlpm.MyAuditVal,_xlpm.MacVal&lt;&gt;"",_xlpm.MacVal,_xlpm.CSVVal&lt;&gt;"",_xlpm.CSVVal
)),"")</f>
        <v/>
      </c>
      <c r="I132" s="2" t="str">
        <f>_xlfn.XLOOKUP(A132,Output_Mac!A:A,Output_Mac!I:I,"")</f>
        <v/>
      </c>
      <c r="J132" s="2" t="str" cm="1">
        <f t="array" ref="J132">IFERROR(_xlfn.LET(
_xlpm.CSVVal,_xlfn.XLOOKUP($A132,CSV!$A:$A,CSV!I:I,""),
_xlpm.MacVal,_xlfn.XLOOKUP($A132,Output_Mac!$A:$A,Output_Mac!J:J,""),
_xlpm.MyAuditVal,_xlfn.XLOOKUP($A132,My_Audit!$A:$A,My_Audit!I:I,""),
_xlfn.IFS(_xlpm.MyAuditVal&lt;&gt;"",UPPER(_xlpm.MyAuditVal),_xlpm.MacVal&lt;&gt;"",_xlpm.MacVal,_xlpm.CSVVal&lt;&gt;"",_xlpm.CSVVal
)),"")</f>
        <v/>
      </c>
      <c r="K132" s="2" t="str" cm="1">
        <f t="array" ref="K132">IFERROR(_xlfn.LET(
_xlpm.CSVVal,_xlfn.XLOOKUP($A132,CSV!$A:$A,CSV!K:K,""),
_xlpm.MacVal,_xlfn.XLOOKUP($A132,Output_Mac!$A:$A,Output_Mac!K:K,""),
_xlpm.MyAuditVal,_xlfn.XLOOKUP($A132,My_Audit!$A:$A,My_Audit!J:J,""),
_xlfn.IFS(_xlpm.MyAuditVal&lt;&gt;"",UPPER(_xlpm.MyAuditVal),_xlpm.MacVal&lt;&gt;"",_xlpm.MacVal,_xlpm.CSVVal&lt;&gt;"",_xlpm.CSVVal
)),"")</f>
        <v/>
      </c>
      <c r="L132" s="2" t="str" cm="1">
        <f t="array" ref="L132">IFERROR(_xlfn.LET(
_xlpm.CSVVal,_xlfn.XLOOKUP($A132,CSV!$A:$A,CSV!P:P,""),
_xlpm.MacVal,_xlfn.XLOOKUP($A132,Output_Mac!$A:$A,Output_Mac!L:L,""),
_xlpm.MyAuditVal,_xlfn.XLOOKUP($A132,My_Audit!$A:$A,My_Audit!K:K,""),
_xlfn.IFS(_xlpm.MyAuditVal&lt;&gt;"",UPPER(_xlpm.MyAuditVal),_xlpm.MacVal&lt;&gt;"",_xlpm.MacVal,_xlpm.CSVVal&lt;&gt;"",_xlpm.CSVVal
)),"")</f>
        <v/>
      </c>
      <c r="M132" s="2" t="str" cm="1">
        <f t="array" ref="M132">IFERROR(_xlfn.LET(
_xlpm.CSVVal,_xlfn.XLOOKUP($A132,CSV!$A:$A,CSV!Q:Q,""),
_xlpm.MacVal,_xlfn.XLOOKUP($A132,Output_Mac!$A:$A,Output_Mac!M:M,""),
_xlpm.MyAuditVal,_xlfn.XLOOKUP($A132,My_Audit!$A:$A,My_Audit!L:L,""),
_xlfn.IFS(_xlpm.MyAuditVal&lt;&gt;"",UPPER(_xlpm.MyAuditVal),_xlpm.MacVal&lt;&gt;"",_xlpm.MacVal,_xlpm.CSVVal&lt;&gt;"",_xlpm.CSVVal
)),"")</f>
        <v/>
      </c>
      <c r="O132" s="2" t="str">
        <f>_xlfn.LET(
    _xlpm.CSVVal, _xlfn.XLOOKUP($A132, CSV!$A:$A, CSV!AA:AA, ""),
    _xlpm.MacVal, _xlfn.XLOOKUP($A132, Output_Mac!$A:$A, Output_Mac!S:S, ""),
    _xlpm.MyAuditVal, _xlfn.XLOOKUP($A132, My_Audit!$A:$A, My_Audit!P:P, ""),
    _xlfn.TEXTJOIN(", ", TRUE, _xlpm.MyAuditVal, _xlpm.MacVal, _xlpm.CSVVal)
)</f>
        <v/>
      </c>
      <c r="P132" s="2" t="str" cm="1">
        <f t="array" ref="P132">IFERROR(_xlfn.LET(
_xlpm.CSVVal,_xlfn.XLOOKUP($A132,CSV!$A:$A,CSV!AB:AB,""),
_xlpm.MacVal,_xlfn.XLOOKUP($A132,Output_Mac!$A:$A,Output_Mac!T:T,""),
_xlpm.MyAuditVal,_xlfn.XLOOKUP($A132,My_Audit!$A:$A,My_Audit!Q:Q,""),
_xlfn.IFS(_xlpm.MyAuditVal&lt;&gt;"",UPPER(_xlpm.MyAuditVal),_xlpm.MacVal&lt;&gt;"",_xlpm.MacVal,_xlpm.CSVVal&lt;&gt;"",_xlpm.CSVVal
)),"No")</f>
        <v>No</v>
      </c>
      <c r="Q132" s="2" t="str" cm="1">
        <f t="array" ref="Q132">IFERROR(_xlfn.LET(
_xlpm.CSVVal,_xlfn.XLOOKUP($A132,CSV!$A:$A,CSV!AC:AC,""),
_xlpm.MacVal,_xlfn.XLOOKUP($A132,Output_Mac!$A:$A,Output_Mac!U:U,""),
_xlpm.MyAuditVal,_xlfn.XLOOKUP($A132,My_Audit!$A:$A,My_Audit!R:R,""),
_xlfn.IFS(_xlpm.MyAuditVal&lt;&gt;"",UPPER(_xlpm.MyAuditVal),_xlpm.MacVal&lt;&gt;"",_xlpm.MacVal,_xlpm.CSVVal&lt;&gt;"",_xlpm.CSVVal
)),"")</f>
        <v/>
      </c>
      <c r="X132" t="str">
        <f>_xlfn.LET(
    _xlpm.MacVal, _xlfn.XLOOKUP($A132, Output_Mac!$A:$A, Output_Mac!AB:AB, ""),
    _xlpm.MyAuditVal, _xlfn.XLOOKUP($A132, My_Audit!$A:$A, My_Audit!N:N, ""),
    _xlfn.TEXTJOIN(", ", TRUE, _xlpm.MyAuditVal, _xlpm.MacVal)
)</f>
        <v/>
      </c>
    </row>
    <row r="133" spans="1:24">
      <c r="A133" s="2" t="str">
        <f>_xlfn.TEXTJOIN("",TRUE,Input!$B$2,ROW(My_Audit!A132))</f>
        <v>X132</v>
      </c>
      <c r="B133" s="2" t="str">
        <f>_xlfn.TEXTJOIN("-",TRUE,"ITD",Input!$A$2,A133)</f>
        <v>ITD-SHR-X132</v>
      </c>
      <c r="C133" s="2" t="str" cm="1">
        <f t="array" ref="C133">IFERROR(_xlfn.LET(
_xlpm.CSVVal,_xlfn.XLOOKUP($A133,CSV!$A:$A,CSV!B:B,""),
_xlpm.MacVal,_xlfn.XLOOKUP($A133,Output_Mac!$A:$A,Output_Mac!B:B,""),
_xlpm.MyAuditVal,_xlfn.XLOOKUP($A133,My_Audit!$A:$A,My_Audit!B:B,""),
_xlfn.IFS(_xlpm.MyAuditVal&lt;&gt;"",UPPER(_xlpm.MyAuditVal),_xlpm.MacVal&lt;&gt;"",_xlpm.MacVal,_xlpm.CSVVal&lt;&gt;"",_xlpm.CSVVal
)),"")</f>
        <v/>
      </c>
      <c r="D133" s="2" t="str" cm="1">
        <f t="array" ref="D133">IFERROR(_xlfn.LET(
_xlpm.CSVVal,_xlfn.XLOOKUP($A133,CSV!$A:$A,CSV!D:D,""),
_xlpm.MacVal,_xlfn.XLOOKUP($A133,Output_Mac!$A:$A,Output_Mac!C:C,""),
_xlpm.MyAuditVal,_xlfn.XLOOKUP($A133,My_Audit!$A:$A,My_Audit!C:C,""),
_xlfn.IFS(_xlpm.MyAuditVal&lt;&gt;"",_xlpm.MyAuditVal,_xlpm.MacVal&lt;&gt;"",_xlpm.MacVal,_xlpm.CSVVal&lt;&gt;"",_xlpm.CSVVal
)),"")</f>
        <v/>
      </c>
      <c r="E133" s="2" t="str">
        <f>_xlfn.XLOOKUP(A133,My_Audit!A:A,My_Audit!D:D,"")</f>
        <v/>
      </c>
      <c r="F133" s="2" t="str" cm="1">
        <f t="array" ref="F133">IFERROR(_xlfn.LET(
_xlpm.CSVVal,_xlfn.XLOOKUP($A133,CSV!$A:$A,CSV!F:F,""),
_xlpm.MacVal,_xlfn.XLOOKUP($A133,Output_Mac!$A:$A,Output_Mac!E:E,""),
_xlpm.MyAuditVal,_xlfn.XLOOKUP($A133,My_Audit!$A:$A,My_Audit!E:E,""),
_xlfn.IFS(_xlpm.MyAuditVal&lt;&gt;"",_xlpm.MyAuditVal,_xlpm.MacVal&lt;&gt;"",_xlpm.MacVal,_xlpm.CSVVal&lt;&gt;"",_xlpm.CSVVal
)),"")</f>
        <v/>
      </c>
      <c r="G133" s="2" t="str" cm="1">
        <f t="array" ref="G133">IFERROR(_xlfn.LET(
_xlpm.CSVVal,_xlfn.XLOOKUP($A133,CSV!$A:$A,CSV!G:G,""),
_xlpm.MacVal,_xlfn.XLOOKUP($A133,Output_Mac!$A:$A,Output_Mac!F:F,""),
_xlpm.MyAuditVal,_xlfn.XLOOKUP($A133,My_Audit!$A:$A,My_Audit!F:F,""),
_xlfn.IFS(_xlpm.MyAuditVal&lt;&gt;"",_xlpm.MyAuditVal,_xlpm.MacVal&lt;&gt;"",_xlpm.MacVal,_xlpm.CSVVal&lt;&gt;"",PROPER(_xlpm.CSVVal)
)),"")</f>
        <v/>
      </c>
      <c r="H133" s="2" t="str" cm="1">
        <f t="array" ref="H133">IFERROR(_xlfn.LET(
_xlpm.CSVVal,_xlfn.XLOOKUP($A133,CSV!$A:$A,CSV!H:H,""),
_xlpm.MacVal,_xlfn.XLOOKUP($A133,Output_Mac!$A:$A,Output_Mac!H:H,""),
_xlpm.MyAuditVal,_xlfn.XLOOKUP($A133,My_Audit!$A:$A,My_Audit!G:G,""),
_xlfn.IFS(_xlpm.MyAuditVal&lt;&gt;"",_xlpm.MyAuditVal,_xlpm.MacVal&lt;&gt;"",_xlpm.MacVal,_xlpm.CSVVal&lt;&gt;"",_xlpm.CSVVal
)),"")</f>
        <v/>
      </c>
      <c r="I133" s="2" t="str">
        <f>_xlfn.XLOOKUP(A133,Output_Mac!A:A,Output_Mac!I:I,"")</f>
        <v/>
      </c>
      <c r="J133" s="2" t="str" cm="1">
        <f t="array" ref="J133">IFERROR(_xlfn.LET(
_xlpm.CSVVal,_xlfn.XLOOKUP($A133,CSV!$A:$A,CSV!I:I,""),
_xlpm.MacVal,_xlfn.XLOOKUP($A133,Output_Mac!$A:$A,Output_Mac!J:J,""),
_xlpm.MyAuditVal,_xlfn.XLOOKUP($A133,My_Audit!$A:$A,My_Audit!I:I,""),
_xlfn.IFS(_xlpm.MyAuditVal&lt;&gt;"",UPPER(_xlpm.MyAuditVal),_xlpm.MacVal&lt;&gt;"",_xlpm.MacVal,_xlpm.CSVVal&lt;&gt;"",_xlpm.CSVVal
)),"")</f>
        <v/>
      </c>
      <c r="K133" s="2" t="str" cm="1">
        <f t="array" ref="K133">IFERROR(_xlfn.LET(
_xlpm.CSVVal,_xlfn.XLOOKUP($A133,CSV!$A:$A,CSV!K:K,""),
_xlpm.MacVal,_xlfn.XLOOKUP($A133,Output_Mac!$A:$A,Output_Mac!K:K,""),
_xlpm.MyAuditVal,_xlfn.XLOOKUP($A133,My_Audit!$A:$A,My_Audit!J:J,""),
_xlfn.IFS(_xlpm.MyAuditVal&lt;&gt;"",UPPER(_xlpm.MyAuditVal),_xlpm.MacVal&lt;&gt;"",_xlpm.MacVal,_xlpm.CSVVal&lt;&gt;"",_xlpm.CSVVal
)),"")</f>
        <v/>
      </c>
      <c r="L133" s="2" t="str" cm="1">
        <f t="array" ref="L133">IFERROR(_xlfn.LET(
_xlpm.CSVVal,_xlfn.XLOOKUP($A133,CSV!$A:$A,CSV!P:P,""),
_xlpm.MacVal,_xlfn.XLOOKUP($A133,Output_Mac!$A:$A,Output_Mac!L:L,""),
_xlpm.MyAuditVal,_xlfn.XLOOKUP($A133,My_Audit!$A:$A,My_Audit!K:K,""),
_xlfn.IFS(_xlpm.MyAuditVal&lt;&gt;"",UPPER(_xlpm.MyAuditVal),_xlpm.MacVal&lt;&gt;"",_xlpm.MacVal,_xlpm.CSVVal&lt;&gt;"",_xlpm.CSVVal
)),"")</f>
        <v/>
      </c>
      <c r="M133" s="2" t="str" cm="1">
        <f t="array" ref="M133">IFERROR(_xlfn.LET(
_xlpm.CSVVal,_xlfn.XLOOKUP($A133,CSV!$A:$A,CSV!Q:Q,""),
_xlpm.MacVal,_xlfn.XLOOKUP($A133,Output_Mac!$A:$A,Output_Mac!M:M,""),
_xlpm.MyAuditVal,_xlfn.XLOOKUP($A133,My_Audit!$A:$A,My_Audit!L:L,""),
_xlfn.IFS(_xlpm.MyAuditVal&lt;&gt;"",UPPER(_xlpm.MyAuditVal),_xlpm.MacVal&lt;&gt;"",_xlpm.MacVal,_xlpm.CSVVal&lt;&gt;"",_xlpm.CSVVal
)),"")</f>
        <v/>
      </c>
      <c r="O133" s="2" t="str">
        <f>_xlfn.LET(
    _xlpm.CSVVal, _xlfn.XLOOKUP($A133, CSV!$A:$A, CSV!AA:AA, ""),
    _xlpm.MacVal, _xlfn.XLOOKUP($A133, Output_Mac!$A:$A, Output_Mac!S:S, ""),
    _xlpm.MyAuditVal, _xlfn.XLOOKUP($A133, My_Audit!$A:$A, My_Audit!P:P, ""),
    _xlfn.TEXTJOIN(", ", TRUE, _xlpm.MyAuditVal, _xlpm.MacVal, _xlpm.CSVVal)
)</f>
        <v/>
      </c>
      <c r="P133" s="2" t="str" cm="1">
        <f t="array" ref="P133">IFERROR(_xlfn.LET(
_xlpm.CSVVal,_xlfn.XLOOKUP($A133,CSV!$A:$A,CSV!AB:AB,""),
_xlpm.MacVal,_xlfn.XLOOKUP($A133,Output_Mac!$A:$A,Output_Mac!T:T,""),
_xlpm.MyAuditVal,_xlfn.XLOOKUP($A133,My_Audit!$A:$A,My_Audit!Q:Q,""),
_xlfn.IFS(_xlpm.MyAuditVal&lt;&gt;"",UPPER(_xlpm.MyAuditVal),_xlpm.MacVal&lt;&gt;"",_xlpm.MacVal,_xlpm.CSVVal&lt;&gt;"",_xlpm.CSVVal
)),"No")</f>
        <v>No</v>
      </c>
      <c r="Q133" s="2" t="str" cm="1">
        <f t="array" ref="Q133">IFERROR(_xlfn.LET(
_xlpm.CSVVal,_xlfn.XLOOKUP($A133,CSV!$A:$A,CSV!AC:AC,""),
_xlpm.MacVal,_xlfn.XLOOKUP($A133,Output_Mac!$A:$A,Output_Mac!U:U,""),
_xlpm.MyAuditVal,_xlfn.XLOOKUP($A133,My_Audit!$A:$A,My_Audit!R:R,""),
_xlfn.IFS(_xlpm.MyAuditVal&lt;&gt;"",UPPER(_xlpm.MyAuditVal),_xlpm.MacVal&lt;&gt;"",_xlpm.MacVal,_xlpm.CSVVal&lt;&gt;"",_xlpm.CSVVal
)),"")</f>
        <v/>
      </c>
      <c r="X133" t="str">
        <f>_xlfn.LET(
    _xlpm.MacVal, _xlfn.XLOOKUP($A133, Output_Mac!$A:$A, Output_Mac!AB:AB, ""),
    _xlpm.MyAuditVal, _xlfn.XLOOKUP($A133, My_Audit!$A:$A, My_Audit!N:N, ""),
    _xlfn.TEXTJOIN(", ", TRUE, _xlpm.MyAuditVal, _xlpm.MacVal)
)</f>
        <v/>
      </c>
    </row>
    <row r="134" spans="1:24">
      <c r="A134" s="2" t="str">
        <f>_xlfn.TEXTJOIN("",TRUE,Input!$B$2,ROW(My_Audit!A133))</f>
        <v>X133</v>
      </c>
      <c r="B134" s="2" t="str">
        <f>_xlfn.TEXTJOIN("-",TRUE,"ITD",Input!$A$2,A134)</f>
        <v>ITD-SHR-X133</v>
      </c>
      <c r="C134" s="2" t="str" cm="1">
        <f t="array" ref="C134">IFERROR(_xlfn.LET(
_xlpm.CSVVal,_xlfn.XLOOKUP($A134,CSV!$A:$A,CSV!B:B,""),
_xlpm.MacVal,_xlfn.XLOOKUP($A134,Output_Mac!$A:$A,Output_Mac!B:B,""),
_xlpm.MyAuditVal,_xlfn.XLOOKUP($A134,My_Audit!$A:$A,My_Audit!B:B,""),
_xlfn.IFS(_xlpm.MyAuditVal&lt;&gt;"",UPPER(_xlpm.MyAuditVal),_xlpm.MacVal&lt;&gt;"",_xlpm.MacVal,_xlpm.CSVVal&lt;&gt;"",_xlpm.CSVVal
)),"")</f>
        <v/>
      </c>
      <c r="D134" s="2" t="str" cm="1">
        <f t="array" ref="D134">IFERROR(_xlfn.LET(
_xlpm.CSVVal,_xlfn.XLOOKUP($A134,CSV!$A:$A,CSV!D:D,""),
_xlpm.MacVal,_xlfn.XLOOKUP($A134,Output_Mac!$A:$A,Output_Mac!C:C,""),
_xlpm.MyAuditVal,_xlfn.XLOOKUP($A134,My_Audit!$A:$A,My_Audit!C:C,""),
_xlfn.IFS(_xlpm.MyAuditVal&lt;&gt;"",_xlpm.MyAuditVal,_xlpm.MacVal&lt;&gt;"",_xlpm.MacVal,_xlpm.CSVVal&lt;&gt;"",_xlpm.CSVVal
)),"")</f>
        <v/>
      </c>
      <c r="E134" s="2" t="str">
        <f>_xlfn.XLOOKUP(A134,My_Audit!A:A,My_Audit!D:D,"")</f>
        <v/>
      </c>
      <c r="F134" s="2" t="str" cm="1">
        <f t="array" ref="F134">IFERROR(_xlfn.LET(
_xlpm.CSVVal,_xlfn.XLOOKUP($A134,CSV!$A:$A,CSV!F:F,""),
_xlpm.MacVal,_xlfn.XLOOKUP($A134,Output_Mac!$A:$A,Output_Mac!E:E,""),
_xlpm.MyAuditVal,_xlfn.XLOOKUP($A134,My_Audit!$A:$A,My_Audit!E:E,""),
_xlfn.IFS(_xlpm.MyAuditVal&lt;&gt;"",_xlpm.MyAuditVal,_xlpm.MacVal&lt;&gt;"",_xlpm.MacVal,_xlpm.CSVVal&lt;&gt;"",_xlpm.CSVVal
)),"")</f>
        <v/>
      </c>
      <c r="G134" s="2" t="str" cm="1">
        <f t="array" ref="G134">IFERROR(_xlfn.LET(
_xlpm.CSVVal,_xlfn.XLOOKUP($A134,CSV!$A:$A,CSV!G:G,""),
_xlpm.MacVal,_xlfn.XLOOKUP($A134,Output_Mac!$A:$A,Output_Mac!F:F,""),
_xlpm.MyAuditVal,_xlfn.XLOOKUP($A134,My_Audit!$A:$A,My_Audit!F:F,""),
_xlfn.IFS(_xlpm.MyAuditVal&lt;&gt;"",_xlpm.MyAuditVal,_xlpm.MacVal&lt;&gt;"",_xlpm.MacVal,_xlpm.CSVVal&lt;&gt;"",PROPER(_xlpm.CSVVal)
)),"")</f>
        <v/>
      </c>
      <c r="H134" s="2" t="str" cm="1">
        <f t="array" ref="H134">IFERROR(_xlfn.LET(
_xlpm.CSVVal,_xlfn.XLOOKUP($A134,CSV!$A:$A,CSV!H:H,""),
_xlpm.MacVal,_xlfn.XLOOKUP($A134,Output_Mac!$A:$A,Output_Mac!H:H,""),
_xlpm.MyAuditVal,_xlfn.XLOOKUP($A134,My_Audit!$A:$A,My_Audit!G:G,""),
_xlfn.IFS(_xlpm.MyAuditVal&lt;&gt;"",_xlpm.MyAuditVal,_xlpm.MacVal&lt;&gt;"",_xlpm.MacVal,_xlpm.CSVVal&lt;&gt;"",_xlpm.CSVVal
)),"")</f>
        <v/>
      </c>
      <c r="I134" s="2" t="str">
        <f>_xlfn.XLOOKUP(A134,Output_Mac!A:A,Output_Mac!I:I,"")</f>
        <v/>
      </c>
      <c r="J134" s="2" t="str" cm="1">
        <f t="array" ref="J134">IFERROR(_xlfn.LET(
_xlpm.CSVVal,_xlfn.XLOOKUP($A134,CSV!$A:$A,CSV!I:I,""),
_xlpm.MacVal,_xlfn.XLOOKUP($A134,Output_Mac!$A:$A,Output_Mac!J:J,""),
_xlpm.MyAuditVal,_xlfn.XLOOKUP($A134,My_Audit!$A:$A,My_Audit!I:I,""),
_xlfn.IFS(_xlpm.MyAuditVal&lt;&gt;"",UPPER(_xlpm.MyAuditVal),_xlpm.MacVal&lt;&gt;"",_xlpm.MacVal,_xlpm.CSVVal&lt;&gt;"",_xlpm.CSVVal
)),"")</f>
        <v/>
      </c>
      <c r="K134" s="2" t="str" cm="1">
        <f t="array" ref="K134">IFERROR(_xlfn.LET(
_xlpm.CSVVal,_xlfn.XLOOKUP($A134,CSV!$A:$A,CSV!K:K,""),
_xlpm.MacVal,_xlfn.XLOOKUP($A134,Output_Mac!$A:$A,Output_Mac!K:K,""),
_xlpm.MyAuditVal,_xlfn.XLOOKUP($A134,My_Audit!$A:$A,My_Audit!J:J,""),
_xlfn.IFS(_xlpm.MyAuditVal&lt;&gt;"",UPPER(_xlpm.MyAuditVal),_xlpm.MacVal&lt;&gt;"",_xlpm.MacVal,_xlpm.CSVVal&lt;&gt;"",_xlpm.CSVVal
)),"")</f>
        <v/>
      </c>
      <c r="L134" s="2" t="str" cm="1">
        <f t="array" ref="L134">IFERROR(_xlfn.LET(
_xlpm.CSVVal,_xlfn.XLOOKUP($A134,CSV!$A:$A,CSV!P:P,""),
_xlpm.MacVal,_xlfn.XLOOKUP($A134,Output_Mac!$A:$A,Output_Mac!L:L,""),
_xlpm.MyAuditVal,_xlfn.XLOOKUP($A134,My_Audit!$A:$A,My_Audit!K:K,""),
_xlfn.IFS(_xlpm.MyAuditVal&lt;&gt;"",UPPER(_xlpm.MyAuditVal),_xlpm.MacVal&lt;&gt;"",_xlpm.MacVal,_xlpm.CSVVal&lt;&gt;"",_xlpm.CSVVal
)),"")</f>
        <v/>
      </c>
      <c r="M134" s="2" t="str" cm="1">
        <f t="array" ref="M134">IFERROR(_xlfn.LET(
_xlpm.CSVVal,_xlfn.XLOOKUP($A134,CSV!$A:$A,CSV!Q:Q,""),
_xlpm.MacVal,_xlfn.XLOOKUP($A134,Output_Mac!$A:$A,Output_Mac!M:M,""),
_xlpm.MyAuditVal,_xlfn.XLOOKUP($A134,My_Audit!$A:$A,My_Audit!L:L,""),
_xlfn.IFS(_xlpm.MyAuditVal&lt;&gt;"",UPPER(_xlpm.MyAuditVal),_xlpm.MacVal&lt;&gt;"",_xlpm.MacVal,_xlpm.CSVVal&lt;&gt;"",_xlpm.CSVVal
)),"")</f>
        <v/>
      </c>
      <c r="O134" s="2" t="str">
        <f>_xlfn.LET(
    _xlpm.CSVVal, _xlfn.XLOOKUP($A134, CSV!$A:$A, CSV!AA:AA, ""),
    _xlpm.MacVal, _xlfn.XLOOKUP($A134, Output_Mac!$A:$A, Output_Mac!S:S, ""),
    _xlpm.MyAuditVal, _xlfn.XLOOKUP($A134, My_Audit!$A:$A, My_Audit!P:P, ""),
    _xlfn.TEXTJOIN(", ", TRUE, _xlpm.MyAuditVal, _xlpm.MacVal, _xlpm.CSVVal)
)</f>
        <v/>
      </c>
      <c r="P134" s="2" t="str" cm="1">
        <f t="array" ref="P134">IFERROR(_xlfn.LET(
_xlpm.CSVVal,_xlfn.XLOOKUP($A134,CSV!$A:$A,CSV!AB:AB,""),
_xlpm.MacVal,_xlfn.XLOOKUP($A134,Output_Mac!$A:$A,Output_Mac!T:T,""),
_xlpm.MyAuditVal,_xlfn.XLOOKUP($A134,My_Audit!$A:$A,My_Audit!Q:Q,""),
_xlfn.IFS(_xlpm.MyAuditVal&lt;&gt;"",UPPER(_xlpm.MyAuditVal),_xlpm.MacVal&lt;&gt;"",_xlpm.MacVal,_xlpm.CSVVal&lt;&gt;"",_xlpm.CSVVal
)),"No")</f>
        <v>No</v>
      </c>
      <c r="Q134" s="2" t="str" cm="1">
        <f t="array" ref="Q134">IFERROR(_xlfn.LET(
_xlpm.CSVVal,_xlfn.XLOOKUP($A134,CSV!$A:$A,CSV!AC:AC,""),
_xlpm.MacVal,_xlfn.XLOOKUP($A134,Output_Mac!$A:$A,Output_Mac!U:U,""),
_xlpm.MyAuditVal,_xlfn.XLOOKUP($A134,My_Audit!$A:$A,My_Audit!R:R,""),
_xlfn.IFS(_xlpm.MyAuditVal&lt;&gt;"",UPPER(_xlpm.MyAuditVal),_xlpm.MacVal&lt;&gt;"",_xlpm.MacVal,_xlpm.CSVVal&lt;&gt;"",_xlpm.CSVVal
)),"")</f>
        <v/>
      </c>
      <c r="X134" t="str">
        <f>_xlfn.LET(
    _xlpm.MacVal, _xlfn.XLOOKUP($A134, Output_Mac!$A:$A, Output_Mac!AB:AB, ""),
    _xlpm.MyAuditVal, _xlfn.XLOOKUP($A134, My_Audit!$A:$A, My_Audit!N:N, ""),
    _xlfn.TEXTJOIN(", ", TRUE, _xlpm.MyAuditVal, _xlpm.MacVal)
)</f>
        <v/>
      </c>
    </row>
    <row r="135" spans="1:24">
      <c r="A135" s="2" t="str">
        <f>_xlfn.TEXTJOIN("",TRUE,Input!$B$2,ROW(My_Audit!A134))</f>
        <v>X134</v>
      </c>
      <c r="B135" s="2" t="str">
        <f>_xlfn.TEXTJOIN("-",TRUE,"ITD",Input!$A$2,A135)</f>
        <v>ITD-SHR-X134</v>
      </c>
      <c r="C135" s="2" t="str" cm="1">
        <f t="array" ref="C135">IFERROR(_xlfn.LET(
_xlpm.CSVVal,_xlfn.XLOOKUP($A135,CSV!$A:$A,CSV!B:B,""),
_xlpm.MacVal,_xlfn.XLOOKUP($A135,Output_Mac!$A:$A,Output_Mac!B:B,""),
_xlpm.MyAuditVal,_xlfn.XLOOKUP($A135,My_Audit!$A:$A,My_Audit!B:B,""),
_xlfn.IFS(_xlpm.MyAuditVal&lt;&gt;"",UPPER(_xlpm.MyAuditVal),_xlpm.MacVal&lt;&gt;"",_xlpm.MacVal,_xlpm.CSVVal&lt;&gt;"",_xlpm.CSVVal
)),"")</f>
        <v/>
      </c>
      <c r="D135" s="2" t="str" cm="1">
        <f t="array" ref="D135">IFERROR(_xlfn.LET(
_xlpm.CSVVal,_xlfn.XLOOKUP($A135,CSV!$A:$A,CSV!D:D,""),
_xlpm.MacVal,_xlfn.XLOOKUP($A135,Output_Mac!$A:$A,Output_Mac!C:C,""),
_xlpm.MyAuditVal,_xlfn.XLOOKUP($A135,My_Audit!$A:$A,My_Audit!C:C,""),
_xlfn.IFS(_xlpm.MyAuditVal&lt;&gt;"",_xlpm.MyAuditVal,_xlpm.MacVal&lt;&gt;"",_xlpm.MacVal,_xlpm.CSVVal&lt;&gt;"",_xlpm.CSVVal
)),"")</f>
        <v/>
      </c>
      <c r="E135" s="2" t="str">
        <f>_xlfn.XLOOKUP(A135,My_Audit!A:A,My_Audit!D:D,"")</f>
        <v/>
      </c>
      <c r="F135" s="2" t="str" cm="1">
        <f t="array" ref="F135">IFERROR(_xlfn.LET(
_xlpm.CSVVal,_xlfn.XLOOKUP($A135,CSV!$A:$A,CSV!F:F,""),
_xlpm.MacVal,_xlfn.XLOOKUP($A135,Output_Mac!$A:$A,Output_Mac!E:E,""),
_xlpm.MyAuditVal,_xlfn.XLOOKUP($A135,My_Audit!$A:$A,My_Audit!E:E,""),
_xlfn.IFS(_xlpm.MyAuditVal&lt;&gt;"",_xlpm.MyAuditVal,_xlpm.MacVal&lt;&gt;"",_xlpm.MacVal,_xlpm.CSVVal&lt;&gt;"",_xlpm.CSVVal
)),"")</f>
        <v/>
      </c>
      <c r="G135" s="2" t="str" cm="1">
        <f t="array" ref="G135">IFERROR(_xlfn.LET(
_xlpm.CSVVal,_xlfn.XLOOKUP($A135,CSV!$A:$A,CSV!G:G,""),
_xlpm.MacVal,_xlfn.XLOOKUP($A135,Output_Mac!$A:$A,Output_Mac!F:F,""),
_xlpm.MyAuditVal,_xlfn.XLOOKUP($A135,My_Audit!$A:$A,My_Audit!F:F,""),
_xlfn.IFS(_xlpm.MyAuditVal&lt;&gt;"",_xlpm.MyAuditVal,_xlpm.MacVal&lt;&gt;"",_xlpm.MacVal,_xlpm.CSVVal&lt;&gt;"",PROPER(_xlpm.CSVVal)
)),"")</f>
        <v/>
      </c>
      <c r="H135" s="2" t="str" cm="1">
        <f t="array" ref="H135">IFERROR(_xlfn.LET(
_xlpm.CSVVal,_xlfn.XLOOKUP($A135,CSV!$A:$A,CSV!H:H,""),
_xlpm.MacVal,_xlfn.XLOOKUP($A135,Output_Mac!$A:$A,Output_Mac!H:H,""),
_xlpm.MyAuditVal,_xlfn.XLOOKUP($A135,My_Audit!$A:$A,My_Audit!G:G,""),
_xlfn.IFS(_xlpm.MyAuditVal&lt;&gt;"",_xlpm.MyAuditVal,_xlpm.MacVal&lt;&gt;"",_xlpm.MacVal,_xlpm.CSVVal&lt;&gt;"",_xlpm.CSVVal
)),"")</f>
        <v/>
      </c>
      <c r="I135" s="2" t="str">
        <f>_xlfn.XLOOKUP(A135,Output_Mac!A:A,Output_Mac!I:I,"")</f>
        <v/>
      </c>
      <c r="J135" s="2" t="str" cm="1">
        <f t="array" ref="J135">IFERROR(_xlfn.LET(
_xlpm.CSVVal,_xlfn.XLOOKUP($A135,CSV!$A:$A,CSV!I:I,""),
_xlpm.MacVal,_xlfn.XLOOKUP($A135,Output_Mac!$A:$A,Output_Mac!J:J,""),
_xlpm.MyAuditVal,_xlfn.XLOOKUP($A135,My_Audit!$A:$A,My_Audit!I:I,""),
_xlfn.IFS(_xlpm.MyAuditVal&lt;&gt;"",UPPER(_xlpm.MyAuditVal),_xlpm.MacVal&lt;&gt;"",_xlpm.MacVal,_xlpm.CSVVal&lt;&gt;"",_xlpm.CSVVal
)),"")</f>
        <v/>
      </c>
      <c r="K135" s="2" t="str" cm="1">
        <f t="array" ref="K135">IFERROR(_xlfn.LET(
_xlpm.CSVVal,_xlfn.XLOOKUP($A135,CSV!$A:$A,CSV!K:K,""),
_xlpm.MacVal,_xlfn.XLOOKUP($A135,Output_Mac!$A:$A,Output_Mac!K:K,""),
_xlpm.MyAuditVal,_xlfn.XLOOKUP($A135,My_Audit!$A:$A,My_Audit!J:J,""),
_xlfn.IFS(_xlpm.MyAuditVal&lt;&gt;"",UPPER(_xlpm.MyAuditVal),_xlpm.MacVal&lt;&gt;"",_xlpm.MacVal,_xlpm.CSVVal&lt;&gt;"",_xlpm.CSVVal
)),"")</f>
        <v/>
      </c>
      <c r="L135" s="2" t="str" cm="1">
        <f t="array" ref="L135">IFERROR(_xlfn.LET(
_xlpm.CSVVal,_xlfn.XLOOKUP($A135,CSV!$A:$A,CSV!P:P,""),
_xlpm.MacVal,_xlfn.XLOOKUP($A135,Output_Mac!$A:$A,Output_Mac!L:L,""),
_xlpm.MyAuditVal,_xlfn.XLOOKUP($A135,My_Audit!$A:$A,My_Audit!K:K,""),
_xlfn.IFS(_xlpm.MyAuditVal&lt;&gt;"",UPPER(_xlpm.MyAuditVal),_xlpm.MacVal&lt;&gt;"",_xlpm.MacVal,_xlpm.CSVVal&lt;&gt;"",_xlpm.CSVVal
)),"")</f>
        <v/>
      </c>
      <c r="M135" s="2" t="str" cm="1">
        <f t="array" ref="M135">IFERROR(_xlfn.LET(
_xlpm.CSVVal,_xlfn.XLOOKUP($A135,CSV!$A:$A,CSV!Q:Q,""),
_xlpm.MacVal,_xlfn.XLOOKUP($A135,Output_Mac!$A:$A,Output_Mac!M:M,""),
_xlpm.MyAuditVal,_xlfn.XLOOKUP($A135,My_Audit!$A:$A,My_Audit!L:L,""),
_xlfn.IFS(_xlpm.MyAuditVal&lt;&gt;"",UPPER(_xlpm.MyAuditVal),_xlpm.MacVal&lt;&gt;"",_xlpm.MacVal,_xlpm.CSVVal&lt;&gt;"",_xlpm.CSVVal
)),"")</f>
        <v/>
      </c>
      <c r="O135" s="2" t="str">
        <f>_xlfn.LET(
    _xlpm.CSVVal, _xlfn.XLOOKUP($A135, CSV!$A:$A, CSV!AA:AA, ""),
    _xlpm.MacVal, _xlfn.XLOOKUP($A135, Output_Mac!$A:$A, Output_Mac!S:S, ""),
    _xlpm.MyAuditVal, _xlfn.XLOOKUP($A135, My_Audit!$A:$A, My_Audit!P:P, ""),
    _xlfn.TEXTJOIN(", ", TRUE, _xlpm.MyAuditVal, _xlpm.MacVal, _xlpm.CSVVal)
)</f>
        <v/>
      </c>
      <c r="P135" s="2" t="str" cm="1">
        <f t="array" ref="P135">IFERROR(_xlfn.LET(
_xlpm.CSVVal,_xlfn.XLOOKUP($A135,CSV!$A:$A,CSV!AB:AB,""),
_xlpm.MacVal,_xlfn.XLOOKUP($A135,Output_Mac!$A:$A,Output_Mac!T:T,""),
_xlpm.MyAuditVal,_xlfn.XLOOKUP($A135,My_Audit!$A:$A,My_Audit!Q:Q,""),
_xlfn.IFS(_xlpm.MyAuditVal&lt;&gt;"",UPPER(_xlpm.MyAuditVal),_xlpm.MacVal&lt;&gt;"",_xlpm.MacVal,_xlpm.CSVVal&lt;&gt;"",_xlpm.CSVVal
)),"No")</f>
        <v>No</v>
      </c>
      <c r="Q135" s="2" t="str" cm="1">
        <f t="array" ref="Q135">IFERROR(_xlfn.LET(
_xlpm.CSVVal,_xlfn.XLOOKUP($A135,CSV!$A:$A,CSV!AC:AC,""),
_xlpm.MacVal,_xlfn.XLOOKUP($A135,Output_Mac!$A:$A,Output_Mac!U:U,""),
_xlpm.MyAuditVal,_xlfn.XLOOKUP($A135,My_Audit!$A:$A,My_Audit!R:R,""),
_xlfn.IFS(_xlpm.MyAuditVal&lt;&gt;"",UPPER(_xlpm.MyAuditVal),_xlpm.MacVal&lt;&gt;"",_xlpm.MacVal,_xlpm.CSVVal&lt;&gt;"",_xlpm.CSVVal
)),"")</f>
        <v/>
      </c>
      <c r="X135" t="str">
        <f>_xlfn.LET(
    _xlpm.MacVal, _xlfn.XLOOKUP($A135, Output_Mac!$A:$A, Output_Mac!AB:AB, ""),
    _xlpm.MyAuditVal, _xlfn.XLOOKUP($A135, My_Audit!$A:$A, My_Audit!N:N, ""),
    _xlfn.TEXTJOIN(", ", TRUE, _xlpm.MyAuditVal, _xlpm.MacVal)
)</f>
        <v/>
      </c>
    </row>
    <row r="136" spans="1:24">
      <c r="A136" s="2" t="str">
        <f>_xlfn.TEXTJOIN("",TRUE,Input!$B$2,ROW(My_Audit!A135))</f>
        <v>X135</v>
      </c>
      <c r="B136" s="2" t="str">
        <f>_xlfn.TEXTJOIN("-",TRUE,"ITD",Input!$A$2,A136)</f>
        <v>ITD-SHR-X135</v>
      </c>
      <c r="C136" s="2" t="str" cm="1">
        <f t="array" ref="C136">IFERROR(_xlfn.LET(
_xlpm.CSVVal,_xlfn.XLOOKUP($A136,CSV!$A:$A,CSV!B:B,""),
_xlpm.MacVal,_xlfn.XLOOKUP($A136,Output_Mac!$A:$A,Output_Mac!B:B,""),
_xlpm.MyAuditVal,_xlfn.XLOOKUP($A136,My_Audit!$A:$A,My_Audit!B:B,""),
_xlfn.IFS(_xlpm.MyAuditVal&lt;&gt;"",UPPER(_xlpm.MyAuditVal),_xlpm.MacVal&lt;&gt;"",_xlpm.MacVal,_xlpm.CSVVal&lt;&gt;"",_xlpm.CSVVal
)),"")</f>
        <v/>
      </c>
      <c r="D136" s="2" t="str" cm="1">
        <f t="array" ref="D136">IFERROR(_xlfn.LET(
_xlpm.CSVVal,_xlfn.XLOOKUP($A136,CSV!$A:$A,CSV!D:D,""),
_xlpm.MacVal,_xlfn.XLOOKUP($A136,Output_Mac!$A:$A,Output_Mac!C:C,""),
_xlpm.MyAuditVal,_xlfn.XLOOKUP($A136,My_Audit!$A:$A,My_Audit!C:C,""),
_xlfn.IFS(_xlpm.MyAuditVal&lt;&gt;"",_xlpm.MyAuditVal,_xlpm.MacVal&lt;&gt;"",_xlpm.MacVal,_xlpm.CSVVal&lt;&gt;"",_xlpm.CSVVal
)),"")</f>
        <v/>
      </c>
      <c r="E136" s="2" t="str">
        <f>_xlfn.XLOOKUP(A136,My_Audit!A:A,My_Audit!D:D,"")</f>
        <v/>
      </c>
      <c r="F136" s="2" t="str" cm="1">
        <f t="array" ref="F136">IFERROR(_xlfn.LET(
_xlpm.CSVVal,_xlfn.XLOOKUP($A136,CSV!$A:$A,CSV!F:F,""),
_xlpm.MacVal,_xlfn.XLOOKUP($A136,Output_Mac!$A:$A,Output_Mac!E:E,""),
_xlpm.MyAuditVal,_xlfn.XLOOKUP($A136,My_Audit!$A:$A,My_Audit!E:E,""),
_xlfn.IFS(_xlpm.MyAuditVal&lt;&gt;"",_xlpm.MyAuditVal,_xlpm.MacVal&lt;&gt;"",_xlpm.MacVal,_xlpm.CSVVal&lt;&gt;"",_xlpm.CSVVal
)),"")</f>
        <v/>
      </c>
      <c r="G136" s="2" t="str" cm="1">
        <f t="array" ref="G136">IFERROR(_xlfn.LET(
_xlpm.CSVVal,_xlfn.XLOOKUP($A136,CSV!$A:$A,CSV!G:G,""),
_xlpm.MacVal,_xlfn.XLOOKUP($A136,Output_Mac!$A:$A,Output_Mac!F:F,""),
_xlpm.MyAuditVal,_xlfn.XLOOKUP($A136,My_Audit!$A:$A,My_Audit!F:F,""),
_xlfn.IFS(_xlpm.MyAuditVal&lt;&gt;"",_xlpm.MyAuditVal,_xlpm.MacVal&lt;&gt;"",_xlpm.MacVal,_xlpm.CSVVal&lt;&gt;"",PROPER(_xlpm.CSVVal)
)),"")</f>
        <v/>
      </c>
      <c r="H136" s="2" t="str" cm="1">
        <f t="array" ref="H136">IFERROR(_xlfn.LET(
_xlpm.CSVVal,_xlfn.XLOOKUP($A136,CSV!$A:$A,CSV!H:H,""),
_xlpm.MacVal,_xlfn.XLOOKUP($A136,Output_Mac!$A:$A,Output_Mac!H:H,""),
_xlpm.MyAuditVal,_xlfn.XLOOKUP($A136,My_Audit!$A:$A,My_Audit!G:G,""),
_xlfn.IFS(_xlpm.MyAuditVal&lt;&gt;"",_xlpm.MyAuditVal,_xlpm.MacVal&lt;&gt;"",_xlpm.MacVal,_xlpm.CSVVal&lt;&gt;"",_xlpm.CSVVal
)),"")</f>
        <v/>
      </c>
      <c r="I136" s="2" t="str">
        <f>_xlfn.XLOOKUP(A136,Output_Mac!A:A,Output_Mac!I:I,"")</f>
        <v/>
      </c>
      <c r="J136" s="2" t="str" cm="1">
        <f t="array" ref="J136">IFERROR(_xlfn.LET(
_xlpm.CSVVal,_xlfn.XLOOKUP($A136,CSV!$A:$A,CSV!I:I,""),
_xlpm.MacVal,_xlfn.XLOOKUP($A136,Output_Mac!$A:$A,Output_Mac!J:J,""),
_xlpm.MyAuditVal,_xlfn.XLOOKUP($A136,My_Audit!$A:$A,My_Audit!I:I,""),
_xlfn.IFS(_xlpm.MyAuditVal&lt;&gt;"",UPPER(_xlpm.MyAuditVal),_xlpm.MacVal&lt;&gt;"",_xlpm.MacVal,_xlpm.CSVVal&lt;&gt;"",_xlpm.CSVVal
)),"")</f>
        <v/>
      </c>
      <c r="K136" s="2" t="str" cm="1">
        <f t="array" ref="K136">IFERROR(_xlfn.LET(
_xlpm.CSVVal,_xlfn.XLOOKUP($A136,CSV!$A:$A,CSV!K:K,""),
_xlpm.MacVal,_xlfn.XLOOKUP($A136,Output_Mac!$A:$A,Output_Mac!K:K,""),
_xlpm.MyAuditVal,_xlfn.XLOOKUP($A136,My_Audit!$A:$A,My_Audit!J:J,""),
_xlfn.IFS(_xlpm.MyAuditVal&lt;&gt;"",UPPER(_xlpm.MyAuditVal),_xlpm.MacVal&lt;&gt;"",_xlpm.MacVal,_xlpm.CSVVal&lt;&gt;"",_xlpm.CSVVal
)),"")</f>
        <v/>
      </c>
      <c r="L136" s="2" t="str" cm="1">
        <f t="array" ref="L136">IFERROR(_xlfn.LET(
_xlpm.CSVVal,_xlfn.XLOOKUP($A136,CSV!$A:$A,CSV!P:P,""),
_xlpm.MacVal,_xlfn.XLOOKUP($A136,Output_Mac!$A:$A,Output_Mac!L:L,""),
_xlpm.MyAuditVal,_xlfn.XLOOKUP($A136,My_Audit!$A:$A,My_Audit!K:K,""),
_xlfn.IFS(_xlpm.MyAuditVal&lt;&gt;"",UPPER(_xlpm.MyAuditVal),_xlpm.MacVal&lt;&gt;"",_xlpm.MacVal,_xlpm.CSVVal&lt;&gt;"",_xlpm.CSVVal
)),"")</f>
        <v/>
      </c>
      <c r="M136" s="2" t="str" cm="1">
        <f t="array" ref="M136">IFERROR(_xlfn.LET(
_xlpm.CSVVal,_xlfn.XLOOKUP($A136,CSV!$A:$A,CSV!Q:Q,""),
_xlpm.MacVal,_xlfn.XLOOKUP($A136,Output_Mac!$A:$A,Output_Mac!M:M,""),
_xlpm.MyAuditVal,_xlfn.XLOOKUP($A136,My_Audit!$A:$A,My_Audit!L:L,""),
_xlfn.IFS(_xlpm.MyAuditVal&lt;&gt;"",UPPER(_xlpm.MyAuditVal),_xlpm.MacVal&lt;&gt;"",_xlpm.MacVal,_xlpm.CSVVal&lt;&gt;"",_xlpm.CSVVal
)),"")</f>
        <v/>
      </c>
      <c r="O136" s="2" t="str">
        <f>_xlfn.LET(
    _xlpm.CSVVal, _xlfn.XLOOKUP($A136, CSV!$A:$A, CSV!AA:AA, ""),
    _xlpm.MacVal, _xlfn.XLOOKUP($A136, Output_Mac!$A:$A, Output_Mac!S:S, ""),
    _xlpm.MyAuditVal, _xlfn.XLOOKUP($A136, My_Audit!$A:$A, My_Audit!P:P, ""),
    _xlfn.TEXTJOIN(", ", TRUE, _xlpm.MyAuditVal, _xlpm.MacVal, _xlpm.CSVVal)
)</f>
        <v/>
      </c>
      <c r="P136" s="2" t="str" cm="1">
        <f t="array" ref="P136">IFERROR(_xlfn.LET(
_xlpm.CSVVal,_xlfn.XLOOKUP($A136,CSV!$A:$A,CSV!AB:AB,""),
_xlpm.MacVal,_xlfn.XLOOKUP($A136,Output_Mac!$A:$A,Output_Mac!T:T,""),
_xlpm.MyAuditVal,_xlfn.XLOOKUP($A136,My_Audit!$A:$A,My_Audit!Q:Q,""),
_xlfn.IFS(_xlpm.MyAuditVal&lt;&gt;"",UPPER(_xlpm.MyAuditVal),_xlpm.MacVal&lt;&gt;"",_xlpm.MacVal,_xlpm.CSVVal&lt;&gt;"",_xlpm.CSVVal
)),"No")</f>
        <v>No</v>
      </c>
      <c r="Q136" s="2" t="str" cm="1">
        <f t="array" ref="Q136">IFERROR(_xlfn.LET(
_xlpm.CSVVal,_xlfn.XLOOKUP($A136,CSV!$A:$A,CSV!AC:AC,""),
_xlpm.MacVal,_xlfn.XLOOKUP($A136,Output_Mac!$A:$A,Output_Mac!U:U,""),
_xlpm.MyAuditVal,_xlfn.XLOOKUP($A136,My_Audit!$A:$A,My_Audit!R:R,""),
_xlfn.IFS(_xlpm.MyAuditVal&lt;&gt;"",UPPER(_xlpm.MyAuditVal),_xlpm.MacVal&lt;&gt;"",_xlpm.MacVal,_xlpm.CSVVal&lt;&gt;"",_xlpm.CSVVal
)),"")</f>
        <v/>
      </c>
      <c r="X136" t="str">
        <f>_xlfn.LET(
    _xlpm.MacVal, _xlfn.XLOOKUP($A136, Output_Mac!$A:$A, Output_Mac!AB:AB, ""),
    _xlpm.MyAuditVal, _xlfn.XLOOKUP($A136, My_Audit!$A:$A, My_Audit!N:N, ""),
    _xlfn.TEXTJOIN(", ", TRUE, _xlpm.MyAuditVal, _xlpm.MacVal)
)</f>
        <v/>
      </c>
    </row>
    <row r="137" spans="1:24">
      <c r="A137" s="2" t="str">
        <f>_xlfn.TEXTJOIN("",TRUE,Input!$B$2,ROW(My_Audit!A136))</f>
        <v>X136</v>
      </c>
      <c r="B137" s="2" t="str">
        <f>_xlfn.TEXTJOIN("-",TRUE,"ITD",Input!$A$2,A137)</f>
        <v>ITD-SHR-X136</v>
      </c>
      <c r="C137" s="2" t="str" cm="1">
        <f t="array" ref="C137">IFERROR(_xlfn.LET(
_xlpm.CSVVal,_xlfn.XLOOKUP($A137,CSV!$A:$A,CSV!B:B,""),
_xlpm.MacVal,_xlfn.XLOOKUP($A137,Output_Mac!$A:$A,Output_Mac!B:B,""),
_xlpm.MyAuditVal,_xlfn.XLOOKUP($A137,My_Audit!$A:$A,My_Audit!B:B,""),
_xlfn.IFS(_xlpm.MyAuditVal&lt;&gt;"",UPPER(_xlpm.MyAuditVal),_xlpm.MacVal&lt;&gt;"",_xlpm.MacVal,_xlpm.CSVVal&lt;&gt;"",_xlpm.CSVVal
)),"")</f>
        <v/>
      </c>
      <c r="D137" s="2" t="str" cm="1">
        <f t="array" ref="D137">IFERROR(_xlfn.LET(
_xlpm.CSVVal,_xlfn.XLOOKUP($A137,CSV!$A:$A,CSV!D:D,""),
_xlpm.MacVal,_xlfn.XLOOKUP($A137,Output_Mac!$A:$A,Output_Mac!C:C,""),
_xlpm.MyAuditVal,_xlfn.XLOOKUP($A137,My_Audit!$A:$A,My_Audit!C:C,""),
_xlfn.IFS(_xlpm.MyAuditVal&lt;&gt;"",_xlpm.MyAuditVal,_xlpm.MacVal&lt;&gt;"",_xlpm.MacVal,_xlpm.CSVVal&lt;&gt;"",_xlpm.CSVVal
)),"")</f>
        <v/>
      </c>
      <c r="E137" s="2" t="str">
        <f>_xlfn.XLOOKUP(A137,My_Audit!A:A,My_Audit!D:D,"")</f>
        <v/>
      </c>
      <c r="F137" s="2" t="str" cm="1">
        <f t="array" ref="F137">IFERROR(_xlfn.LET(
_xlpm.CSVVal,_xlfn.XLOOKUP($A137,CSV!$A:$A,CSV!F:F,""),
_xlpm.MacVal,_xlfn.XLOOKUP($A137,Output_Mac!$A:$A,Output_Mac!E:E,""),
_xlpm.MyAuditVal,_xlfn.XLOOKUP($A137,My_Audit!$A:$A,My_Audit!E:E,""),
_xlfn.IFS(_xlpm.MyAuditVal&lt;&gt;"",_xlpm.MyAuditVal,_xlpm.MacVal&lt;&gt;"",_xlpm.MacVal,_xlpm.CSVVal&lt;&gt;"",_xlpm.CSVVal
)),"")</f>
        <v/>
      </c>
      <c r="G137" s="2" t="str" cm="1">
        <f t="array" ref="G137">IFERROR(_xlfn.LET(
_xlpm.CSVVal,_xlfn.XLOOKUP($A137,CSV!$A:$A,CSV!G:G,""),
_xlpm.MacVal,_xlfn.XLOOKUP($A137,Output_Mac!$A:$A,Output_Mac!F:F,""),
_xlpm.MyAuditVal,_xlfn.XLOOKUP($A137,My_Audit!$A:$A,My_Audit!F:F,""),
_xlfn.IFS(_xlpm.MyAuditVal&lt;&gt;"",_xlpm.MyAuditVal,_xlpm.MacVal&lt;&gt;"",_xlpm.MacVal,_xlpm.CSVVal&lt;&gt;"",PROPER(_xlpm.CSVVal)
)),"")</f>
        <v/>
      </c>
      <c r="H137" s="2" t="str" cm="1">
        <f t="array" ref="H137">IFERROR(_xlfn.LET(
_xlpm.CSVVal,_xlfn.XLOOKUP($A137,CSV!$A:$A,CSV!H:H,""),
_xlpm.MacVal,_xlfn.XLOOKUP($A137,Output_Mac!$A:$A,Output_Mac!H:H,""),
_xlpm.MyAuditVal,_xlfn.XLOOKUP($A137,My_Audit!$A:$A,My_Audit!G:G,""),
_xlfn.IFS(_xlpm.MyAuditVal&lt;&gt;"",_xlpm.MyAuditVal,_xlpm.MacVal&lt;&gt;"",_xlpm.MacVal,_xlpm.CSVVal&lt;&gt;"",_xlpm.CSVVal
)),"")</f>
        <v/>
      </c>
      <c r="I137" s="2" t="str">
        <f>_xlfn.XLOOKUP(A137,Output_Mac!A:A,Output_Mac!I:I,"")</f>
        <v/>
      </c>
      <c r="J137" s="2" t="str" cm="1">
        <f t="array" ref="J137">IFERROR(_xlfn.LET(
_xlpm.CSVVal,_xlfn.XLOOKUP($A137,CSV!$A:$A,CSV!I:I,""),
_xlpm.MacVal,_xlfn.XLOOKUP($A137,Output_Mac!$A:$A,Output_Mac!J:J,""),
_xlpm.MyAuditVal,_xlfn.XLOOKUP($A137,My_Audit!$A:$A,My_Audit!I:I,""),
_xlfn.IFS(_xlpm.MyAuditVal&lt;&gt;"",UPPER(_xlpm.MyAuditVal),_xlpm.MacVal&lt;&gt;"",_xlpm.MacVal,_xlpm.CSVVal&lt;&gt;"",_xlpm.CSVVal
)),"")</f>
        <v/>
      </c>
      <c r="K137" s="2" t="str" cm="1">
        <f t="array" ref="K137">IFERROR(_xlfn.LET(
_xlpm.CSVVal,_xlfn.XLOOKUP($A137,CSV!$A:$A,CSV!K:K,""),
_xlpm.MacVal,_xlfn.XLOOKUP($A137,Output_Mac!$A:$A,Output_Mac!K:K,""),
_xlpm.MyAuditVal,_xlfn.XLOOKUP($A137,My_Audit!$A:$A,My_Audit!J:J,""),
_xlfn.IFS(_xlpm.MyAuditVal&lt;&gt;"",UPPER(_xlpm.MyAuditVal),_xlpm.MacVal&lt;&gt;"",_xlpm.MacVal,_xlpm.CSVVal&lt;&gt;"",_xlpm.CSVVal
)),"")</f>
        <v/>
      </c>
      <c r="L137" s="2" t="str" cm="1">
        <f t="array" ref="L137">IFERROR(_xlfn.LET(
_xlpm.CSVVal,_xlfn.XLOOKUP($A137,CSV!$A:$A,CSV!P:P,""),
_xlpm.MacVal,_xlfn.XLOOKUP($A137,Output_Mac!$A:$A,Output_Mac!L:L,""),
_xlpm.MyAuditVal,_xlfn.XLOOKUP($A137,My_Audit!$A:$A,My_Audit!K:K,""),
_xlfn.IFS(_xlpm.MyAuditVal&lt;&gt;"",UPPER(_xlpm.MyAuditVal),_xlpm.MacVal&lt;&gt;"",_xlpm.MacVal,_xlpm.CSVVal&lt;&gt;"",_xlpm.CSVVal
)),"")</f>
        <v/>
      </c>
      <c r="M137" s="2" t="str" cm="1">
        <f t="array" ref="M137">IFERROR(_xlfn.LET(
_xlpm.CSVVal,_xlfn.XLOOKUP($A137,CSV!$A:$A,CSV!Q:Q,""),
_xlpm.MacVal,_xlfn.XLOOKUP($A137,Output_Mac!$A:$A,Output_Mac!M:M,""),
_xlpm.MyAuditVal,_xlfn.XLOOKUP($A137,My_Audit!$A:$A,My_Audit!L:L,""),
_xlfn.IFS(_xlpm.MyAuditVal&lt;&gt;"",UPPER(_xlpm.MyAuditVal),_xlpm.MacVal&lt;&gt;"",_xlpm.MacVal,_xlpm.CSVVal&lt;&gt;"",_xlpm.CSVVal
)),"")</f>
        <v/>
      </c>
      <c r="O137" s="2" t="str">
        <f>_xlfn.LET(
    _xlpm.CSVVal, _xlfn.XLOOKUP($A137, CSV!$A:$A, CSV!AA:AA, ""),
    _xlpm.MacVal, _xlfn.XLOOKUP($A137, Output_Mac!$A:$A, Output_Mac!S:S, ""),
    _xlpm.MyAuditVal, _xlfn.XLOOKUP($A137, My_Audit!$A:$A, My_Audit!P:P, ""),
    _xlfn.TEXTJOIN(", ", TRUE, _xlpm.MyAuditVal, _xlpm.MacVal, _xlpm.CSVVal)
)</f>
        <v/>
      </c>
      <c r="P137" s="2" t="str" cm="1">
        <f t="array" ref="P137">IFERROR(_xlfn.LET(
_xlpm.CSVVal,_xlfn.XLOOKUP($A137,CSV!$A:$A,CSV!AB:AB,""),
_xlpm.MacVal,_xlfn.XLOOKUP($A137,Output_Mac!$A:$A,Output_Mac!T:T,""),
_xlpm.MyAuditVal,_xlfn.XLOOKUP($A137,My_Audit!$A:$A,My_Audit!Q:Q,""),
_xlfn.IFS(_xlpm.MyAuditVal&lt;&gt;"",UPPER(_xlpm.MyAuditVal),_xlpm.MacVal&lt;&gt;"",_xlpm.MacVal,_xlpm.CSVVal&lt;&gt;"",_xlpm.CSVVal
)),"No")</f>
        <v>No</v>
      </c>
      <c r="Q137" s="2" t="str" cm="1">
        <f t="array" ref="Q137">IFERROR(_xlfn.LET(
_xlpm.CSVVal,_xlfn.XLOOKUP($A137,CSV!$A:$A,CSV!AC:AC,""),
_xlpm.MacVal,_xlfn.XLOOKUP($A137,Output_Mac!$A:$A,Output_Mac!U:U,""),
_xlpm.MyAuditVal,_xlfn.XLOOKUP($A137,My_Audit!$A:$A,My_Audit!R:R,""),
_xlfn.IFS(_xlpm.MyAuditVal&lt;&gt;"",UPPER(_xlpm.MyAuditVal),_xlpm.MacVal&lt;&gt;"",_xlpm.MacVal,_xlpm.CSVVal&lt;&gt;"",_xlpm.CSVVal
)),"")</f>
        <v/>
      </c>
      <c r="X137" t="str">
        <f>_xlfn.LET(
    _xlpm.MacVal, _xlfn.XLOOKUP($A137, Output_Mac!$A:$A, Output_Mac!AB:AB, ""),
    _xlpm.MyAuditVal, _xlfn.XLOOKUP($A137, My_Audit!$A:$A, My_Audit!N:N, ""),
    _xlfn.TEXTJOIN(", ", TRUE, _xlpm.MyAuditVal, _xlpm.MacVal)
)</f>
        <v/>
      </c>
    </row>
    <row r="138" spans="1:24">
      <c r="A138" s="2" t="str">
        <f>_xlfn.TEXTJOIN("",TRUE,Input!$B$2,ROW(My_Audit!A137))</f>
        <v>X137</v>
      </c>
      <c r="B138" s="2" t="str">
        <f>_xlfn.TEXTJOIN("-",TRUE,"ITD",Input!$A$2,A138)</f>
        <v>ITD-SHR-X137</v>
      </c>
      <c r="C138" s="2" t="str" cm="1">
        <f t="array" ref="C138">IFERROR(_xlfn.LET(
_xlpm.CSVVal,_xlfn.XLOOKUP($A138,CSV!$A:$A,CSV!B:B,""),
_xlpm.MacVal,_xlfn.XLOOKUP($A138,Output_Mac!$A:$A,Output_Mac!B:B,""),
_xlpm.MyAuditVal,_xlfn.XLOOKUP($A138,My_Audit!$A:$A,My_Audit!B:B,""),
_xlfn.IFS(_xlpm.MyAuditVal&lt;&gt;"",UPPER(_xlpm.MyAuditVal),_xlpm.MacVal&lt;&gt;"",_xlpm.MacVal,_xlpm.CSVVal&lt;&gt;"",_xlpm.CSVVal
)),"")</f>
        <v/>
      </c>
      <c r="D138" s="2" t="str" cm="1">
        <f t="array" ref="D138">IFERROR(_xlfn.LET(
_xlpm.CSVVal,_xlfn.XLOOKUP($A138,CSV!$A:$A,CSV!D:D,""),
_xlpm.MacVal,_xlfn.XLOOKUP($A138,Output_Mac!$A:$A,Output_Mac!C:C,""),
_xlpm.MyAuditVal,_xlfn.XLOOKUP($A138,My_Audit!$A:$A,My_Audit!C:C,""),
_xlfn.IFS(_xlpm.MyAuditVal&lt;&gt;"",_xlpm.MyAuditVal,_xlpm.MacVal&lt;&gt;"",_xlpm.MacVal,_xlpm.CSVVal&lt;&gt;"",_xlpm.CSVVal
)),"")</f>
        <v/>
      </c>
      <c r="E138" s="2" t="str">
        <f>_xlfn.XLOOKUP(A138,My_Audit!A:A,My_Audit!D:D,"")</f>
        <v/>
      </c>
      <c r="F138" s="2" t="str" cm="1">
        <f t="array" ref="F138">IFERROR(_xlfn.LET(
_xlpm.CSVVal,_xlfn.XLOOKUP($A138,CSV!$A:$A,CSV!F:F,""),
_xlpm.MacVal,_xlfn.XLOOKUP($A138,Output_Mac!$A:$A,Output_Mac!E:E,""),
_xlpm.MyAuditVal,_xlfn.XLOOKUP($A138,My_Audit!$A:$A,My_Audit!E:E,""),
_xlfn.IFS(_xlpm.MyAuditVal&lt;&gt;"",_xlpm.MyAuditVal,_xlpm.MacVal&lt;&gt;"",_xlpm.MacVal,_xlpm.CSVVal&lt;&gt;"",_xlpm.CSVVal
)),"")</f>
        <v/>
      </c>
      <c r="G138" s="2" t="str" cm="1">
        <f t="array" ref="G138">IFERROR(_xlfn.LET(
_xlpm.CSVVal,_xlfn.XLOOKUP($A138,CSV!$A:$A,CSV!G:G,""),
_xlpm.MacVal,_xlfn.XLOOKUP($A138,Output_Mac!$A:$A,Output_Mac!F:F,""),
_xlpm.MyAuditVal,_xlfn.XLOOKUP($A138,My_Audit!$A:$A,My_Audit!F:F,""),
_xlfn.IFS(_xlpm.MyAuditVal&lt;&gt;"",_xlpm.MyAuditVal,_xlpm.MacVal&lt;&gt;"",_xlpm.MacVal,_xlpm.CSVVal&lt;&gt;"",PROPER(_xlpm.CSVVal)
)),"")</f>
        <v/>
      </c>
      <c r="H138" s="2" t="str" cm="1">
        <f t="array" ref="H138">IFERROR(_xlfn.LET(
_xlpm.CSVVal,_xlfn.XLOOKUP($A138,CSV!$A:$A,CSV!H:H,""),
_xlpm.MacVal,_xlfn.XLOOKUP($A138,Output_Mac!$A:$A,Output_Mac!H:H,""),
_xlpm.MyAuditVal,_xlfn.XLOOKUP($A138,My_Audit!$A:$A,My_Audit!G:G,""),
_xlfn.IFS(_xlpm.MyAuditVal&lt;&gt;"",_xlpm.MyAuditVal,_xlpm.MacVal&lt;&gt;"",_xlpm.MacVal,_xlpm.CSVVal&lt;&gt;"",_xlpm.CSVVal
)),"")</f>
        <v/>
      </c>
      <c r="I138" s="2" t="str">
        <f>_xlfn.XLOOKUP(A138,Output_Mac!A:A,Output_Mac!I:I,"")</f>
        <v/>
      </c>
      <c r="J138" s="2" t="str" cm="1">
        <f t="array" ref="J138">IFERROR(_xlfn.LET(
_xlpm.CSVVal,_xlfn.XLOOKUP($A138,CSV!$A:$A,CSV!I:I,""),
_xlpm.MacVal,_xlfn.XLOOKUP($A138,Output_Mac!$A:$A,Output_Mac!J:J,""),
_xlpm.MyAuditVal,_xlfn.XLOOKUP($A138,My_Audit!$A:$A,My_Audit!I:I,""),
_xlfn.IFS(_xlpm.MyAuditVal&lt;&gt;"",UPPER(_xlpm.MyAuditVal),_xlpm.MacVal&lt;&gt;"",_xlpm.MacVal,_xlpm.CSVVal&lt;&gt;"",_xlpm.CSVVal
)),"")</f>
        <v/>
      </c>
      <c r="K138" s="2" t="str" cm="1">
        <f t="array" ref="K138">IFERROR(_xlfn.LET(
_xlpm.CSVVal,_xlfn.XLOOKUP($A138,CSV!$A:$A,CSV!K:K,""),
_xlpm.MacVal,_xlfn.XLOOKUP($A138,Output_Mac!$A:$A,Output_Mac!K:K,""),
_xlpm.MyAuditVal,_xlfn.XLOOKUP($A138,My_Audit!$A:$A,My_Audit!J:J,""),
_xlfn.IFS(_xlpm.MyAuditVal&lt;&gt;"",UPPER(_xlpm.MyAuditVal),_xlpm.MacVal&lt;&gt;"",_xlpm.MacVal,_xlpm.CSVVal&lt;&gt;"",_xlpm.CSVVal
)),"")</f>
        <v/>
      </c>
      <c r="L138" s="2" t="str" cm="1">
        <f t="array" ref="L138">IFERROR(_xlfn.LET(
_xlpm.CSVVal,_xlfn.XLOOKUP($A138,CSV!$A:$A,CSV!P:P,""),
_xlpm.MacVal,_xlfn.XLOOKUP($A138,Output_Mac!$A:$A,Output_Mac!L:L,""),
_xlpm.MyAuditVal,_xlfn.XLOOKUP($A138,My_Audit!$A:$A,My_Audit!K:K,""),
_xlfn.IFS(_xlpm.MyAuditVal&lt;&gt;"",UPPER(_xlpm.MyAuditVal),_xlpm.MacVal&lt;&gt;"",_xlpm.MacVal,_xlpm.CSVVal&lt;&gt;"",_xlpm.CSVVal
)),"")</f>
        <v/>
      </c>
      <c r="M138" s="2" t="str" cm="1">
        <f t="array" ref="M138">IFERROR(_xlfn.LET(
_xlpm.CSVVal,_xlfn.XLOOKUP($A138,CSV!$A:$A,CSV!Q:Q,""),
_xlpm.MacVal,_xlfn.XLOOKUP($A138,Output_Mac!$A:$A,Output_Mac!M:M,""),
_xlpm.MyAuditVal,_xlfn.XLOOKUP($A138,My_Audit!$A:$A,My_Audit!L:L,""),
_xlfn.IFS(_xlpm.MyAuditVal&lt;&gt;"",UPPER(_xlpm.MyAuditVal),_xlpm.MacVal&lt;&gt;"",_xlpm.MacVal,_xlpm.CSVVal&lt;&gt;"",_xlpm.CSVVal
)),"")</f>
        <v/>
      </c>
      <c r="O138" s="2" t="str">
        <f>_xlfn.LET(
    _xlpm.CSVVal, _xlfn.XLOOKUP($A138, CSV!$A:$A, CSV!AA:AA, ""),
    _xlpm.MacVal, _xlfn.XLOOKUP($A138, Output_Mac!$A:$A, Output_Mac!S:S, ""),
    _xlpm.MyAuditVal, _xlfn.XLOOKUP($A138, My_Audit!$A:$A, My_Audit!P:P, ""),
    _xlfn.TEXTJOIN(", ", TRUE, _xlpm.MyAuditVal, _xlpm.MacVal, _xlpm.CSVVal)
)</f>
        <v/>
      </c>
      <c r="P138" s="2" t="str" cm="1">
        <f t="array" ref="P138">IFERROR(_xlfn.LET(
_xlpm.CSVVal,_xlfn.XLOOKUP($A138,CSV!$A:$A,CSV!AB:AB,""),
_xlpm.MacVal,_xlfn.XLOOKUP($A138,Output_Mac!$A:$A,Output_Mac!T:T,""),
_xlpm.MyAuditVal,_xlfn.XLOOKUP($A138,My_Audit!$A:$A,My_Audit!Q:Q,""),
_xlfn.IFS(_xlpm.MyAuditVal&lt;&gt;"",UPPER(_xlpm.MyAuditVal),_xlpm.MacVal&lt;&gt;"",_xlpm.MacVal,_xlpm.CSVVal&lt;&gt;"",_xlpm.CSVVal
)),"No")</f>
        <v>No</v>
      </c>
      <c r="Q138" s="2" t="str" cm="1">
        <f t="array" ref="Q138">IFERROR(_xlfn.LET(
_xlpm.CSVVal,_xlfn.XLOOKUP($A138,CSV!$A:$A,CSV!AC:AC,""),
_xlpm.MacVal,_xlfn.XLOOKUP($A138,Output_Mac!$A:$A,Output_Mac!U:U,""),
_xlpm.MyAuditVal,_xlfn.XLOOKUP($A138,My_Audit!$A:$A,My_Audit!R:R,""),
_xlfn.IFS(_xlpm.MyAuditVal&lt;&gt;"",UPPER(_xlpm.MyAuditVal),_xlpm.MacVal&lt;&gt;"",_xlpm.MacVal,_xlpm.CSVVal&lt;&gt;"",_xlpm.CSVVal
)),"")</f>
        <v/>
      </c>
      <c r="X138" t="str">
        <f>_xlfn.LET(
    _xlpm.MacVal, _xlfn.XLOOKUP($A138, Output_Mac!$A:$A, Output_Mac!AB:AB, ""),
    _xlpm.MyAuditVal, _xlfn.XLOOKUP($A138, My_Audit!$A:$A, My_Audit!N:N, ""),
    _xlfn.TEXTJOIN(", ", TRUE, _xlpm.MyAuditVal, _xlpm.MacVal)
)</f>
        <v/>
      </c>
    </row>
    <row r="139" spans="1:24">
      <c r="A139" s="2" t="str">
        <f>_xlfn.TEXTJOIN("",TRUE,Input!$B$2,ROW(My_Audit!A138))</f>
        <v>X138</v>
      </c>
      <c r="B139" s="2" t="str">
        <f>_xlfn.TEXTJOIN("-",TRUE,"ITD",Input!$A$2,A139)</f>
        <v>ITD-SHR-X138</v>
      </c>
      <c r="C139" s="2" t="str" cm="1">
        <f t="array" ref="C139">IFERROR(_xlfn.LET(
_xlpm.CSVVal,_xlfn.XLOOKUP($A139,CSV!$A:$A,CSV!B:B,""),
_xlpm.MacVal,_xlfn.XLOOKUP($A139,Output_Mac!$A:$A,Output_Mac!B:B,""),
_xlpm.MyAuditVal,_xlfn.XLOOKUP($A139,My_Audit!$A:$A,My_Audit!B:B,""),
_xlfn.IFS(_xlpm.MyAuditVal&lt;&gt;"",UPPER(_xlpm.MyAuditVal),_xlpm.MacVal&lt;&gt;"",_xlpm.MacVal,_xlpm.CSVVal&lt;&gt;"",_xlpm.CSVVal
)),"")</f>
        <v/>
      </c>
      <c r="D139" s="2" t="str" cm="1">
        <f t="array" ref="D139">IFERROR(_xlfn.LET(
_xlpm.CSVVal,_xlfn.XLOOKUP($A139,CSV!$A:$A,CSV!D:D,""),
_xlpm.MacVal,_xlfn.XLOOKUP($A139,Output_Mac!$A:$A,Output_Mac!C:C,""),
_xlpm.MyAuditVal,_xlfn.XLOOKUP($A139,My_Audit!$A:$A,My_Audit!C:C,""),
_xlfn.IFS(_xlpm.MyAuditVal&lt;&gt;"",_xlpm.MyAuditVal,_xlpm.MacVal&lt;&gt;"",_xlpm.MacVal,_xlpm.CSVVal&lt;&gt;"",_xlpm.CSVVal
)),"")</f>
        <v/>
      </c>
      <c r="E139" s="2" t="str">
        <f>_xlfn.XLOOKUP(A139,My_Audit!A:A,My_Audit!D:D,"")</f>
        <v/>
      </c>
      <c r="F139" s="2" t="str" cm="1">
        <f t="array" ref="F139">IFERROR(_xlfn.LET(
_xlpm.CSVVal,_xlfn.XLOOKUP($A139,CSV!$A:$A,CSV!F:F,""),
_xlpm.MacVal,_xlfn.XLOOKUP($A139,Output_Mac!$A:$A,Output_Mac!E:E,""),
_xlpm.MyAuditVal,_xlfn.XLOOKUP($A139,My_Audit!$A:$A,My_Audit!E:E,""),
_xlfn.IFS(_xlpm.MyAuditVal&lt;&gt;"",_xlpm.MyAuditVal,_xlpm.MacVal&lt;&gt;"",_xlpm.MacVal,_xlpm.CSVVal&lt;&gt;"",_xlpm.CSVVal
)),"")</f>
        <v/>
      </c>
      <c r="G139" s="2" t="str" cm="1">
        <f t="array" ref="G139">IFERROR(_xlfn.LET(
_xlpm.CSVVal,_xlfn.XLOOKUP($A139,CSV!$A:$A,CSV!G:G,""),
_xlpm.MacVal,_xlfn.XLOOKUP($A139,Output_Mac!$A:$A,Output_Mac!F:F,""),
_xlpm.MyAuditVal,_xlfn.XLOOKUP($A139,My_Audit!$A:$A,My_Audit!F:F,""),
_xlfn.IFS(_xlpm.MyAuditVal&lt;&gt;"",_xlpm.MyAuditVal,_xlpm.MacVal&lt;&gt;"",_xlpm.MacVal,_xlpm.CSVVal&lt;&gt;"",PROPER(_xlpm.CSVVal)
)),"")</f>
        <v/>
      </c>
      <c r="H139" s="2" t="str" cm="1">
        <f t="array" ref="H139">IFERROR(_xlfn.LET(
_xlpm.CSVVal,_xlfn.XLOOKUP($A139,CSV!$A:$A,CSV!H:H,""),
_xlpm.MacVal,_xlfn.XLOOKUP($A139,Output_Mac!$A:$A,Output_Mac!H:H,""),
_xlpm.MyAuditVal,_xlfn.XLOOKUP($A139,My_Audit!$A:$A,My_Audit!G:G,""),
_xlfn.IFS(_xlpm.MyAuditVal&lt;&gt;"",_xlpm.MyAuditVal,_xlpm.MacVal&lt;&gt;"",_xlpm.MacVal,_xlpm.CSVVal&lt;&gt;"",_xlpm.CSVVal
)),"")</f>
        <v/>
      </c>
      <c r="I139" s="2" t="str">
        <f>_xlfn.XLOOKUP(A139,Output_Mac!A:A,Output_Mac!I:I,"")</f>
        <v/>
      </c>
      <c r="J139" s="2" t="str" cm="1">
        <f t="array" ref="J139">IFERROR(_xlfn.LET(
_xlpm.CSVVal,_xlfn.XLOOKUP($A139,CSV!$A:$A,CSV!I:I,""),
_xlpm.MacVal,_xlfn.XLOOKUP($A139,Output_Mac!$A:$A,Output_Mac!J:J,""),
_xlpm.MyAuditVal,_xlfn.XLOOKUP($A139,My_Audit!$A:$A,My_Audit!I:I,""),
_xlfn.IFS(_xlpm.MyAuditVal&lt;&gt;"",UPPER(_xlpm.MyAuditVal),_xlpm.MacVal&lt;&gt;"",_xlpm.MacVal,_xlpm.CSVVal&lt;&gt;"",_xlpm.CSVVal
)),"")</f>
        <v/>
      </c>
      <c r="K139" s="2" t="str" cm="1">
        <f t="array" ref="K139">IFERROR(_xlfn.LET(
_xlpm.CSVVal,_xlfn.XLOOKUP($A139,CSV!$A:$A,CSV!K:K,""),
_xlpm.MacVal,_xlfn.XLOOKUP($A139,Output_Mac!$A:$A,Output_Mac!K:K,""),
_xlpm.MyAuditVal,_xlfn.XLOOKUP($A139,My_Audit!$A:$A,My_Audit!J:J,""),
_xlfn.IFS(_xlpm.MyAuditVal&lt;&gt;"",UPPER(_xlpm.MyAuditVal),_xlpm.MacVal&lt;&gt;"",_xlpm.MacVal,_xlpm.CSVVal&lt;&gt;"",_xlpm.CSVVal
)),"")</f>
        <v/>
      </c>
      <c r="L139" s="2" t="str" cm="1">
        <f t="array" ref="L139">IFERROR(_xlfn.LET(
_xlpm.CSVVal,_xlfn.XLOOKUP($A139,CSV!$A:$A,CSV!P:P,""),
_xlpm.MacVal,_xlfn.XLOOKUP($A139,Output_Mac!$A:$A,Output_Mac!L:L,""),
_xlpm.MyAuditVal,_xlfn.XLOOKUP($A139,My_Audit!$A:$A,My_Audit!K:K,""),
_xlfn.IFS(_xlpm.MyAuditVal&lt;&gt;"",UPPER(_xlpm.MyAuditVal),_xlpm.MacVal&lt;&gt;"",_xlpm.MacVal,_xlpm.CSVVal&lt;&gt;"",_xlpm.CSVVal
)),"")</f>
        <v/>
      </c>
      <c r="M139" s="2" t="str" cm="1">
        <f t="array" ref="M139">IFERROR(_xlfn.LET(
_xlpm.CSVVal,_xlfn.XLOOKUP($A139,CSV!$A:$A,CSV!Q:Q,""),
_xlpm.MacVal,_xlfn.XLOOKUP($A139,Output_Mac!$A:$A,Output_Mac!M:M,""),
_xlpm.MyAuditVal,_xlfn.XLOOKUP($A139,My_Audit!$A:$A,My_Audit!L:L,""),
_xlfn.IFS(_xlpm.MyAuditVal&lt;&gt;"",UPPER(_xlpm.MyAuditVal),_xlpm.MacVal&lt;&gt;"",_xlpm.MacVal,_xlpm.CSVVal&lt;&gt;"",_xlpm.CSVVal
)),"")</f>
        <v/>
      </c>
      <c r="O139" s="2" t="str">
        <f>_xlfn.LET(
    _xlpm.CSVVal, _xlfn.XLOOKUP($A139, CSV!$A:$A, CSV!AA:AA, ""),
    _xlpm.MacVal, _xlfn.XLOOKUP($A139, Output_Mac!$A:$A, Output_Mac!S:S, ""),
    _xlpm.MyAuditVal, _xlfn.XLOOKUP($A139, My_Audit!$A:$A, My_Audit!P:P, ""),
    _xlfn.TEXTJOIN(", ", TRUE, _xlpm.MyAuditVal, _xlpm.MacVal, _xlpm.CSVVal)
)</f>
        <v/>
      </c>
      <c r="P139" s="2" t="str" cm="1">
        <f t="array" ref="P139">IFERROR(_xlfn.LET(
_xlpm.CSVVal,_xlfn.XLOOKUP($A139,CSV!$A:$A,CSV!AB:AB,""),
_xlpm.MacVal,_xlfn.XLOOKUP($A139,Output_Mac!$A:$A,Output_Mac!T:T,""),
_xlpm.MyAuditVal,_xlfn.XLOOKUP($A139,My_Audit!$A:$A,My_Audit!Q:Q,""),
_xlfn.IFS(_xlpm.MyAuditVal&lt;&gt;"",UPPER(_xlpm.MyAuditVal),_xlpm.MacVal&lt;&gt;"",_xlpm.MacVal,_xlpm.CSVVal&lt;&gt;"",_xlpm.CSVVal
)),"No")</f>
        <v>No</v>
      </c>
      <c r="Q139" s="2" t="str" cm="1">
        <f t="array" ref="Q139">IFERROR(_xlfn.LET(
_xlpm.CSVVal,_xlfn.XLOOKUP($A139,CSV!$A:$A,CSV!AC:AC,""),
_xlpm.MacVal,_xlfn.XLOOKUP($A139,Output_Mac!$A:$A,Output_Mac!U:U,""),
_xlpm.MyAuditVal,_xlfn.XLOOKUP($A139,My_Audit!$A:$A,My_Audit!R:R,""),
_xlfn.IFS(_xlpm.MyAuditVal&lt;&gt;"",UPPER(_xlpm.MyAuditVal),_xlpm.MacVal&lt;&gt;"",_xlpm.MacVal,_xlpm.CSVVal&lt;&gt;"",_xlpm.CSVVal
)),"")</f>
        <v/>
      </c>
      <c r="X139" t="str">
        <f>_xlfn.LET(
    _xlpm.MacVal, _xlfn.XLOOKUP($A139, Output_Mac!$A:$A, Output_Mac!AB:AB, ""),
    _xlpm.MyAuditVal, _xlfn.XLOOKUP($A139, My_Audit!$A:$A, My_Audit!N:N, ""),
    _xlfn.TEXTJOIN(", ", TRUE, _xlpm.MyAuditVal, _xlpm.MacVal)
)</f>
        <v/>
      </c>
    </row>
    <row r="140" spans="1:24">
      <c r="A140" s="2" t="str">
        <f>_xlfn.TEXTJOIN("",TRUE,Input!$B$2,ROW(My_Audit!A139))</f>
        <v>X139</v>
      </c>
      <c r="B140" s="2" t="str">
        <f>_xlfn.TEXTJOIN("-",TRUE,"ITD",Input!$A$2,A140)</f>
        <v>ITD-SHR-X139</v>
      </c>
      <c r="C140" s="2" t="str" cm="1">
        <f t="array" ref="C140">IFERROR(_xlfn.LET(
_xlpm.CSVVal,_xlfn.XLOOKUP($A140,CSV!$A:$A,CSV!B:B,""),
_xlpm.MacVal,_xlfn.XLOOKUP($A140,Output_Mac!$A:$A,Output_Mac!B:B,""),
_xlpm.MyAuditVal,_xlfn.XLOOKUP($A140,My_Audit!$A:$A,My_Audit!B:B,""),
_xlfn.IFS(_xlpm.MyAuditVal&lt;&gt;"",UPPER(_xlpm.MyAuditVal),_xlpm.MacVal&lt;&gt;"",_xlpm.MacVal,_xlpm.CSVVal&lt;&gt;"",_xlpm.CSVVal
)),"")</f>
        <v/>
      </c>
      <c r="D140" s="2" t="str" cm="1">
        <f t="array" ref="D140">IFERROR(_xlfn.LET(
_xlpm.CSVVal,_xlfn.XLOOKUP($A140,CSV!$A:$A,CSV!D:D,""),
_xlpm.MacVal,_xlfn.XLOOKUP($A140,Output_Mac!$A:$A,Output_Mac!C:C,""),
_xlpm.MyAuditVal,_xlfn.XLOOKUP($A140,My_Audit!$A:$A,My_Audit!C:C,""),
_xlfn.IFS(_xlpm.MyAuditVal&lt;&gt;"",_xlpm.MyAuditVal,_xlpm.MacVal&lt;&gt;"",_xlpm.MacVal,_xlpm.CSVVal&lt;&gt;"",_xlpm.CSVVal
)),"")</f>
        <v/>
      </c>
      <c r="E140" s="2" t="str">
        <f>_xlfn.XLOOKUP(A140,My_Audit!A:A,My_Audit!D:D,"")</f>
        <v/>
      </c>
      <c r="F140" s="2" t="str" cm="1">
        <f t="array" ref="F140">IFERROR(_xlfn.LET(
_xlpm.CSVVal,_xlfn.XLOOKUP($A140,CSV!$A:$A,CSV!F:F,""),
_xlpm.MacVal,_xlfn.XLOOKUP($A140,Output_Mac!$A:$A,Output_Mac!E:E,""),
_xlpm.MyAuditVal,_xlfn.XLOOKUP($A140,My_Audit!$A:$A,My_Audit!E:E,""),
_xlfn.IFS(_xlpm.MyAuditVal&lt;&gt;"",_xlpm.MyAuditVal,_xlpm.MacVal&lt;&gt;"",_xlpm.MacVal,_xlpm.CSVVal&lt;&gt;"",_xlpm.CSVVal
)),"")</f>
        <v/>
      </c>
      <c r="G140" s="2" t="str" cm="1">
        <f t="array" ref="G140">IFERROR(_xlfn.LET(
_xlpm.CSVVal,_xlfn.XLOOKUP($A140,CSV!$A:$A,CSV!G:G,""),
_xlpm.MacVal,_xlfn.XLOOKUP($A140,Output_Mac!$A:$A,Output_Mac!F:F,""),
_xlpm.MyAuditVal,_xlfn.XLOOKUP($A140,My_Audit!$A:$A,My_Audit!F:F,""),
_xlfn.IFS(_xlpm.MyAuditVal&lt;&gt;"",_xlpm.MyAuditVal,_xlpm.MacVal&lt;&gt;"",_xlpm.MacVal,_xlpm.CSVVal&lt;&gt;"",PROPER(_xlpm.CSVVal)
)),"")</f>
        <v/>
      </c>
      <c r="H140" s="2" t="str" cm="1">
        <f t="array" ref="H140">IFERROR(_xlfn.LET(
_xlpm.CSVVal,_xlfn.XLOOKUP($A140,CSV!$A:$A,CSV!H:H,""),
_xlpm.MacVal,_xlfn.XLOOKUP($A140,Output_Mac!$A:$A,Output_Mac!H:H,""),
_xlpm.MyAuditVal,_xlfn.XLOOKUP($A140,My_Audit!$A:$A,My_Audit!G:G,""),
_xlfn.IFS(_xlpm.MyAuditVal&lt;&gt;"",_xlpm.MyAuditVal,_xlpm.MacVal&lt;&gt;"",_xlpm.MacVal,_xlpm.CSVVal&lt;&gt;"",_xlpm.CSVVal
)),"")</f>
        <v/>
      </c>
      <c r="I140" s="2" t="str">
        <f>_xlfn.XLOOKUP(A140,Output_Mac!A:A,Output_Mac!I:I,"")</f>
        <v/>
      </c>
      <c r="J140" s="2" t="str" cm="1">
        <f t="array" ref="J140">IFERROR(_xlfn.LET(
_xlpm.CSVVal,_xlfn.XLOOKUP($A140,CSV!$A:$A,CSV!I:I,""),
_xlpm.MacVal,_xlfn.XLOOKUP($A140,Output_Mac!$A:$A,Output_Mac!J:J,""),
_xlpm.MyAuditVal,_xlfn.XLOOKUP($A140,My_Audit!$A:$A,My_Audit!I:I,""),
_xlfn.IFS(_xlpm.MyAuditVal&lt;&gt;"",UPPER(_xlpm.MyAuditVal),_xlpm.MacVal&lt;&gt;"",_xlpm.MacVal,_xlpm.CSVVal&lt;&gt;"",_xlpm.CSVVal
)),"")</f>
        <v/>
      </c>
      <c r="K140" s="2" t="str" cm="1">
        <f t="array" ref="K140">IFERROR(_xlfn.LET(
_xlpm.CSVVal,_xlfn.XLOOKUP($A140,CSV!$A:$A,CSV!K:K,""),
_xlpm.MacVal,_xlfn.XLOOKUP($A140,Output_Mac!$A:$A,Output_Mac!K:K,""),
_xlpm.MyAuditVal,_xlfn.XLOOKUP($A140,My_Audit!$A:$A,My_Audit!J:J,""),
_xlfn.IFS(_xlpm.MyAuditVal&lt;&gt;"",UPPER(_xlpm.MyAuditVal),_xlpm.MacVal&lt;&gt;"",_xlpm.MacVal,_xlpm.CSVVal&lt;&gt;"",_xlpm.CSVVal
)),"")</f>
        <v/>
      </c>
      <c r="L140" s="2" t="str" cm="1">
        <f t="array" ref="L140">IFERROR(_xlfn.LET(
_xlpm.CSVVal,_xlfn.XLOOKUP($A140,CSV!$A:$A,CSV!P:P,""),
_xlpm.MacVal,_xlfn.XLOOKUP($A140,Output_Mac!$A:$A,Output_Mac!L:L,""),
_xlpm.MyAuditVal,_xlfn.XLOOKUP($A140,My_Audit!$A:$A,My_Audit!K:K,""),
_xlfn.IFS(_xlpm.MyAuditVal&lt;&gt;"",UPPER(_xlpm.MyAuditVal),_xlpm.MacVal&lt;&gt;"",_xlpm.MacVal,_xlpm.CSVVal&lt;&gt;"",_xlpm.CSVVal
)),"")</f>
        <v/>
      </c>
      <c r="M140" s="2" t="str" cm="1">
        <f t="array" ref="M140">IFERROR(_xlfn.LET(
_xlpm.CSVVal,_xlfn.XLOOKUP($A140,CSV!$A:$A,CSV!Q:Q,""),
_xlpm.MacVal,_xlfn.XLOOKUP($A140,Output_Mac!$A:$A,Output_Mac!M:M,""),
_xlpm.MyAuditVal,_xlfn.XLOOKUP($A140,My_Audit!$A:$A,My_Audit!L:L,""),
_xlfn.IFS(_xlpm.MyAuditVal&lt;&gt;"",UPPER(_xlpm.MyAuditVal),_xlpm.MacVal&lt;&gt;"",_xlpm.MacVal,_xlpm.CSVVal&lt;&gt;"",_xlpm.CSVVal
)),"")</f>
        <v/>
      </c>
      <c r="O140" s="2" t="str">
        <f>_xlfn.LET(
    _xlpm.CSVVal, _xlfn.XLOOKUP($A140, CSV!$A:$A, CSV!AA:AA, ""),
    _xlpm.MacVal, _xlfn.XLOOKUP($A140, Output_Mac!$A:$A, Output_Mac!S:S, ""),
    _xlpm.MyAuditVal, _xlfn.XLOOKUP($A140, My_Audit!$A:$A, My_Audit!P:P, ""),
    _xlfn.TEXTJOIN(", ", TRUE, _xlpm.MyAuditVal, _xlpm.MacVal, _xlpm.CSVVal)
)</f>
        <v/>
      </c>
      <c r="P140" s="2" t="str" cm="1">
        <f t="array" ref="P140">IFERROR(_xlfn.LET(
_xlpm.CSVVal,_xlfn.XLOOKUP($A140,CSV!$A:$A,CSV!AB:AB,""),
_xlpm.MacVal,_xlfn.XLOOKUP($A140,Output_Mac!$A:$A,Output_Mac!T:T,""),
_xlpm.MyAuditVal,_xlfn.XLOOKUP($A140,My_Audit!$A:$A,My_Audit!Q:Q,""),
_xlfn.IFS(_xlpm.MyAuditVal&lt;&gt;"",UPPER(_xlpm.MyAuditVal),_xlpm.MacVal&lt;&gt;"",_xlpm.MacVal,_xlpm.CSVVal&lt;&gt;"",_xlpm.CSVVal
)),"No")</f>
        <v>No</v>
      </c>
      <c r="Q140" s="2" t="str" cm="1">
        <f t="array" ref="Q140">IFERROR(_xlfn.LET(
_xlpm.CSVVal,_xlfn.XLOOKUP($A140,CSV!$A:$A,CSV!AC:AC,""),
_xlpm.MacVal,_xlfn.XLOOKUP($A140,Output_Mac!$A:$A,Output_Mac!U:U,""),
_xlpm.MyAuditVal,_xlfn.XLOOKUP($A140,My_Audit!$A:$A,My_Audit!R:R,""),
_xlfn.IFS(_xlpm.MyAuditVal&lt;&gt;"",UPPER(_xlpm.MyAuditVal),_xlpm.MacVal&lt;&gt;"",_xlpm.MacVal,_xlpm.CSVVal&lt;&gt;"",_xlpm.CSVVal
)),"")</f>
        <v/>
      </c>
      <c r="X140" t="str">
        <f>_xlfn.LET(
    _xlpm.MacVal, _xlfn.XLOOKUP($A140, Output_Mac!$A:$A, Output_Mac!AB:AB, ""),
    _xlpm.MyAuditVal, _xlfn.XLOOKUP($A140, My_Audit!$A:$A, My_Audit!N:N, ""),
    _xlfn.TEXTJOIN(", ", TRUE, _xlpm.MyAuditVal, _xlpm.MacVal)
)</f>
        <v/>
      </c>
    </row>
    <row r="141" spans="1:24">
      <c r="A141" s="2" t="str">
        <f>_xlfn.TEXTJOIN("",TRUE,Input!$B$2,ROW(My_Audit!A140))</f>
        <v>X140</v>
      </c>
      <c r="B141" s="2" t="str">
        <f>_xlfn.TEXTJOIN("-",TRUE,"ITD",Input!$A$2,A141)</f>
        <v>ITD-SHR-X140</v>
      </c>
      <c r="C141" s="2" t="str" cm="1">
        <f t="array" ref="C141">IFERROR(_xlfn.LET(
_xlpm.CSVVal,_xlfn.XLOOKUP($A141,CSV!$A:$A,CSV!B:B,""),
_xlpm.MacVal,_xlfn.XLOOKUP($A141,Output_Mac!$A:$A,Output_Mac!B:B,""),
_xlpm.MyAuditVal,_xlfn.XLOOKUP($A141,My_Audit!$A:$A,My_Audit!B:B,""),
_xlfn.IFS(_xlpm.MyAuditVal&lt;&gt;"",UPPER(_xlpm.MyAuditVal),_xlpm.MacVal&lt;&gt;"",_xlpm.MacVal,_xlpm.CSVVal&lt;&gt;"",_xlpm.CSVVal
)),"")</f>
        <v/>
      </c>
      <c r="D141" s="2" t="str" cm="1">
        <f t="array" ref="D141">IFERROR(_xlfn.LET(
_xlpm.CSVVal,_xlfn.XLOOKUP($A141,CSV!$A:$A,CSV!D:D,""),
_xlpm.MacVal,_xlfn.XLOOKUP($A141,Output_Mac!$A:$A,Output_Mac!C:C,""),
_xlpm.MyAuditVal,_xlfn.XLOOKUP($A141,My_Audit!$A:$A,My_Audit!C:C,""),
_xlfn.IFS(_xlpm.MyAuditVal&lt;&gt;"",_xlpm.MyAuditVal,_xlpm.MacVal&lt;&gt;"",_xlpm.MacVal,_xlpm.CSVVal&lt;&gt;"",_xlpm.CSVVal
)),"")</f>
        <v/>
      </c>
      <c r="E141" s="2" t="str">
        <f>_xlfn.XLOOKUP(A141,My_Audit!A:A,My_Audit!D:D,"")</f>
        <v/>
      </c>
      <c r="F141" s="2" t="str" cm="1">
        <f t="array" ref="F141">IFERROR(_xlfn.LET(
_xlpm.CSVVal,_xlfn.XLOOKUP($A141,CSV!$A:$A,CSV!F:F,""),
_xlpm.MacVal,_xlfn.XLOOKUP($A141,Output_Mac!$A:$A,Output_Mac!E:E,""),
_xlpm.MyAuditVal,_xlfn.XLOOKUP($A141,My_Audit!$A:$A,My_Audit!E:E,""),
_xlfn.IFS(_xlpm.MyAuditVal&lt;&gt;"",_xlpm.MyAuditVal,_xlpm.MacVal&lt;&gt;"",_xlpm.MacVal,_xlpm.CSVVal&lt;&gt;"",_xlpm.CSVVal
)),"")</f>
        <v/>
      </c>
      <c r="G141" s="2" t="str" cm="1">
        <f t="array" ref="G141">IFERROR(_xlfn.LET(
_xlpm.CSVVal,_xlfn.XLOOKUP($A141,CSV!$A:$A,CSV!G:G,""),
_xlpm.MacVal,_xlfn.XLOOKUP($A141,Output_Mac!$A:$A,Output_Mac!F:F,""),
_xlpm.MyAuditVal,_xlfn.XLOOKUP($A141,My_Audit!$A:$A,My_Audit!F:F,""),
_xlfn.IFS(_xlpm.MyAuditVal&lt;&gt;"",_xlpm.MyAuditVal,_xlpm.MacVal&lt;&gt;"",_xlpm.MacVal,_xlpm.CSVVal&lt;&gt;"",PROPER(_xlpm.CSVVal)
)),"")</f>
        <v/>
      </c>
      <c r="H141" s="2" t="str" cm="1">
        <f t="array" ref="H141">IFERROR(_xlfn.LET(
_xlpm.CSVVal,_xlfn.XLOOKUP($A141,CSV!$A:$A,CSV!H:H,""),
_xlpm.MacVal,_xlfn.XLOOKUP($A141,Output_Mac!$A:$A,Output_Mac!H:H,""),
_xlpm.MyAuditVal,_xlfn.XLOOKUP($A141,My_Audit!$A:$A,My_Audit!G:G,""),
_xlfn.IFS(_xlpm.MyAuditVal&lt;&gt;"",_xlpm.MyAuditVal,_xlpm.MacVal&lt;&gt;"",_xlpm.MacVal,_xlpm.CSVVal&lt;&gt;"",_xlpm.CSVVal
)),"")</f>
        <v/>
      </c>
      <c r="I141" s="2" t="str">
        <f>_xlfn.XLOOKUP(A141,Output_Mac!A:A,Output_Mac!I:I,"")</f>
        <v/>
      </c>
      <c r="J141" s="2" t="str" cm="1">
        <f t="array" ref="J141">IFERROR(_xlfn.LET(
_xlpm.CSVVal,_xlfn.XLOOKUP($A141,CSV!$A:$A,CSV!I:I,""),
_xlpm.MacVal,_xlfn.XLOOKUP($A141,Output_Mac!$A:$A,Output_Mac!J:J,""),
_xlpm.MyAuditVal,_xlfn.XLOOKUP($A141,My_Audit!$A:$A,My_Audit!I:I,""),
_xlfn.IFS(_xlpm.MyAuditVal&lt;&gt;"",UPPER(_xlpm.MyAuditVal),_xlpm.MacVal&lt;&gt;"",_xlpm.MacVal,_xlpm.CSVVal&lt;&gt;"",_xlpm.CSVVal
)),"")</f>
        <v/>
      </c>
      <c r="K141" s="2" t="str" cm="1">
        <f t="array" ref="K141">IFERROR(_xlfn.LET(
_xlpm.CSVVal,_xlfn.XLOOKUP($A141,CSV!$A:$A,CSV!K:K,""),
_xlpm.MacVal,_xlfn.XLOOKUP($A141,Output_Mac!$A:$A,Output_Mac!K:K,""),
_xlpm.MyAuditVal,_xlfn.XLOOKUP($A141,My_Audit!$A:$A,My_Audit!J:J,""),
_xlfn.IFS(_xlpm.MyAuditVal&lt;&gt;"",UPPER(_xlpm.MyAuditVal),_xlpm.MacVal&lt;&gt;"",_xlpm.MacVal,_xlpm.CSVVal&lt;&gt;"",_xlpm.CSVVal
)),"")</f>
        <v/>
      </c>
      <c r="L141" s="2" t="str" cm="1">
        <f t="array" ref="L141">IFERROR(_xlfn.LET(
_xlpm.CSVVal,_xlfn.XLOOKUP($A141,CSV!$A:$A,CSV!P:P,""),
_xlpm.MacVal,_xlfn.XLOOKUP($A141,Output_Mac!$A:$A,Output_Mac!L:L,""),
_xlpm.MyAuditVal,_xlfn.XLOOKUP($A141,My_Audit!$A:$A,My_Audit!K:K,""),
_xlfn.IFS(_xlpm.MyAuditVal&lt;&gt;"",UPPER(_xlpm.MyAuditVal),_xlpm.MacVal&lt;&gt;"",_xlpm.MacVal,_xlpm.CSVVal&lt;&gt;"",_xlpm.CSVVal
)),"")</f>
        <v/>
      </c>
      <c r="M141" s="2" t="str" cm="1">
        <f t="array" ref="M141">IFERROR(_xlfn.LET(
_xlpm.CSVVal,_xlfn.XLOOKUP($A141,CSV!$A:$A,CSV!Q:Q,""),
_xlpm.MacVal,_xlfn.XLOOKUP($A141,Output_Mac!$A:$A,Output_Mac!M:M,""),
_xlpm.MyAuditVal,_xlfn.XLOOKUP($A141,My_Audit!$A:$A,My_Audit!L:L,""),
_xlfn.IFS(_xlpm.MyAuditVal&lt;&gt;"",UPPER(_xlpm.MyAuditVal),_xlpm.MacVal&lt;&gt;"",_xlpm.MacVal,_xlpm.CSVVal&lt;&gt;"",_xlpm.CSVVal
)),"")</f>
        <v/>
      </c>
      <c r="O141" s="2" t="str">
        <f>_xlfn.LET(
    _xlpm.CSVVal, _xlfn.XLOOKUP($A141, CSV!$A:$A, CSV!AA:AA, ""),
    _xlpm.MacVal, _xlfn.XLOOKUP($A141, Output_Mac!$A:$A, Output_Mac!S:S, ""),
    _xlpm.MyAuditVal, _xlfn.XLOOKUP($A141, My_Audit!$A:$A, My_Audit!P:P, ""),
    _xlfn.TEXTJOIN(", ", TRUE, _xlpm.MyAuditVal, _xlpm.MacVal, _xlpm.CSVVal)
)</f>
        <v/>
      </c>
      <c r="P141" s="2" t="str" cm="1">
        <f t="array" ref="P141">IFERROR(_xlfn.LET(
_xlpm.CSVVal,_xlfn.XLOOKUP($A141,CSV!$A:$A,CSV!AB:AB,""),
_xlpm.MacVal,_xlfn.XLOOKUP($A141,Output_Mac!$A:$A,Output_Mac!T:T,""),
_xlpm.MyAuditVal,_xlfn.XLOOKUP($A141,My_Audit!$A:$A,My_Audit!Q:Q,""),
_xlfn.IFS(_xlpm.MyAuditVal&lt;&gt;"",UPPER(_xlpm.MyAuditVal),_xlpm.MacVal&lt;&gt;"",_xlpm.MacVal,_xlpm.CSVVal&lt;&gt;"",_xlpm.CSVVal
)),"No")</f>
        <v>No</v>
      </c>
      <c r="Q141" s="2" t="str" cm="1">
        <f t="array" ref="Q141">IFERROR(_xlfn.LET(
_xlpm.CSVVal,_xlfn.XLOOKUP($A141,CSV!$A:$A,CSV!AC:AC,""),
_xlpm.MacVal,_xlfn.XLOOKUP($A141,Output_Mac!$A:$A,Output_Mac!U:U,""),
_xlpm.MyAuditVal,_xlfn.XLOOKUP($A141,My_Audit!$A:$A,My_Audit!R:R,""),
_xlfn.IFS(_xlpm.MyAuditVal&lt;&gt;"",UPPER(_xlpm.MyAuditVal),_xlpm.MacVal&lt;&gt;"",_xlpm.MacVal,_xlpm.CSVVal&lt;&gt;"",_xlpm.CSVVal
)),"")</f>
        <v/>
      </c>
      <c r="X141" t="str">
        <f>_xlfn.LET(
    _xlpm.MacVal, _xlfn.XLOOKUP($A141, Output_Mac!$A:$A, Output_Mac!AB:AB, ""),
    _xlpm.MyAuditVal, _xlfn.XLOOKUP($A141, My_Audit!$A:$A, My_Audit!N:N, ""),
    _xlfn.TEXTJOIN(", ", TRUE, _xlpm.MyAuditVal, _xlpm.MacVal)
)</f>
        <v/>
      </c>
    </row>
    <row r="142" spans="1:24">
      <c r="A142" s="2" t="str">
        <f>_xlfn.TEXTJOIN("",TRUE,Input!$B$2,ROW(My_Audit!A141))</f>
        <v>X141</v>
      </c>
      <c r="B142" s="2" t="str">
        <f>_xlfn.TEXTJOIN("-",TRUE,"ITD",Input!$A$2,A142)</f>
        <v>ITD-SHR-X141</v>
      </c>
      <c r="C142" s="2" t="str" cm="1">
        <f t="array" ref="C142">IFERROR(_xlfn.LET(
_xlpm.CSVVal,_xlfn.XLOOKUP($A142,CSV!$A:$A,CSV!B:B,""),
_xlpm.MacVal,_xlfn.XLOOKUP($A142,Output_Mac!$A:$A,Output_Mac!B:B,""),
_xlpm.MyAuditVal,_xlfn.XLOOKUP($A142,My_Audit!$A:$A,My_Audit!B:B,""),
_xlfn.IFS(_xlpm.MyAuditVal&lt;&gt;"",UPPER(_xlpm.MyAuditVal),_xlpm.MacVal&lt;&gt;"",_xlpm.MacVal,_xlpm.CSVVal&lt;&gt;"",_xlpm.CSVVal
)),"")</f>
        <v/>
      </c>
      <c r="D142" s="2" t="str" cm="1">
        <f t="array" ref="D142">IFERROR(_xlfn.LET(
_xlpm.CSVVal,_xlfn.XLOOKUP($A142,CSV!$A:$A,CSV!D:D,""),
_xlpm.MacVal,_xlfn.XLOOKUP($A142,Output_Mac!$A:$A,Output_Mac!C:C,""),
_xlpm.MyAuditVal,_xlfn.XLOOKUP($A142,My_Audit!$A:$A,My_Audit!C:C,""),
_xlfn.IFS(_xlpm.MyAuditVal&lt;&gt;"",_xlpm.MyAuditVal,_xlpm.MacVal&lt;&gt;"",_xlpm.MacVal,_xlpm.CSVVal&lt;&gt;"",_xlpm.CSVVal
)),"")</f>
        <v/>
      </c>
      <c r="E142" s="2" t="str">
        <f>_xlfn.XLOOKUP(A142,My_Audit!A:A,My_Audit!D:D,"")</f>
        <v/>
      </c>
      <c r="F142" s="2" t="str" cm="1">
        <f t="array" ref="F142">IFERROR(_xlfn.LET(
_xlpm.CSVVal,_xlfn.XLOOKUP($A142,CSV!$A:$A,CSV!F:F,""),
_xlpm.MacVal,_xlfn.XLOOKUP($A142,Output_Mac!$A:$A,Output_Mac!E:E,""),
_xlpm.MyAuditVal,_xlfn.XLOOKUP($A142,My_Audit!$A:$A,My_Audit!E:E,""),
_xlfn.IFS(_xlpm.MyAuditVal&lt;&gt;"",_xlpm.MyAuditVal,_xlpm.MacVal&lt;&gt;"",_xlpm.MacVal,_xlpm.CSVVal&lt;&gt;"",_xlpm.CSVVal
)),"")</f>
        <v/>
      </c>
      <c r="G142" s="2" t="str" cm="1">
        <f t="array" ref="G142">IFERROR(_xlfn.LET(
_xlpm.CSVVal,_xlfn.XLOOKUP($A142,CSV!$A:$A,CSV!G:G,""),
_xlpm.MacVal,_xlfn.XLOOKUP($A142,Output_Mac!$A:$A,Output_Mac!F:F,""),
_xlpm.MyAuditVal,_xlfn.XLOOKUP($A142,My_Audit!$A:$A,My_Audit!F:F,""),
_xlfn.IFS(_xlpm.MyAuditVal&lt;&gt;"",_xlpm.MyAuditVal,_xlpm.MacVal&lt;&gt;"",_xlpm.MacVal,_xlpm.CSVVal&lt;&gt;"",PROPER(_xlpm.CSVVal)
)),"")</f>
        <v/>
      </c>
      <c r="H142" s="2" t="str" cm="1">
        <f t="array" ref="H142">IFERROR(_xlfn.LET(
_xlpm.CSVVal,_xlfn.XLOOKUP($A142,CSV!$A:$A,CSV!H:H,""),
_xlpm.MacVal,_xlfn.XLOOKUP($A142,Output_Mac!$A:$A,Output_Mac!H:H,""),
_xlpm.MyAuditVal,_xlfn.XLOOKUP($A142,My_Audit!$A:$A,My_Audit!G:G,""),
_xlfn.IFS(_xlpm.MyAuditVal&lt;&gt;"",_xlpm.MyAuditVal,_xlpm.MacVal&lt;&gt;"",_xlpm.MacVal,_xlpm.CSVVal&lt;&gt;"",_xlpm.CSVVal
)),"")</f>
        <v/>
      </c>
      <c r="I142" s="2" t="str">
        <f>_xlfn.XLOOKUP(A142,Output_Mac!A:A,Output_Mac!I:I,"")</f>
        <v/>
      </c>
      <c r="J142" s="2" t="str" cm="1">
        <f t="array" ref="J142">IFERROR(_xlfn.LET(
_xlpm.CSVVal,_xlfn.XLOOKUP($A142,CSV!$A:$A,CSV!I:I,""),
_xlpm.MacVal,_xlfn.XLOOKUP($A142,Output_Mac!$A:$A,Output_Mac!J:J,""),
_xlpm.MyAuditVal,_xlfn.XLOOKUP($A142,My_Audit!$A:$A,My_Audit!I:I,""),
_xlfn.IFS(_xlpm.MyAuditVal&lt;&gt;"",UPPER(_xlpm.MyAuditVal),_xlpm.MacVal&lt;&gt;"",_xlpm.MacVal,_xlpm.CSVVal&lt;&gt;"",_xlpm.CSVVal
)),"")</f>
        <v/>
      </c>
      <c r="K142" s="2" t="str" cm="1">
        <f t="array" ref="K142">IFERROR(_xlfn.LET(
_xlpm.CSVVal,_xlfn.XLOOKUP($A142,CSV!$A:$A,CSV!K:K,""),
_xlpm.MacVal,_xlfn.XLOOKUP($A142,Output_Mac!$A:$A,Output_Mac!K:K,""),
_xlpm.MyAuditVal,_xlfn.XLOOKUP($A142,My_Audit!$A:$A,My_Audit!J:J,""),
_xlfn.IFS(_xlpm.MyAuditVal&lt;&gt;"",UPPER(_xlpm.MyAuditVal),_xlpm.MacVal&lt;&gt;"",_xlpm.MacVal,_xlpm.CSVVal&lt;&gt;"",_xlpm.CSVVal
)),"")</f>
        <v/>
      </c>
      <c r="L142" s="2" t="str" cm="1">
        <f t="array" ref="L142">IFERROR(_xlfn.LET(
_xlpm.CSVVal,_xlfn.XLOOKUP($A142,CSV!$A:$A,CSV!P:P,""),
_xlpm.MacVal,_xlfn.XLOOKUP($A142,Output_Mac!$A:$A,Output_Mac!L:L,""),
_xlpm.MyAuditVal,_xlfn.XLOOKUP($A142,My_Audit!$A:$A,My_Audit!K:K,""),
_xlfn.IFS(_xlpm.MyAuditVal&lt;&gt;"",UPPER(_xlpm.MyAuditVal),_xlpm.MacVal&lt;&gt;"",_xlpm.MacVal,_xlpm.CSVVal&lt;&gt;"",_xlpm.CSVVal
)),"")</f>
        <v/>
      </c>
      <c r="M142" s="2" t="str" cm="1">
        <f t="array" ref="M142">IFERROR(_xlfn.LET(
_xlpm.CSVVal,_xlfn.XLOOKUP($A142,CSV!$A:$A,CSV!Q:Q,""),
_xlpm.MacVal,_xlfn.XLOOKUP($A142,Output_Mac!$A:$A,Output_Mac!M:M,""),
_xlpm.MyAuditVal,_xlfn.XLOOKUP($A142,My_Audit!$A:$A,My_Audit!L:L,""),
_xlfn.IFS(_xlpm.MyAuditVal&lt;&gt;"",UPPER(_xlpm.MyAuditVal),_xlpm.MacVal&lt;&gt;"",_xlpm.MacVal,_xlpm.CSVVal&lt;&gt;"",_xlpm.CSVVal
)),"")</f>
        <v/>
      </c>
      <c r="O142" s="2" t="str">
        <f>_xlfn.LET(
    _xlpm.CSVVal, _xlfn.XLOOKUP($A142, CSV!$A:$A, CSV!AA:AA, ""),
    _xlpm.MacVal, _xlfn.XLOOKUP($A142, Output_Mac!$A:$A, Output_Mac!S:S, ""),
    _xlpm.MyAuditVal, _xlfn.XLOOKUP($A142, My_Audit!$A:$A, My_Audit!P:P, ""),
    _xlfn.TEXTJOIN(", ", TRUE, _xlpm.MyAuditVal, _xlpm.MacVal, _xlpm.CSVVal)
)</f>
        <v/>
      </c>
      <c r="P142" s="2" t="str" cm="1">
        <f t="array" ref="P142">IFERROR(_xlfn.LET(
_xlpm.CSVVal,_xlfn.XLOOKUP($A142,CSV!$A:$A,CSV!AB:AB,""),
_xlpm.MacVal,_xlfn.XLOOKUP($A142,Output_Mac!$A:$A,Output_Mac!T:T,""),
_xlpm.MyAuditVal,_xlfn.XLOOKUP($A142,My_Audit!$A:$A,My_Audit!Q:Q,""),
_xlfn.IFS(_xlpm.MyAuditVal&lt;&gt;"",UPPER(_xlpm.MyAuditVal),_xlpm.MacVal&lt;&gt;"",_xlpm.MacVal,_xlpm.CSVVal&lt;&gt;"",_xlpm.CSVVal
)),"No")</f>
        <v>No</v>
      </c>
      <c r="Q142" s="2" t="str" cm="1">
        <f t="array" ref="Q142">IFERROR(_xlfn.LET(
_xlpm.CSVVal,_xlfn.XLOOKUP($A142,CSV!$A:$A,CSV!AC:AC,""),
_xlpm.MacVal,_xlfn.XLOOKUP($A142,Output_Mac!$A:$A,Output_Mac!U:U,""),
_xlpm.MyAuditVal,_xlfn.XLOOKUP($A142,My_Audit!$A:$A,My_Audit!R:R,""),
_xlfn.IFS(_xlpm.MyAuditVal&lt;&gt;"",UPPER(_xlpm.MyAuditVal),_xlpm.MacVal&lt;&gt;"",_xlpm.MacVal,_xlpm.CSVVal&lt;&gt;"",_xlpm.CSVVal
)),"")</f>
        <v/>
      </c>
      <c r="X142" t="str">
        <f>_xlfn.LET(
    _xlpm.MacVal, _xlfn.XLOOKUP($A142, Output_Mac!$A:$A, Output_Mac!AB:AB, ""),
    _xlpm.MyAuditVal, _xlfn.XLOOKUP($A142, My_Audit!$A:$A, My_Audit!N:N, ""),
    _xlfn.TEXTJOIN(", ", TRUE, _xlpm.MyAuditVal, _xlpm.MacVal)
)</f>
        <v/>
      </c>
    </row>
    <row r="143" spans="1:24">
      <c r="A143" s="2" t="str">
        <f>_xlfn.TEXTJOIN("",TRUE,Input!$B$2,ROW(My_Audit!A142))</f>
        <v>X142</v>
      </c>
      <c r="B143" s="2" t="str">
        <f>_xlfn.TEXTJOIN("-",TRUE,"ITD",Input!$A$2,A143)</f>
        <v>ITD-SHR-X142</v>
      </c>
      <c r="C143" s="2" t="str" cm="1">
        <f t="array" ref="C143">IFERROR(_xlfn.LET(
_xlpm.CSVVal,_xlfn.XLOOKUP($A143,CSV!$A:$A,CSV!B:B,""),
_xlpm.MacVal,_xlfn.XLOOKUP($A143,Output_Mac!$A:$A,Output_Mac!B:B,""),
_xlpm.MyAuditVal,_xlfn.XLOOKUP($A143,My_Audit!$A:$A,My_Audit!B:B,""),
_xlfn.IFS(_xlpm.MyAuditVal&lt;&gt;"",UPPER(_xlpm.MyAuditVal),_xlpm.MacVal&lt;&gt;"",_xlpm.MacVal,_xlpm.CSVVal&lt;&gt;"",_xlpm.CSVVal
)),"")</f>
        <v/>
      </c>
      <c r="D143" s="2" t="str" cm="1">
        <f t="array" ref="D143">IFERROR(_xlfn.LET(
_xlpm.CSVVal,_xlfn.XLOOKUP($A143,CSV!$A:$A,CSV!D:D,""),
_xlpm.MacVal,_xlfn.XLOOKUP($A143,Output_Mac!$A:$A,Output_Mac!C:C,""),
_xlpm.MyAuditVal,_xlfn.XLOOKUP($A143,My_Audit!$A:$A,My_Audit!C:C,""),
_xlfn.IFS(_xlpm.MyAuditVal&lt;&gt;"",_xlpm.MyAuditVal,_xlpm.MacVal&lt;&gt;"",_xlpm.MacVal,_xlpm.CSVVal&lt;&gt;"",_xlpm.CSVVal
)),"")</f>
        <v/>
      </c>
      <c r="E143" s="2" t="str">
        <f>_xlfn.XLOOKUP(A143,My_Audit!A:A,My_Audit!D:D,"")</f>
        <v/>
      </c>
      <c r="F143" s="2" t="str" cm="1">
        <f t="array" ref="F143">IFERROR(_xlfn.LET(
_xlpm.CSVVal,_xlfn.XLOOKUP($A143,CSV!$A:$A,CSV!F:F,""),
_xlpm.MacVal,_xlfn.XLOOKUP($A143,Output_Mac!$A:$A,Output_Mac!E:E,""),
_xlpm.MyAuditVal,_xlfn.XLOOKUP($A143,My_Audit!$A:$A,My_Audit!E:E,""),
_xlfn.IFS(_xlpm.MyAuditVal&lt;&gt;"",_xlpm.MyAuditVal,_xlpm.MacVal&lt;&gt;"",_xlpm.MacVal,_xlpm.CSVVal&lt;&gt;"",_xlpm.CSVVal
)),"")</f>
        <v/>
      </c>
      <c r="G143" s="2" t="str" cm="1">
        <f t="array" ref="G143">IFERROR(_xlfn.LET(
_xlpm.CSVVal,_xlfn.XLOOKUP($A143,CSV!$A:$A,CSV!G:G,""),
_xlpm.MacVal,_xlfn.XLOOKUP($A143,Output_Mac!$A:$A,Output_Mac!F:F,""),
_xlpm.MyAuditVal,_xlfn.XLOOKUP($A143,My_Audit!$A:$A,My_Audit!F:F,""),
_xlfn.IFS(_xlpm.MyAuditVal&lt;&gt;"",_xlpm.MyAuditVal,_xlpm.MacVal&lt;&gt;"",_xlpm.MacVal,_xlpm.CSVVal&lt;&gt;"",PROPER(_xlpm.CSVVal)
)),"")</f>
        <v/>
      </c>
      <c r="H143" s="2" t="str" cm="1">
        <f t="array" ref="H143">IFERROR(_xlfn.LET(
_xlpm.CSVVal,_xlfn.XLOOKUP($A143,CSV!$A:$A,CSV!H:H,""),
_xlpm.MacVal,_xlfn.XLOOKUP($A143,Output_Mac!$A:$A,Output_Mac!H:H,""),
_xlpm.MyAuditVal,_xlfn.XLOOKUP($A143,My_Audit!$A:$A,My_Audit!G:G,""),
_xlfn.IFS(_xlpm.MyAuditVal&lt;&gt;"",_xlpm.MyAuditVal,_xlpm.MacVal&lt;&gt;"",_xlpm.MacVal,_xlpm.CSVVal&lt;&gt;"",_xlpm.CSVVal
)),"")</f>
        <v/>
      </c>
      <c r="I143" s="2" t="str">
        <f>_xlfn.XLOOKUP(A143,Output_Mac!A:A,Output_Mac!I:I,"")</f>
        <v/>
      </c>
      <c r="J143" s="2" t="str" cm="1">
        <f t="array" ref="J143">IFERROR(_xlfn.LET(
_xlpm.CSVVal,_xlfn.XLOOKUP($A143,CSV!$A:$A,CSV!I:I,""),
_xlpm.MacVal,_xlfn.XLOOKUP($A143,Output_Mac!$A:$A,Output_Mac!J:J,""),
_xlpm.MyAuditVal,_xlfn.XLOOKUP($A143,My_Audit!$A:$A,My_Audit!I:I,""),
_xlfn.IFS(_xlpm.MyAuditVal&lt;&gt;"",UPPER(_xlpm.MyAuditVal),_xlpm.MacVal&lt;&gt;"",_xlpm.MacVal,_xlpm.CSVVal&lt;&gt;"",_xlpm.CSVVal
)),"")</f>
        <v/>
      </c>
      <c r="K143" s="2" t="str" cm="1">
        <f t="array" ref="K143">IFERROR(_xlfn.LET(
_xlpm.CSVVal,_xlfn.XLOOKUP($A143,CSV!$A:$A,CSV!K:K,""),
_xlpm.MacVal,_xlfn.XLOOKUP($A143,Output_Mac!$A:$A,Output_Mac!K:K,""),
_xlpm.MyAuditVal,_xlfn.XLOOKUP($A143,My_Audit!$A:$A,My_Audit!J:J,""),
_xlfn.IFS(_xlpm.MyAuditVal&lt;&gt;"",UPPER(_xlpm.MyAuditVal),_xlpm.MacVal&lt;&gt;"",_xlpm.MacVal,_xlpm.CSVVal&lt;&gt;"",_xlpm.CSVVal
)),"")</f>
        <v/>
      </c>
      <c r="L143" s="2" t="str" cm="1">
        <f t="array" ref="L143">IFERROR(_xlfn.LET(
_xlpm.CSVVal,_xlfn.XLOOKUP($A143,CSV!$A:$A,CSV!P:P,""),
_xlpm.MacVal,_xlfn.XLOOKUP($A143,Output_Mac!$A:$A,Output_Mac!L:L,""),
_xlpm.MyAuditVal,_xlfn.XLOOKUP($A143,My_Audit!$A:$A,My_Audit!K:K,""),
_xlfn.IFS(_xlpm.MyAuditVal&lt;&gt;"",UPPER(_xlpm.MyAuditVal),_xlpm.MacVal&lt;&gt;"",_xlpm.MacVal,_xlpm.CSVVal&lt;&gt;"",_xlpm.CSVVal
)),"")</f>
        <v/>
      </c>
      <c r="M143" s="2" t="str" cm="1">
        <f t="array" ref="M143">IFERROR(_xlfn.LET(
_xlpm.CSVVal,_xlfn.XLOOKUP($A143,CSV!$A:$A,CSV!Q:Q,""),
_xlpm.MacVal,_xlfn.XLOOKUP($A143,Output_Mac!$A:$A,Output_Mac!M:M,""),
_xlpm.MyAuditVal,_xlfn.XLOOKUP($A143,My_Audit!$A:$A,My_Audit!L:L,""),
_xlfn.IFS(_xlpm.MyAuditVal&lt;&gt;"",UPPER(_xlpm.MyAuditVal),_xlpm.MacVal&lt;&gt;"",_xlpm.MacVal,_xlpm.CSVVal&lt;&gt;"",_xlpm.CSVVal
)),"")</f>
        <v/>
      </c>
      <c r="O143" s="2" t="str">
        <f>_xlfn.LET(
    _xlpm.CSVVal, _xlfn.XLOOKUP($A143, CSV!$A:$A, CSV!AA:AA, ""),
    _xlpm.MacVal, _xlfn.XLOOKUP($A143, Output_Mac!$A:$A, Output_Mac!S:S, ""),
    _xlpm.MyAuditVal, _xlfn.XLOOKUP($A143, My_Audit!$A:$A, My_Audit!P:P, ""),
    _xlfn.TEXTJOIN(", ", TRUE, _xlpm.MyAuditVal, _xlpm.MacVal, _xlpm.CSVVal)
)</f>
        <v/>
      </c>
      <c r="P143" s="2" t="str" cm="1">
        <f t="array" ref="P143">IFERROR(_xlfn.LET(
_xlpm.CSVVal,_xlfn.XLOOKUP($A143,CSV!$A:$A,CSV!AB:AB,""),
_xlpm.MacVal,_xlfn.XLOOKUP($A143,Output_Mac!$A:$A,Output_Mac!T:T,""),
_xlpm.MyAuditVal,_xlfn.XLOOKUP($A143,My_Audit!$A:$A,My_Audit!Q:Q,""),
_xlfn.IFS(_xlpm.MyAuditVal&lt;&gt;"",UPPER(_xlpm.MyAuditVal),_xlpm.MacVal&lt;&gt;"",_xlpm.MacVal,_xlpm.CSVVal&lt;&gt;"",_xlpm.CSVVal
)),"No")</f>
        <v>No</v>
      </c>
      <c r="Q143" s="2" t="str" cm="1">
        <f t="array" ref="Q143">IFERROR(_xlfn.LET(
_xlpm.CSVVal,_xlfn.XLOOKUP($A143,CSV!$A:$A,CSV!AC:AC,""),
_xlpm.MacVal,_xlfn.XLOOKUP($A143,Output_Mac!$A:$A,Output_Mac!U:U,""),
_xlpm.MyAuditVal,_xlfn.XLOOKUP($A143,My_Audit!$A:$A,My_Audit!R:R,""),
_xlfn.IFS(_xlpm.MyAuditVal&lt;&gt;"",UPPER(_xlpm.MyAuditVal),_xlpm.MacVal&lt;&gt;"",_xlpm.MacVal,_xlpm.CSVVal&lt;&gt;"",_xlpm.CSVVal
)),"")</f>
        <v/>
      </c>
      <c r="X143" t="str">
        <f>_xlfn.LET(
    _xlpm.MacVal, _xlfn.XLOOKUP($A143, Output_Mac!$A:$A, Output_Mac!AB:AB, ""),
    _xlpm.MyAuditVal, _xlfn.XLOOKUP($A143, My_Audit!$A:$A, My_Audit!N:N, ""),
    _xlfn.TEXTJOIN(", ", TRUE, _xlpm.MyAuditVal, _xlpm.MacVal)
)</f>
        <v/>
      </c>
    </row>
    <row r="144" spans="1:24">
      <c r="A144" s="2" t="str">
        <f>_xlfn.TEXTJOIN("",TRUE,Input!$B$2,ROW(My_Audit!A143))</f>
        <v>X143</v>
      </c>
      <c r="B144" s="2" t="str">
        <f>_xlfn.TEXTJOIN("-",TRUE,"ITD",Input!$A$2,A144)</f>
        <v>ITD-SHR-X143</v>
      </c>
      <c r="C144" s="2" t="str" cm="1">
        <f t="array" ref="C144">IFERROR(_xlfn.LET(
_xlpm.CSVVal,_xlfn.XLOOKUP($A144,CSV!$A:$A,CSV!B:B,""),
_xlpm.MacVal,_xlfn.XLOOKUP($A144,Output_Mac!$A:$A,Output_Mac!B:B,""),
_xlpm.MyAuditVal,_xlfn.XLOOKUP($A144,My_Audit!$A:$A,My_Audit!B:B,""),
_xlfn.IFS(_xlpm.MyAuditVal&lt;&gt;"",UPPER(_xlpm.MyAuditVal),_xlpm.MacVal&lt;&gt;"",_xlpm.MacVal,_xlpm.CSVVal&lt;&gt;"",_xlpm.CSVVal
)),"")</f>
        <v/>
      </c>
      <c r="D144" s="2" t="str" cm="1">
        <f t="array" ref="D144">IFERROR(_xlfn.LET(
_xlpm.CSVVal,_xlfn.XLOOKUP($A144,CSV!$A:$A,CSV!D:D,""),
_xlpm.MacVal,_xlfn.XLOOKUP($A144,Output_Mac!$A:$A,Output_Mac!C:C,""),
_xlpm.MyAuditVal,_xlfn.XLOOKUP($A144,My_Audit!$A:$A,My_Audit!C:C,""),
_xlfn.IFS(_xlpm.MyAuditVal&lt;&gt;"",_xlpm.MyAuditVal,_xlpm.MacVal&lt;&gt;"",_xlpm.MacVal,_xlpm.CSVVal&lt;&gt;"",_xlpm.CSVVal
)),"")</f>
        <v/>
      </c>
      <c r="E144" s="2" t="str">
        <f>_xlfn.XLOOKUP(A144,My_Audit!A:A,My_Audit!D:D,"")</f>
        <v/>
      </c>
      <c r="F144" s="2" t="str" cm="1">
        <f t="array" ref="F144">IFERROR(_xlfn.LET(
_xlpm.CSVVal,_xlfn.XLOOKUP($A144,CSV!$A:$A,CSV!F:F,""),
_xlpm.MacVal,_xlfn.XLOOKUP($A144,Output_Mac!$A:$A,Output_Mac!E:E,""),
_xlpm.MyAuditVal,_xlfn.XLOOKUP($A144,My_Audit!$A:$A,My_Audit!E:E,""),
_xlfn.IFS(_xlpm.MyAuditVal&lt;&gt;"",_xlpm.MyAuditVal,_xlpm.MacVal&lt;&gt;"",_xlpm.MacVal,_xlpm.CSVVal&lt;&gt;"",_xlpm.CSVVal
)),"")</f>
        <v/>
      </c>
      <c r="G144" s="2" t="str" cm="1">
        <f t="array" ref="G144">IFERROR(_xlfn.LET(
_xlpm.CSVVal,_xlfn.XLOOKUP($A144,CSV!$A:$A,CSV!G:G,""),
_xlpm.MacVal,_xlfn.XLOOKUP($A144,Output_Mac!$A:$A,Output_Mac!F:F,""),
_xlpm.MyAuditVal,_xlfn.XLOOKUP($A144,My_Audit!$A:$A,My_Audit!F:F,""),
_xlfn.IFS(_xlpm.MyAuditVal&lt;&gt;"",_xlpm.MyAuditVal,_xlpm.MacVal&lt;&gt;"",_xlpm.MacVal,_xlpm.CSVVal&lt;&gt;"",PROPER(_xlpm.CSVVal)
)),"")</f>
        <v/>
      </c>
      <c r="H144" s="2" t="str" cm="1">
        <f t="array" ref="H144">IFERROR(_xlfn.LET(
_xlpm.CSVVal,_xlfn.XLOOKUP($A144,CSV!$A:$A,CSV!H:H,""),
_xlpm.MacVal,_xlfn.XLOOKUP($A144,Output_Mac!$A:$A,Output_Mac!H:H,""),
_xlpm.MyAuditVal,_xlfn.XLOOKUP($A144,My_Audit!$A:$A,My_Audit!G:G,""),
_xlfn.IFS(_xlpm.MyAuditVal&lt;&gt;"",_xlpm.MyAuditVal,_xlpm.MacVal&lt;&gt;"",_xlpm.MacVal,_xlpm.CSVVal&lt;&gt;"",_xlpm.CSVVal
)),"")</f>
        <v/>
      </c>
      <c r="I144" s="2" t="str">
        <f>_xlfn.XLOOKUP(A144,Output_Mac!A:A,Output_Mac!I:I,"")</f>
        <v/>
      </c>
      <c r="J144" s="2" t="str" cm="1">
        <f t="array" ref="J144">IFERROR(_xlfn.LET(
_xlpm.CSVVal,_xlfn.XLOOKUP($A144,CSV!$A:$A,CSV!I:I,""),
_xlpm.MacVal,_xlfn.XLOOKUP($A144,Output_Mac!$A:$A,Output_Mac!J:J,""),
_xlpm.MyAuditVal,_xlfn.XLOOKUP($A144,My_Audit!$A:$A,My_Audit!I:I,""),
_xlfn.IFS(_xlpm.MyAuditVal&lt;&gt;"",UPPER(_xlpm.MyAuditVal),_xlpm.MacVal&lt;&gt;"",_xlpm.MacVal,_xlpm.CSVVal&lt;&gt;"",_xlpm.CSVVal
)),"")</f>
        <v/>
      </c>
      <c r="K144" s="2" t="str" cm="1">
        <f t="array" ref="K144">IFERROR(_xlfn.LET(
_xlpm.CSVVal,_xlfn.XLOOKUP($A144,CSV!$A:$A,CSV!K:K,""),
_xlpm.MacVal,_xlfn.XLOOKUP($A144,Output_Mac!$A:$A,Output_Mac!K:K,""),
_xlpm.MyAuditVal,_xlfn.XLOOKUP($A144,My_Audit!$A:$A,My_Audit!J:J,""),
_xlfn.IFS(_xlpm.MyAuditVal&lt;&gt;"",UPPER(_xlpm.MyAuditVal),_xlpm.MacVal&lt;&gt;"",_xlpm.MacVal,_xlpm.CSVVal&lt;&gt;"",_xlpm.CSVVal
)),"")</f>
        <v/>
      </c>
      <c r="L144" s="2" t="str" cm="1">
        <f t="array" ref="L144">IFERROR(_xlfn.LET(
_xlpm.CSVVal,_xlfn.XLOOKUP($A144,CSV!$A:$A,CSV!P:P,""),
_xlpm.MacVal,_xlfn.XLOOKUP($A144,Output_Mac!$A:$A,Output_Mac!L:L,""),
_xlpm.MyAuditVal,_xlfn.XLOOKUP($A144,My_Audit!$A:$A,My_Audit!K:K,""),
_xlfn.IFS(_xlpm.MyAuditVal&lt;&gt;"",UPPER(_xlpm.MyAuditVal),_xlpm.MacVal&lt;&gt;"",_xlpm.MacVal,_xlpm.CSVVal&lt;&gt;"",_xlpm.CSVVal
)),"")</f>
        <v/>
      </c>
      <c r="M144" s="2" t="str" cm="1">
        <f t="array" ref="M144">IFERROR(_xlfn.LET(
_xlpm.CSVVal,_xlfn.XLOOKUP($A144,CSV!$A:$A,CSV!Q:Q,""),
_xlpm.MacVal,_xlfn.XLOOKUP($A144,Output_Mac!$A:$A,Output_Mac!M:M,""),
_xlpm.MyAuditVal,_xlfn.XLOOKUP($A144,My_Audit!$A:$A,My_Audit!L:L,""),
_xlfn.IFS(_xlpm.MyAuditVal&lt;&gt;"",UPPER(_xlpm.MyAuditVal),_xlpm.MacVal&lt;&gt;"",_xlpm.MacVal,_xlpm.CSVVal&lt;&gt;"",_xlpm.CSVVal
)),"")</f>
        <v/>
      </c>
      <c r="O144" s="2" t="str">
        <f>_xlfn.LET(
    _xlpm.CSVVal, _xlfn.XLOOKUP($A144, CSV!$A:$A, CSV!AA:AA, ""),
    _xlpm.MacVal, _xlfn.XLOOKUP($A144, Output_Mac!$A:$A, Output_Mac!S:S, ""),
    _xlpm.MyAuditVal, _xlfn.XLOOKUP($A144, My_Audit!$A:$A, My_Audit!P:P, ""),
    _xlfn.TEXTJOIN(", ", TRUE, _xlpm.MyAuditVal, _xlpm.MacVal, _xlpm.CSVVal)
)</f>
        <v/>
      </c>
      <c r="P144" s="2" t="str" cm="1">
        <f t="array" ref="P144">IFERROR(_xlfn.LET(
_xlpm.CSVVal,_xlfn.XLOOKUP($A144,CSV!$A:$A,CSV!AB:AB,""),
_xlpm.MacVal,_xlfn.XLOOKUP($A144,Output_Mac!$A:$A,Output_Mac!T:T,""),
_xlpm.MyAuditVal,_xlfn.XLOOKUP($A144,My_Audit!$A:$A,My_Audit!Q:Q,""),
_xlfn.IFS(_xlpm.MyAuditVal&lt;&gt;"",UPPER(_xlpm.MyAuditVal),_xlpm.MacVal&lt;&gt;"",_xlpm.MacVal,_xlpm.CSVVal&lt;&gt;"",_xlpm.CSVVal
)),"No")</f>
        <v>No</v>
      </c>
      <c r="Q144" s="2" t="str" cm="1">
        <f t="array" ref="Q144">IFERROR(_xlfn.LET(
_xlpm.CSVVal,_xlfn.XLOOKUP($A144,CSV!$A:$A,CSV!AC:AC,""),
_xlpm.MacVal,_xlfn.XLOOKUP($A144,Output_Mac!$A:$A,Output_Mac!U:U,""),
_xlpm.MyAuditVal,_xlfn.XLOOKUP($A144,My_Audit!$A:$A,My_Audit!R:R,""),
_xlfn.IFS(_xlpm.MyAuditVal&lt;&gt;"",UPPER(_xlpm.MyAuditVal),_xlpm.MacVal&lt;&gt;"",_xlpm.MacVal,_xlpm.CSVVal&lt;&gt;"",_xlpm.CSVVal
)),"")</f>
        <v/>
      </c>
      <c r="X144" t="str">
        <f>_xlfn.LET(
    _xlpm.MacVal, _xlfn.XLOOKUP($A144, Output_Mac!$A:$A, Output_Mac!AB:AB, ""),
    _xlpm.MyAuditVal, _xlfn.XLOOKUP($A144, My_Audit!$A:$A, My_Audit!N:N, ""),
    _xlfn.TEXTJOIN(", ", TRUE, _xlpm.MyAuditVal, _xlpm.MacVal)
)</f>
        <v/>
      </c>
    </row>
    <row r="145" spans="1:24">
      <c r="A145" s="2" t="str">
        <f>_xlfn.TEXTJOIN("",TRUE,Input!$B$2,ROW(My_Audit!A144))</f>
        <v>X144</v>
      </c>
      <c r="B145" s="2" t="str">
        <f>_xlfn.TEXTJOIN("-",TRUE,"ITD",Input!$A$2,A145)</f>
        <v>ITD-SHR-X144</v>
      </c>
      <c r="C145" s="2" t="str" cm="1">
        <f t="array" ref="C145">IFERROR(_xlfn.LET(
_xlpm.CSVVal,_xlfn.XLOOKUP($A145,CSV!$A:$A,CSV!B:B,""),
_xlpm.MacVal,_xlfn.XLOOKUP($A145,Output_Mac!$A:$A,Output_Mac!B:B,""),
_xlpm.MyAuditVal,_xlfn.XLOOKUP($A145,My_Audit!$A:$A,My_Audit!B:B,""),
_xlfn.IFS(_xlpm.MyAuditVal&lt;&gt;"",UPPER(_xlpm.MyAuditVal),_xlpm.MacVal&lt;&gt;"",_xlpm.MacVal,_xlpm.CSVVal&lt;&gt;"",_xlpm.CSVVal
)),"")</f>
        <v/>
      </c>
      <c r="D145" s="2" t="str" cm="1">
        <f t="array" ref="D145">IFERROR(_xlfn.LET(
_xlpm.CSVVal,_xlfn.XLOOKUP($A145,CSV!$A:$A,CSV!D:D,""),
_xlpm.MacVal,_xlfn.XLOOKUP($A145,Output_Mac!$A:$A,Output_Mac!C:C,""),
_xlpm.MyAuditVal,_xlfn.XLOOKUP($A145,My_Audit!$A:$A,My_Audit!C:C,""),
_xlfn.IFS(_xlpm.MyAuditVal&lt;&gt;"",_xlpm.MyAuditVal,_xlpm.MacVal&lt;&gt;"",_xlpm.MacVal,_xlpm.CSVVal&lt;&gt;"",_xlpm.CSVVal
)),"")</f>
        <v/>
      </c>
      <c r="E145" s="2" t="str">
        <f>_xlfn.XLOOKUP(A145,My_Audit!A:A,My_Audit!D:D,"")</f>
        <v/>
      </c>
      <c r="F145" s="2" t="str" cm="1">
        <f t="array" ref="F145">IFERROR(_xlfn.LET(
_xlpm.CSVVal,_xlfn.XLOOKUP($A145,CSV!$A:$A,CSV!F:F,""),
_xlpm.MacVal,_xlfn.XLOOKUP($A145,Output_Mac!$A:$A,Output_Mac!E:E,""),
_xlpm.MyAuditVal,_xlfn.XLOOKUP($A145,My_Audit!$A:$A,My_Audit!E:E,""),
_xlfn.IFS(_xlpm.MyAuditVal&lt;&gt;"",_xlpm.MyAuditVal,_xlpm.MacVal&lt;&gt;"",_xlpm.MacVal,_xlpm.CSVVal&lt;&gt;"",_xlpm.CSVVal
)),"")</f>
        <v/>
      </c>
      <c r="G145" s="2" t="str" cm="1">
        <f t="array" ref="G145">IFERROR(_xlfn.LET(
_xlpm.CSVVal,_xlfn.XLOOKUP($A145,CSV!$A:$A,CSV!G:G,""),
_xlpm.MacVal,_xlfn.XLOOKUP($A145,Output_Mac!$A:$A,Output_Mac!F:F,""),
_xlpm.MyAuditVal,_xlfn.XLOOKUP($A145,My_Audit!$A:$A,My_Audit!F:F,""),
_xlfn.IFS(_xlpm.MyAuditVal&lt;&gt;"",_xlpm.MyAuditVal,_xlpm.MacVal&lt;&gt;"",_xlpm.MacVal,_xlpm.CSVVal&lt;&gt;"",PROPER(_xlpm.CSVVal)
)),"")</f>
        <v/>
      </c>
      <c r="H145" s="2" t="str" cm="1">
        <f t="array" ref="H145">IFERROR(_xlfn.LET(
_xlpm.CSVVal,_xlfn.XLOOKUP($A145,CSV!$A:$A,CSV!H:H,""),
_xlpm.MacVal,_xlfn.XLOOKUP($A145,Output_Mac!$A:$A,Output_Mac!H:H,""),
_xlpm.MyAuditVal,_xlfn.XLOOKUP($A145,My_Audit!$A:$A,My_Audit!G:G,""),
_xlfn.IFS(_xlpm.MyAuditVal&lt;&gt;"",_xlpm.MyAuditVal,_xlpm.MacVal&lt;&gt;"",_xlpm.MacVal,_xlpm.CSVVal&lt;&gt;"",_xlpm.CSVVal
)),"")</f>
        <v/>
      </c>
      <c r="I145" s="2" t="str">
        <f>_xlfn.XLOOKUP(A145,Output_Mac!A:A,Output_Mac!I:I,"")</f>
        <v/>
      </c>
      <c r="J145" s="2" t="str" cm="1">
        <f t="array" ref="J145">IFERROR(_xlfn.LET(
_xlpm.CSVVal,_xlfn.XLOOKUP($A145,CSV!$A:$A,CSV!I:I,""),
_xlpm.MacVal,_xlfn.XLOOKUP($A145,Output_Mac!$A:$A,Output_Mac!J:J,""),
_xlpm.MyAuditVal,_xlfn.XLOOKUP($A145,My_Audit!$A:$A,My_Audit!I:I,""),
_xlfn.IFS(_xlpm.MyAuditVal&lt;&gt;"",UPPER(_xlpm.MyAuditVal),_xlpm.MacVal&lt;&gt;"",_xlpm.MacVal,_xlpm.CSVVal&lt;&gt;"",_xlpm.CSVVal
)),"")</f>
        <v/>
      </c>
      <c r="K145" s="2" t="str" cm="1">
        <f t="array" ref="K145">IFERROR(_xlfn.LET(
_xlpm.CSVVal,_xlfn.XLOOKUP($A145,CSV!$A:$A,CSV!K:K,""),
_xlpm.MacVal,_xlfn.XLOOKUP($A145,Output_Mac!$A:$A,Output_Mac!K:K,""),
_xlpm.MyAuditVal,_xlfn.XLOOKUP($A145,My_Audit!$A:$A,My_Audit!J:J,""),
_xlfn.IFS(_xlpm.MyAuditVal&lt;&gt;"",UPPER(_xlpm.MyAuditVal),_xlpm.MacVal&lt;&gt;"",_xlpm.MacVal,_xlpm.CSVVal&lt;&gt;"",_xlpm.CSVVal
)),"")</f>
        <v/>
      </c>
      <c r="L145" s="2" t="str" cm="1">
        <f t="array" ref="L145">IFERROR(_xlfn.LET(
_xlpm.CSVVal,_xlfn.XLOOKUP($A145,CSV!$A:$A,CSV!P:P,""),
_xlpm.MacVal,_xlfn.XLOOKUP($A145,Output_Mac!$A:$A,Output_Mac!L:L,""),
_xlpm.MyAuditVal,_xlfn.XLOOKUP($A145,My_Audit!$A:$A,My_Audit!K:K,""),
_xlfn.IFS(_xlpm.MyAuditVal&lt;&gt;"",UPPER(_xlpm.MyAuditVal),_xlpm.MacVal&lt;&gt;"",_xlpm.MacVal,_xlpm.CSVVal&lt;&gt;"",_xlpm.CSVVal
)),"")</f>
        <v/>
      </c>
      <c r="M145" s="2" t="str" cm="1">
        <f t="array" ref="M145">IFERROR(_xlfn.LET(
_xlpm.CSVVal,_xlfn.XLOOKUP($A145,CSV!$A:$A,CSV!Q:Q,""),
_xlpm.MacVal,_xlfn.XLOOKUP($A145,Output_Mac!$A:$A,Output_Mac!M:M,""),
_xlpm.MyAuditVal,_xlfn.XLOOKUP($A145,My_Audit!$A:$A,My_Audit!L:L,""),
_xlfn.IFS(_xlpm.MyAuditVal&lt;&gt;"",UPPER(_xlpm.MyAuditVal),_xlpm.MacVal&lt;&gt;"",_xlpm.MacVal,_xlpm.CSVVal&lt;&gt;"",_xlpm.CSVVal
)),"")</f>
        <v/>
      </c>
      <c r="O145" s="2" t="str">
        <f>_xlfn.LET(
    _xlpm.CSVVal, _xlfn.XLOOKUP($A145, CSV!$A:$A, CSV!AA:AA, ""),
    _xlpm.MacVal, _xlfn.XLOOKUP($A145, Output_Mac!$A:$A, Output_Mac!S:S, ""),
    _xlpm.MyAuditVal, _xlfn.XLOOKUP($A145, My_Audit!$A:$A, My_Audit!P:P, ""),
    _xlfn.TEXTJOIN(", ", TRUE, _xlpm.MyAuditVal, _xlpm.MacVal, _xlpm.CSVVal)
)</f>
        <v/>
      </c>
      <c r="P145" s="2" t="str" cm="1">
        <f t="array" ref="P145">IFERROR(_xlfn.LET(
_xlpm.CSVVal,_xlfn.XLOOKUP($A145,CSV!$A:$A,CSV!AB:AB,""),
_xlpm.MacVal,_xlfn.XLOOKUP($A145,Output_Mac!$A:$A,Output_Mac!T:T,""),
_xlpm.MyAuditVal,_xlfn.XLOOKUP($A145,My_Audit!$A:$A,My_Audit!Q:Q,""),
_xlfn.IFS(_xlpm.MyAuditVal&lt;&gt;"",UPPER(_xlpm.MyAuditVal),_xlpm.MacVal&lt;&gt;"",_xlpm.MacVal,_xlpm.CSVVal&lt;&gt;"",_xlpm.CSVVal
)),"No")</f>
        <v>No</v>
      </c>
      <c r="Q145" s="2" t="str" cm="1">
        <f t="array" ref="Q145">IFERROR(_xlfn.LET(
_xlpm.CSVVal,_xlfn.XLOOKUP($A145,CSV!$A:$A,CSV!AC:AC,""),
_xlpm.MacVal,_xlfn.XLOOKUP($A145,Output_Mac!$A:$A,Output_Mac!U:U,""),
_xlpm.MyAuditVal,_xlfn.XLOOKUP($A145,My_Audit!$A:$A,My_Audit!R:R,""),
_xlfn.IFS(_xlpm.MyAuditVal&lt;&gt;"",UPPER(_xlpm.MyAuditVal),_xlpm.MacVal&lt;&gt;"",_xlpm.MacVal,_xlpm.CSVVal&lt;&gt;"",_xlpm.CSVVal
)),"")</f>
        <v/>
      </c>
      <c r="X145" t="str">
        <f>_xlfn.LET(
    _xlpm.MacVal, _xlfn.XLOOKUP($A145, Output_Mac!$A:$A, Output_Mac!AB:AB, ""),
    _xlpm.MyAuditVal, _xlfn.XLOOKUP($A145, My_Audit!$A:$A, My_Audit!N:N, ""),
    _xlfn.TEXTJOIN(", ", TRUE, _xlpm.MyAuditVal, _xlpm.MacVal)
)</f>
        <v/>
      </c>
    </row>
    <row r="146" spans="1:24">
      <c r="A146" s="2" t="str">
        <f>_xlfn.TEXTJOIN("",TRUE,Input!$B$2,ROW(My_Audit!A145))</f>
        <v>X145</v>
      </c>
      <c r="B146" s="2" t="str">
        <f>_xlfn.TEXTJOIN("-",TRUE,"ITD",Input!$A$2,A146)</f>
        <v>ITD-SHR-X145</v>
      </c>
      <c r="C146" s="2" t="str" cm="1">
        <f t="array" ref="C146">IFERROR(_xlfn.LET(
_xlpm.CSVVal,_xlfn.XLOOKUP($A146,CSV!$A:$A,CSV!B:B,""),
_xlpm.MacVal,_xlfn.XLOOKUP($A146,Output_Mac!$A:$A,Output_Mac!B:B,""),
_xlpm.MyAuditVal,_xlfn.XLOOKUP($A146,My_Audit!$A:$A,My_Audit!B:B,""),
_xlfn.IFS(_xlpm.MyAuditVal&lt;&gt;"",UPPER(_xlpm.MyAuditVal),_xlpm.MacVal&lt;&gt;"",_xlpm.MacVal,_xlpm.CSVVal&lt;&gt;"",_xlpm.CSVVal
)),"")</f>
        <v/>
      </c>
      <c r="D146" s="2" t="str" cm="1">
        <f t="array" ref="D146">IFERROR(_xlfn.LET(
_xlpm.CSVVal,_xlfn.XLOOKUP($A146,CSV!$A:$A,CSV!D:D,""),
_xlpm.MacVal,_xlfn.XLOOKUP($A146,Output_Mac!$A:$A,Output_Mac!C:C,""),
_xlpm.MyAuditVal,_xlfn.XLOOKUP($A146,My_Audit!$A:$A,My_Audit!C:C,""),
_xlfn.IFS(_xlpm.MyAuditVal&lt;&gt;"",_xlpm.MyAuditVal,_xlpm.MacVal&lt;&gt;"",_xlpm.MacVal,_xlpm.CSVVal&lt;&gt;"",_xlpm.CSVVal
)),"")</f>
        <v/>
      </c>
      <c r="E146" s="2" t="str">
        <f>_xlfn.XLOOKUP(A146,My_Audit!A:A,My_Audit!D:D,"")</f>
        <v/>
      </c>
      <c r="F146" s="2" t="str" cm="1">
        <f t="array" ref="F146">IFERROR(_xlfn.LET(
_xlpm.CSVVal,_xlfn.XLOOKUP($A146,CSV!$A:$A,CSV!F:F,""),
_xlpm.MacVal,_xlfn.XLOOKUP($A146,Output_Mac!$A:$A,Output_Mac!E:E,""),
_xlpm.MyAuditVal,_xlfn.XLOOKUP($A146,My_Audit!$A:$A,My_Audit!E:E,""),
_xlfn.IFS(_xlpm.MyAuditVal&lt;&gt;"",_xlpm.MyAuditVal,_xlpm.MacVal&lt;&gt;"",_xlpm.MacVal,_xlpm.CSVVal&lt;&gt;"",_xlpm.CSVVal
)),"")</f>
        <v/>
      </c>
      <c r="G146" s="2" t="str" cm="1">
        <f t="array" ref="G146">IFERROR(_xlfn.LET(
_xlpm.CSVVal,_xlfn.XLOOKUP($A146,CSV!$A:$A,CSV!G:G,""),
_xlpm.MacVal,_xlfn.XLOOKUP($A146,Output_Mac!$A:$A,Output_Mac!F:F,""),
_xlpm.MyAuditVal,_xlfn.XLOOKUP($A146,My_Audit!$A:$A,My_Audit!F:F,""),
_xlfn.IFS(_xlpm.MyAuditVal&lt;&gt;"",_xlpm.MyAuditVal,_xlpm.MacVal&lt;&gt;"",_xlpm.MacVal,_xlpm.CSVVal&lt;&gt;"",PROPER(_xlpm.CSVVal)
)),"")</f>
        <v/>
      </c>
      <c r="H146" s="2" t="str" cm="1">
        <f t="array" ref="H146">IFERROR(_xlfn.LET(
_xlpm.CSVVal,_xlfn.XLOOKUP($A146,CSV!$A:$A,CSV!H:H,""),
_xlpm.MacVal,_xlfn.XLOOKUP($A146,Output_Mac!$A:$A,Output_Mac!H:H,""),
_xlpm.MyAuditVal,_xlfn.XLOOKUP($A146,My_Audit!$A:$A,My_Audit!G:G,""),
_xlfn.IFS(_xlpm.MyAuditVal&lt;&gt;"",_xlpm.MyAuditVal,_xlpm.MacVal&lt;&gt;"",_xlpm.MacVal,_xlpm.CSVVal&lt;&gt;"",_xlpm.CSVVal
)),"")</f>
        <v/>
      </c>
      <c r="I146" s="2" t="str">
        <f>_xlfn.XLOOKUP(A146,Output_Mac!A:A,Output_Mac!I:I,"")</f>
        <v/>
      </c>
      <c r="J146" s="2" t="str" cm="1">
        <f t="array" ref="J146">IFERROR(_xlfn.LET(
_xlpm.CSVVal,_xlfn.XLOOKUP($A146,CSV!$A:$A,CSV!I:I,""),
_xlpm.MacVal,_xlfn.XLOOKUP($A146,Output_Mac!$A:$A,Output_Mac!J:J,""),
_xlpm.MyAuditVal,_xlfn.XLOOKUP($A146,My_Audit!$A:$A,My_Audit!I:I,""),
_xlfn.IFS(_xlpm.MyAuditVal&lt;&gt;"",UPPER(_xlpm.MyAuditVal),_xlpm.MacVal&lt;&gt;"",_xlpm.MacVal,_xlpm.CSVVal&lt;&gt;"",_xlpm.CSVVal
)),"")</f>
        <v/>
      </c>
      <c r="K146" s="2" t="str" cm="1">
        <f t="array" ref="K146">IFERROR(_xlfn.LET(
_xlpm.CSVVal,_xlfn.XLOOKUP($A146,CSV!$A:$A,CSV!K:K,""),
_xlpm.MacVal,_xlfn.XLOOKUP($A146,Output_Mac!$A:$A,Output_Mac!K:K,""),
_xlpm.MyAuditVal,_xlfn.XLOOKUP($A146,My_Audit!$A:$A,My_Audit!J:J,""),
_xlfn.IFS(_xlpm.MyAuditVal&lt;&gt;"",UPPER(_xlpm.MyAuditVal),_xlpm.MacVal&lt;&gt;"",_xlpm.MacVal,_xlpm.CSVVal&lt;&gt;"",_xlpm.CSVVal
)),"")</f>
        <v/>
      </c>
      <c r="L146" s="2" t="str" cm="1">
        <f t="array" ref="L146">IFERROR(_xlfn.LET(
_xlpm.CSVVal,_xlfn.XLOOKUP($A146,CSV!$A:$A,CSV!P:P,""),
_xlpm.MacVal,_xlfn.XLOOKUP($A146,Output_Mac!$A:$A,Output_Mac!L:L,""),
_xlpm.MyAuditVal,_xlfn.XLOOKUP($A146,My_Audit!$A:$A,My_Audit!K:K,""),
_xlfn.IFS(_xlpm.MyAuditVal&lt;&gt;"",UPPER(_xlpm.MyAuditVal),_xlpm.MacVal&lt;&gt;"",_xlpm.MacVal,_xlpm.CSVVal&lt;&gt;"",_xlpm.CSVVal
)),"")</f>
        <v/>
      </c>
      <c r="M146" s="2" t="str" cm="1">
        <f t="array" ref="M146">IFERROR(_xlfn.LET(
_xlpm.CSVVal,_xlfn.XLOOKUP($A146,CSV!$A:$A,CSV!Q:Q,""),
_xlpm.MacVal,_xlfn.XLOOKUP($A146,Output_Mac!$A:$A,Output_Mac!M:M,""),
_xlpm.MyAuditVal,_xlfn.XLOOKUP($A146,My_Audit!$A:$A,My_Audit!L:L,""),
_xlfn.IFS(_xlpm.MyAuditVal&lt;&gt;"",UPPER(_xlpm.MyAuditVal),_xlpm.MacVal&lt;&gt;"",_xlpm.MacVal,_xlpm.CSVVal&lt;&gt;"",_xlpm.CSVVal
)),"")</f>
        <v/>
      </c>
      <c r="O146" s="2" t="str">
        <f>_xlfn.LET(
    _xlpm.CSVVal, _xlfn.XLOOKUP($A146, CSV!$A:$A, CSV!AA:AA, ""),
    _xlpm.MacVal, _xlfn.XLOOKUP($A146, Output_Mac!$A:$A, Output_Mac!S:S, ""),
    _xlpm.MyAuditVal, _xlfn.XLOOKUP($A146, My_Audit!$A:$A, My_Audit!P:P, ""),
    _xlfn.TEXTJOIN(", ", TRUE, _xlpm.MyAuditVal, _xlpm.MacVal, _xlpm.CSVVal)
)</f>
        <v/>
      </c>
      <c r="P146" s="2" t="str" cm="1">
        <f t="array" ref="P146">IFERROR(_xlfn.LET(
_xlpm.CSVVal,_xlfn.XLOOKUP($A146,CSV!$A:$A,CSV!AB:AB,""),
_xlpm.MacVal,_xlfn.XLOOKUP($A146,Output_Mac!$A:$A,Output_Mac!T:T,""),
_xlpm.MyAuditVal,_xlfn.XLOOKUP($A146,My_Audit!$A:$A,My_Audit!Q:Q,""),
_xlfn.IFS(_xlpm.MyAuditVal&lt;&gt;"",UPPER(_xlpm.MyAuditVal),_xlpm.MacVal&lt;&gt;"",_xlpm.MacVal,_xlpm.CSVVal&lt;&gt;"",_xlpm.CSVVal
)),"No")</f>
        <v>No</v>
      </c>
      <c r="Q146" s="2" t="str" cm="1">
        <f t="array" ref="Q146">IFERROR(_xlfn.LET(
_xlpm.CSVVal,_xlfn.XLOOKUP($A146,CSV!$A:$A,CSV!AC:AC,""),
_xlpm.MacVal,_xlfn.XLOOKUP($A146,Output_Mac!$A:$A,Output_Mac!U:U,""),
_xlpm.MyAuditVal,_xlfn.XLOOKUP($A146,My_Audit!$A:$A,My_Audit!R:R,""),
_xlfn.IFS(_xlpm.MyAuditVal&lt;&gt;"",UPPER(_xlpm.MyAuditVal),_xlpm.MacVal&lt;&gt;"",_xlpm.MacVal,_xlpm.CSVVal&lt;&gt;"",_xlpm.CSVVal
)),"")</f>
        <v/>
      </c>
      <c r="X146" t="str">
        <f>_xlfn.LET(
    _xlpm.MacVal, _xlfn.XLOOKUP($A146, Output_Mac!$A:$A, Output_Mac!AB:AB, ""),
    _xlpm.MyAuditVal, _xlfn.XLOOKUP($A146, My_Audit!$A:$A, My_Audit!N:N, ""),
    _xlfn.TEXTJOIN(", ", TRUE, _xlpm.MyAuditVal, _xlpm.MacVal)
)</f>
        <v/>
      </c>
    </row>
    <row r="147" spans="1:24">
      <c r="A147" s="2" t="str">
        <f>_xlfn.TEXTJOIN("",TRUE,Input!$B$2,ROW(My_Audit!A146))</f>
        <v>X146</v>
      </c>
      <c r="B147" s="2" t="str">
        <f>_xlfn.TEXTJOIN("-",TRUE,"ITD",Input!$A$2,A147)</f>
        <v>ITD-SHR-X146</v>
      </c>
      <c r="C147" s="2" t="str" cm="1">
        <f t="array" ref="C147">IFERROR(_xlfn.LET(
_xlpm.CSVVal,_xlfn.XLOOKUP($A147,CSV!$A:$A,CSV!B:B,""),
_xlpm.MacVal,_xlfn.XLOOKUP($A147,Output_Mac!$A:$A,Output_Mac!B:B,""),
_xlpm.MyAuditVal,_xlfn.XLOOKUP($A147,My_Audit!$A:$A,My_Audit!B:B,""),
_xlfn.IFS(_xlpm.MyAuditVal&lt;&gt;"",UPPER(_xlpm.MyAuditVal),_xlpm.MacVal&lt;&gt;"",_xlpm.MacVal,_xlpm.CSVVal&lt;&gt;"",_xlpm.CSVVal
)),"")</f>
        <v/>
      </c>
      <c r="D147" s="2" t="str" cm="1">
        <f t="array" ref="D147">IFERROR(_xlfn.LET(
_xlpm.CSVVal,_xlfn.XLOOKUP($A147,CSV!$A:$A,CSV!D:D,""),
_xlpm.MacVal,_xlfn.XLOOKUP($A147,Output_Mac!$A:$A,Output_Mac!C:C,""),
_xlpm.MyAuditVal,_xlfn.XLOOKUP($A147,My_Audit!$A:$A,My_Audit!C:C,""),
_xlfn.IFS(_xlpm.MyAuditVal&lt;&gt;"",_xlpm.MyAuditVal,_xlpm.MacVal&lt;&gt;"",_xlpm.MacVal,_xlpm.CSVVal&lt;&gt;"",_xlpm.CSVVal
)),"")</f>
        <v/>
      </c>
      <c r="E147" s="2" t="str">
        <f>_xlfn.XLOOKUP(A147,My_Audit!A:A,My_Audit!D:D,"")</f>
        <v/>
      </c>
      <c r="F147" s="2" t="str" cm="1">
        <f t="array" ref="F147">IFERROR(_xlfn.LET(
_xlpm.CSVVal,_xlfn.XLOOKUP($A147,CSV!$A:$A,CSV!F:F,""),
_xlpm.MacVal,_xlfn.XLOOKUP($A147,Output_Mac!$A:$A,Output_Mac!E:E,""),
_xlpm.MyAuditVal,_xlfn.XLOOKUP($A147,My_Audit!$A:$A,My_Audit!E:E,""),
_xlfn.IFS(_xlpm.MyAuditVal&lt;&gt;"",_xlpm.MyAuditVal,_xlpm.MacVal&lt;&gt;"",_xlpm.MacVal,_xlpm.CSVVal&lt;&gt;"",_xlpm.CSVVal
)),"")</f>
        <v/>
      </c>
      <c r="G147" s="2" t="str" cm="1">
        <f t="array" ref="G147">IFERROR(_xlfn.LET(
_xlpm.CSVVal,_xlfn.XLOOKUP($A147,CSV!$A:$A,CSV!G:G,""),
_xlpm.MacVal,_xlfn.XLOOKUP($A147,Output_Mac!$A:$A,Output_Mac!F:F,""),
_xlpm.MyAuditVal,_xlfn.XLOOKUP($A147,My_Audit!$A:$A,My_Audit!F:F,""),
_xlfn.IFS(_xlpm.MyAuditVal&lt;&gt;"",_xlpm.MyAuditVal,_xlpm.MacVal&lt;&gt;"",_xlpm.MacVal,_xlpm.CSVVal&lt;&gt;"",PROPER(_xlpm.CSVVal)
)),"")</f>
        <v/>
      </c>
      <c r="H147" s="2" t="str" cm="1">
        <f t="array" ref="H147">IFERROR(_xlfn.LET(
_xlpm.CSVVal,_xlfn.XLOOKUP($A147,CSV!$A:$A,CSV!H:H,""),
_xlpm.MacVal,_xlfn.XLOOKUP($A147,Output_Mac!$A:$A,Output_Mac!H:H,""),
_xlpm.MyAuditVal,_xlfn.XLOOKUP($A147,My_Audit!$A:$A,My_Audit!G:G,""),
_xlfn.IFS(_xlpm.MyAuditVal&lt;&gt;"",_xlpm.MyAuditVal,_xlpm.MacVal&lt;&gt;"",_xlpm.MacVal,_xlpm.CSVVal&lt;&gt;"",_xlpm.CSVVal
)),"")</f>
        <v/>
      </c>
      <c r="I147" s="2" t="str">
        <f>_xlfn.XLOOKUP(A147,Output_Mac!A:A,Output_Mac!I:I,"")</f>
        <v/>
      </c>
      <c r="J147" s="2" t="str" cm="1">
        <f t="array" ref="J147">IFERROR(_xlfn.LET(
_xlpm.CSVVal,_xlfn.XLOOKUP($A147,CSV!$A:$A,CSV!I:I,""),
_xlpm.MacVal,_xlfn.XLOOKUP($A147,Output_Mac!$A:$A,Output_Mac!J:J,""),
_xlpm.MyAuditVal,_xlfn.XLOOKUP($A147,My_Audit!$A:$A,My_Audit!I:I,""),
_xlfn.IFS(_xlpm.MyAuditVal&lt;&gt;"",UPPER(_xlpm.MyAuditVal),_xlpm.MacVal&lt;&gt;"",_xlpm.MacVal,_xlpm.CSVVal&lt;&gt;"",_xlpm.CSVVal
)),"")</f>
        <v/>
      </c>
      <c r="K147" s="2" t="str" cm="1">
        <f t="array" ref="K147">IFERROR(_xlfn.LET(
_xlpm.CSVVal,_xlfn.XLOOKUP($A147,CSV!$A:$A,CSV!K:K,""),
_xlpm.MacVal,_xlfn.XLOOKUP($A147,Output_Mac!$A:$A,Output_Mac!K:K,""),
_xlpm.MyAuditVal,_xlfn.XLOOKUP($A147,My_Audit!$A:$A,My_Audit!J:J,""),
_xlfn.IFS(_xlpm.MyAuditVal&lt;&gt;"",UPPER(_xlpm.MyAuditVal),_xlpm.MacVal&lt;&gt;"",_xlpm.MacVal,_xlpm.CSVVal&lt;&gt;"",_xlpm.CSVVal
)),"")</f>
        <v/>
      </c>
      <c r="L147" s="2" t="str" cm="1">
        <f t="array" ref="L147">IFERROR(_xlfn.LET(
_xlpm.CSVVal,_xlfn.XLOOKUP($A147,CSV!$A:$A,CSV!P:P,""),
_xlpm.MacVal,_xlfn.XLOOKUP($A147,Output_Mac!$A:$A,Output_Mac!L:L,""),
_xlpm.MyAuditVal,_xlfn.XLOOKUP($A147,My_Audit!$A:$A,My_Audit!K:K,""),
_xlfn.IFS(_xlpm.MyAuditVal&lt;&gt;"",UPPER(_xlpm.MyAuditVal),_xlpm.MacVal&lt;&gt;"",_xlpm.MacVal,_xlpm.CSVVal&lt;&gt;"",_xlpm.CSVVal
)),"")</f>
        <v/>
      </c>
      <c r="M147" s="2" t="str" cm="1">
        <f t="array" ref="M147">IFERROR(_xlfn.LET(
_xlpm.CSVVal,_xlfn.XLOOKUP($A147,CSV!$A:$A,CSV!Q:Q,""),
_xlpm.MacVal,_xlfn.XLOOKUP($A147,Output_Mac!$A:$A,Output_Mac!M:M,""),
_xlpm.MyAuditVal,_xlfn.XLOOKUP($A147,My_Audit!$A:$A,My_Audit!L:L,""),
_xlfn.IFS(_xlpm.MyAuditVal&lt;&gt;"",UPPER(_xlpm.MyAuditVal),_xlpm.MacVal&lt;&gt;"",_xlpm.MacVal,_xlpm.CSVVal&lt;&gt;"",_xlpm.CSVVal
)),"")</f>
        <v/>
      </c>
      <c r="O147" s="2" t="str">
        <f>_xlfn.LET(
    _xlpm.CSVVal, _xlfn.XLOOKUP($A147, CSV!$A:$A, CSV!AA:AA, ""),
    _xlpm.MacVal, _xlfn.XLOOKUP($A147, Output_Mac!$A:$A, Output_Mac!S:S, ""),
    _xlpm.MyAuditVal, _xlfn.XLOOKUP($A147, My_Audit!$A:$A, My_Audit!P:P, ""),
    _xlfn.TEXTJOIN(", ", TRUE, _xlpm.MyAuditVal, _xlpm.MacVal, _xlpm.CSVVal)
)</f>
        <v/>
      </c>
      <c r="P147" s="2" t="str" cm="1">
        <f t="array" ref="P147">IFERROR(_xlfn.LET(
_xlpm.CSVVal,_xlfn.XLOOKUP($A147,CSV!$A:$A,CSV!AB:AB,""),
_xlpm.MacVal,_xlfn.XLOOKUP($A147,Output_Mac!$A:$A,Output_Mac!T:T,""),
_xlpm.MyAuditVal,_xlfn.XLOOKUP($A147,My_Audit!$A:$A,My_Audit!Q:Q,""),
_xlfn.IFS(_xlpm.MyAuditVal&lt;&gt;"",UPPER(_xlpm.MyAuditVal),_xlpm.MacVal&lt;&gt;"",_xlpm.MacVal,_xlpm.CSVVal&lt;&gt;"",_xlpm.CSVVal
)),"No")</f>
        <v>No</v>
      </c>
      <c r="Q147" s="2" t="str" cm="1">
        <f t="array" ref="Q147">IFERROR(_xlfn.LET(
_xlpm.CSVVal,_xlfn.XLOOKUP($A147,CSV!$A:$A,CSV!AC:AC,""),
_xlpm.MacVal,_xlfn.XLOOKUP($A147,Output_Mac!$A:$A,Output_Mac!U:U,""),
_xlpm.MyAuditVal,_xlfn.XLOOKUP($A147,My_Audit!$A:$A,My_Audit!R:R,""),
_xlfn.IFS(_xlpm.MyAuditVal&lt;&gt;"",UPPER(_xlpm.MyAuditVal),_xlpm.MacVal&lt;&gt;"",_xlpm.MacVal,_xlpm.CSVVal&lt;&gt;"",_xlpm.CSVVal
)),"")</f>
        <v/>
      </c>
      <c r="X147" t="str">
        <f>_xlfn.LET(
    _xlpm.MacVal, _xlfn.XLOOKUP($A147, Output_Mac!$A:$A, Output_Mac!AB:AB, ""),
    _xlpm.MyAuditVal, _xlfn.XLOOKUP($A147, My_Audit!$A:$A, My_Audit!N:N, ""),
    _xlfn.TEXTJOIN(", ", TRUE, _xlpm.MyAuditVal, _xlpm.MacVal)
)</f>
        <v/>
      </c>
    </row>
    <row r="148" spans="1:24">
      <c r="A148" s="2" t="str">
        <f>_xlfn.TEXTJOIN("",TRUE,Input!$B$2,ROW(My_Audit!A147))</f>
        <v>X147</v>
      </c>
      <c r="B148" s="2" t="str">
        <f>_xlfn.TEXTJOIN("-",TRUE,"ITD",Input!$A$2,A148)</f>
        <v>ITD-SHR-X147</v>
      </c>
      <c r="C148" s="2" t="str" cm="1">
        <f t="array" ref="C148">IFERROR(_xlfn.LET(
_xlpm.CSVVal,_xlfn.XLOOKUP($A148,CSV!$A:$A,CSV!B:B,""),
_xlpm.MacVal,_xlfn.XLOOKUP($A148,Output_Mac!$A:$A,Output_Mac!B:B,""),
_xlpm.MyAuditVal,_xlfn.XLOOKUP($A148,My_Audit!$A:$A,My_Audit!B:B,""),
_xlfn.IFS(_xlpm.MyAuditVal&lt;&gt;"",UPPER(_xlpm.MyAuditVal),_xlpm.MacVal&lt;&gt;"",_xlpm.MacVal,_xlpm.CSVVal&lt;&gt;"",_xlpm.CSVVal
)),"")</f>
        <v/>
      </c>
      <c r="D148" s="2" t="str" cm="1">
        <f t="array" ref="D148">IFERROR(_xlfn.LET(
_xlpm.CSVVal,_xlfn.XLOOKUP($A148,CSV!$A:$A,CSV!D:D,""),
_xlpm.MacVal,_xlfn.XLOOKUP($A148,Output_Mac!$A:$A,Output_Mac!C:C,""),
_xlpm.MyAuditVal,_xlfn.XLOOKUP($A148,My_Audit!$A:$A,My_Audit!C:C,""),
_xlfn.IFS(_xlpm.MyAuditVal&lt;&gt;"",_xlpm.MyAuditVal,_xlpm.MacVal&lt;&gt;"",_xlpm.MacVal,_xlpm.CSVVal&lt;&gt;"",_xlpm.CSVVal
)),"")</f>
        <v/>
      </c>
      <c r="E148" s="2" t="str">
        <f>_xlfn.XLOOKUP(A148,My_Audit!A:A,My_Audit!D:D,"")</f>
        <v/>
      </c>
      <c r="F148" s="2" t="str" cm="1">
        <f t="array" ref="F148">IFERROR(_xlfn.LET(
_xlpm.CSVVal,_xlfn.XLOOKUP($A148,CSV!$A:$A,CSV!F:F,""),
_xlpm.MacVal,_xlfn.XLOOKUP($A148,Output_Mac!$A:$A,Output_Mac!E:E,""),
_xlpm.MyAuditVal,_xlfn.XLOOKUP($A148,My_Audit!$A:$A,My_Audit!E:E,""),
_xlfn.IFS(_xlpm.MyAuditVal&lt;&gt;"",_xlpm.MyAuditVal,_xlpm.MacVal&lt;&gt;"",_xlpm.MacVal,_xlpm.CSVVal&lt;&gt;"",_xlpm.CSVVal
)),"")</f>
        <v/>
      </c>
      <c r="G148" s="2" t="str" cm="1">
        <f t="array" ref="G148">IFERROR(_xlfn.LET(
_xlpm.CSVVal,_xlfn.XLOOKUP($A148,CSV!$A:$A,CSV!G:G,""),
_xlpm.MacVal,_xlfn.XLOOKUP($A148,Output_Mac!$A:$A,Output_Mac!F:F,""),
_xlpm.MyAuditVal,_xlfn.XLOOKUP($A148,My_Audit!$A:$A,My_Audit!F:F,""),
_xlfn.IFS(_xlpm.MyAuditVal&lt;&gt;"",_xlpm.MyAuditVal,_xlpm.MacVal&lt;&gt;"",_xlpm.MacVal,_xlpm.CSVVal&lt;&gt;"",PROPER(_xlpm.CSVVal)
)),"")</f>
        <v/>
      </c>
      <c r="H148" s="2" t="str" cm="1">
        <f t="array" ref="H148">IFERROR(_xlfn.LET(
_xlpm.CSVVal,_xlfn.XLOOKUP($A148,CSV!$A:$A,CSV!H:H,""),
_xlpm.MacVal,_xlfn.XLOOKUP($A148,Output_Mac!$A:$A,Output_Mac!H:H,""),
_xlpm.MyAuditVal,_xlfn.XLOOKUP($A148,My_Audit!$A:$A,My_Audit!G:G,""),
_xlfn.IFS(_xlpm.MyAuditVal&lt;&gt;"",_xlpm.MyAuditVal,_xlpm.MacVal&lt;&gt;"",_xlpm.MacVal,_xlpm.CSVVal&lt;&gt;"",_xlpm.CSVVal
)),"")</f>
        <v/>
      </c>
      <c r="I148" s="2" t="str">
        <f>_xlfn.XLOOKUP(A148,Output_Mac!A:A,Output_Mac!I:I,"")</f>
        <v/>
      </c>
      <c r="J148" s="2" t="str" cm="1">
        <f t="array" ref="J148">IFERROR(_xlfn.LET(
_xlpm.CSVVal,_xlfn.XLOOKUP($A148,CSV!$A:$A,CSV!I:I,""),
_xlpm.MacVal,_xlfn.XLOOKUP($A148,Output_Mac!$A:$A,Output_Mac!J:J,""),
_xlpm.MyAuditVal,_xlfn.XLOOKUP($A148,My_Audit!$A:$A,My_Audit!I:I,""),
_xlfn.IFS(_xlpm.MyAuditVal&lt;&gt;"",UPPER(_xlpm.MyAuditVal),_xlpm.MacVal&lt;&gt;"",_xlpm.MacVal,_xlpm.CSVVal&lt;&gt;"",_xlpm.CSVVal
)),"")</f>
        <v/>
      </c>
      <c r="K148" s="2" t="str" cm="1">
        <f t="array" ref="K148">IFERROR(_xlfn.LET(
_xlpm.CSVVal,_xlfn.XLOOKUP($A148,CSV!$A:$A,CSV!K:K,""),
_xlpm.MacVal,_xlfn.XLOOKUP($A148,Output_Mac!$A:$A,Output_Mac!K:K,""),
_xlpm.MyAuditVal,_xlfn.XLOOKUP($A148,My_Audit!$A:$A,My_Audit!J:J,""),
_xlfn.IFS(_xlpm.MyAuditVal&lt;&gt;"",UPPER(_xlpm.MyAuditVal),_xlpm.MacVal&lt;&gt;"",_xlpm.MacVal,_xlpm.CSVVal&lt;&gt;"",_xlpm.CSVVal
)),"")</f>
        <v/>
      </c>
      <c r="L148" s="2" t="str" cm="1">
        <f t="array" ref="L148">IFERROR(_xlfn.LET(
_xlpm.CSVVal,_xlfn.XLOOKUP($A148,CSV!$A:$A,CSV!P:P,""),
_xlpm.MacVal,_xlfn.XLOOKUP($A148,Output_Mac!$A:$A,Output_Mac!L:L,""),
_xlpm.MyAuditVal,_xlfn.XLOOKUP($A148,My_Audit!$A:$A,My_Audit!K:K,""),
_xlfn.IFS(_xlpm.MyAuditVal&lt;&gt;"",UPPER(_xlpm.MyAuditVal),_xlpm.MacVal&lt;&gt;"",_xlpm.MacVal,_xlpm.CSVVal&lt;&gt;"",_xlpm.CSVVal
)),"")</f>
        <v/>
      </c>
      <c r="M148" s="2" t="str" cm="1">
        <f t="array" ref="M148">IFERROR(_xlfn.LET(
_xlpm.CSVVal,_xlfn.XLOOKUP($A148,CSV!$A:$A,CSV!Q:Q,""),
_xlpm.MacVal,_xlfn.XLOOKUP($A148,Output_Mac!$A:$A,Output_Mac!M:M,""),
_xlpm.MyAuditVal,_xlfn.XLOOKUP($A148,My_Audit!$A:$A,My_Audit!L:L,""),
_xlfn.IFS(_xlpm.MyAuditVal&lt;&gt;"",UPPER(_xlpm.MyAuditVal),_xlpm.MacVal&lt;&gt;"",_xlpm.MacVal,_xlpm.CSVVal&lt;&gt;"",_xlpm.CSVVal
)),"")</f>
        <v/>
      </c>
      <c r="O148" s="2" t="str">
        <f>_xlfn.LET(
    _xlpm.CSVVal, _xlfn.XLOOKUP($A148, CSV!$A:$A, CSV!AA:AA, ""),
    _xlpm.MacVal, _xlfn.XLOOKUP($A148, Output_Mac!$A:$A, Output_Mac!S:S, ""),
    _xlpm.MyAuditVal, _xlfn.XLOOKUP($A148, My_Audit!$A:$A, My_Audit!P:P, ""),
    _xlfn.TEXTJOIN(", ", TRUE, _xlpm.MyAuditVal, _xlpm.MacVal, _xlpm.CSVVal)
)</f>
        <v/>
      </c>
      <c r="P148" s="2" t="str" cm="1">
        <f t="array" ref="P148">IFERROR(_xlfn.LET(
_xlpm.CSVVal,_xlfn.XLOOKUP($A148,CSV!$A:$A,CSV!AB:AB,""),
_xlpm.MacVal,_xlfn.XLOOKUP($A148,Output_Mac!$A:$A,Output_Mac!T:T,""),
_xlpm.MyAuditVal,_xlfn.XLOOKUP($A148,My_Audit!$A:$A,My_Audit!Q:Q,""),
_xlfn.IFS(_xlpm.MyAuditVal&lt;&gt;"",UPPER(_xlpm.MyAuditVal),_xlpm.MacVal&lt;&gt;"",_xlpm.MacVal,_xlpm.CSVVal&lt;&gt;"",_xlpm.CSVVal
)),"No")</f>
        <v>No</v>
      </c>
      <c r="Q148" s="2" t="str" cm="1">
        <f t="array" ref="Q148">IFERROR(_xlfn.LET(
_xlpm.CSVVal,_xlfn.XLOOKUP($A148,CSV!$A:$A,CSV!AC:AC,""),
_xlpm.MacVal,_xlfn.XLOOKUP($A148,Output_Mac!$A:$A,Output_Mac!U:U,""),
_xlpm.MyAuditVal,_xlfn.XLOOKUP($A148,My_Audit!$A:$A,My_Audit!R:R,""),
_xlfn.IFS(_xlpm.MyAuditVal&lt;&gt;"",UPPER(_xlpm.MyAuditVal),_xlpm.MacVal&lt;&gt;"",_xlpm.MacVal,_xlpm.CSVVal&lt;&gt;"",_xlpm.CSVVal
)),"")</f>
        <v/>
      </c>
      <c r="X148" t="str">
        <f>_xlfn.LET(
    _xlpm.MacVal, _xlfn.XLOOKUP($A148, Output_Mac!$A:$A, Output_Mac!AB:AB, ""),
    _xlpm.MyAuditVal, _xlfn.XLOOKUP($A148, My_Audit!$A:$A, My_Audit!N:N, ""),
    _xlfn.TEXTJOIN(", ", TRUE, _xlpm.MyAuditVal, _xlpm.MacVal)
)</f>
        <v/>
      </c>
    </row>
    <row r="149" spans="1:24">
      <c r="A149" s="2" t="str">
        <f>_xlfn.TEXTJOIN("",TRUE,Input!$B$2,ROW(My_Audit!A148))</f>
        <v>X148</v>
      </c>
      <c r="B149" s="2" t="str">
        <f>_xlfn.TEXTJOIN("-",TRUE,"ITD",Input!$A$2,A149)</f>
        <v>ITD-SHR-X148</v>
      </c>
      <c r="C149" s="2" t="str" cm="1">
        <f t="array" ref="C149">IFERROR(_xlfn.LET(
_xlpm.CSVVal,_xlfn.XLOOKUP($A149,CSV!$A:$A,CSV!B:B,""),
_xlpm.MacVal,_xlfn.XLOOKUP($A149,Output_Mac!$A:$A,Output_Mac!B:B,""),
_xlpm.MyAuditVal,_xlfn.XLOOKUP($A149,My_Audit!$A:$A,My_Audit!B:B,""),
_xlfn.IFS(_xlpm.MyAuditVal&lt;&gt;"",UPPER(_xlpm.MyAuditVal),_xlpm.MacVal&lt;&gt;"",_xlpm.MacVal,_xlpm.CSVVal&lt;&gt;"",_xlpm.CSVVal
)),"")</f>
        <v/>
      </c>
      <c r="D149" s="2" t="str" cm="1">
        <f t="array" ref="D149">IFERROR(_xlfn.LET(
_xlpm.CSVVal,_xlfn.XLOOKUP($A149,CSV!$A:$A,CSV!D:D,""),
_xlpm.MacVal,_xlfn.XLOOKUP($A149,Output_Mac!$A:$A,Output_Mac!C:C,""),
_xlpm.MyAuditVal,_xlfn.XLOOKUP($A149,My_Audit!$A:$A,My_Audit!C:C,""),
_xlfn.IFS(_xlpm.MyAuditVal&lt;&gt;"",_xlpm.MyAuditVal,_xlpm.MacVal&lt;&gt;"",_xlpm.MacVal,_xlpm.CSVVal&lt;&gt;"",_xlpm.CSVVal
)),"")</f>
        <v/>
      </c>
      <c r="E149" s="2" t="str">
        <f>_xlfn.XLOOKUP(A149,My_Audit!A:A,My_Audit!D:D,"")</f>
        <v/>
      </c>
      <c r="F149" s="2" t="str" cm="1">
        <f t="array" ref="F149">IFERROR(_xlfn.LET(
_xlpm.CSVVal,_xlfn.XLOOKUP($A149,CSV!$A:$A,CSV!F:F,""),
_xlpm.MacVal,_xlfn.XLOOKUP($A149,Output_Mac!$A:$A,Output_Mac!E:E,""),
_xlpm.MyAuditVal,_xlfn.XLOOKUP($A149,My_Audit!$A:$A,My_Audit!E:E,""),
_xlfn.IFS(_xlpm.MyAuditVal&lt;&gt;"",_xlpm.MyAuditVal,_xlpm.MacVal&lt;&gt;"",_xlpm.MacVal,_xlpm.CSVVal&lt;&gt;"",_xlpm.CSVVal
)),"")</f>
        <v/>
      </c>
      <c r="G149" s="2" t="str" cm="1">
        <f t="array" ref="G149">IFERROR(_xlfn.LET(
_xlpm.CSVVal,_xlfn.XLOOKUP($A149,CSV!$A:$A,CSV!G:G,""),
_xlpm.MacVal,_xlfn.XLOOKUP($A149,Output_Mac!$A:$A,Output_Mac!F:F,""),
_xlpm.MyAuditVal,_xlfn.XLOOKUP($A149,My_Audit!$A:$A,My_Audit!F:F,""),
_xlfn.IFS(_xlpm.MyAuditVal&lt;&gt;"",_xlpm.MyAuditVal,_xlpm.MacVal&lt;&gt;"",_xlpm.MacVal,_xlpm.CSVVal&lt;&gt;"",PROPER(_xlpm.CSVVal)
)),"")</f>
        <v/>
      </c>
      <c r="H149" s="2" t="str" cm="1">
        <f t="array" ref="H149">IFERROR(_xlfn.LET(
_xlpm.CSVVal,_xlfn.XLOOKUP($A149,CSV!$A:$A,CSV!H:H,""),
_xlpm.MacVal,_xlfn.XLOOKUP($A149,Output_Mac!$A:$A,Output_Mac!H:H,""),
_xlpm.MyAuditVal,_xlfn.XLOOKUP($A149,My_Audit!$A:$A,My_Audit!G:G,""),
_xlfn.IFS(_xlpm.MyAuditVal&lt;&gt;"",_xlpm.MyAuditVal,_xlpm.MacVal&lt;&gt;"",_xlpm.MacVal,_xlpm.CSVVal&lt;&gt;"",_xlpm.CSVVal
)),"")</f>
        <v/>
      </c>
      <c r="I149" s="2" t="str">
        <f>_xlfn.XLOOKUP(A149,Output_Mac!A:A,Output_Mac!I:I,"")</f>
        <v/>
      </c>
      <c r="J149" s="2" t="str" cm="1">
        <f t="array" ref="J149">IFERROR(_xlfn.LET(
_xlpm.CSVVal,_xlfn.XLOOKUP($A149,CSV!$A:$A,CSV!I:I,""),
_xlpm.MacVal,_xlfn.XLOOKUP($A149,Output_Mac!$A:$A,Output_Mac!J:J,""),
_xlpm.MyAuditVal,_xlfn.XLOOKUP($A149,My_Audit!$A:$A,My_Audit!I:I,""),
_xlfn.IFS(_xlpm.MyAuditVal&lt;&gt;"",UPPER(_xlpm.MyAuditVal),_xlpm.MacVal&lt;&gt;"",_xlpm.MacVal,_xlpm.CSVVal&lt;&gt;"",_xlpm.CSVVal
)),"")</f>
        <v/>
      </c>
      <c r="K149" s="2" t="str" cm="1">
        <f t="array" ref="K149">IFERROR(_xlfn.LET(
_xlpm.CSVVal,_xlfn.XLOOKUP($A149,CSV!$A:$A,CSV!K:K,""),
_xlpm.MacVal,_xlfn.XLOOKUP($A149,Output_Mac!$A:$A,Output_Mac!K:K,""),
_xlpm.MyAuditVal,_xlfn.XLOOKUP($A149,My_Audit!$A:$A,My_Audit!J:J,""),
_xlfn.IFS(_xlpm.MyAuditVal&lt;&gt;"",UPPER(_xlpm.MyAuditVal),_xlpm.MacVal&lt;&gt;"",_xlpm.MacVal,_xlpm.CSVVal&lt;&gt;"",_xlpm.CSVVal
)),"")</f>
        <v/>
      </c>
      <c r="L149" s="2" t="str" cm="1">
        <f t="array" ref="L149">IFERROR(_xlfn.LET(
_xlpm.CSVVal,_xlfn.XLOOKUP($A149,CSV!$A:$A,CSV!P:P,""),
_xlpm.MacVal,_xlfn.XLOOKUP($A149,Output_Mac!$A:$A,Output_Mac!L:L,""),
_xlpm.MyAuditVal,_xlfn.XLOOKUP($A149,My_Audit!$A:$A,My_Audit!K:K,""),
_xlfn.IFS(_xlpm.MyAuditVal&lt;&gt;"",UPPER(_xlpm.MyAuditVal),_xlpm.MacVal&lt;&gt;"",_xlpm.MacVal,_xlpm.CSVVal&lt;&gt;"",_xlpm.CSVVal
)),"")</f>
        <v/>
      </c>
      <c r="M149" s="2" t="str" cm="1">
        <f t="array" ref="M149">IFERROR(_xlfn.LET(
_xlpm.CSVVal,_xlfn.XLOOKUP($A149,CSV!$A:$A,CSV!Q:Q,""),
_xlpm.MacVal,_xlfn.XLOOKUP($A149,Output_Mac!$A:$A,Output_Mac!M:M,""),
_xlpm.MyAuditVal,_xlfn.XLOOKUP($A149,My_Audit!$A:$A,My_Audit!L:L,""),
_xlfn.IFS(_xlpm.MyAuditVal&lt;&gt;"",UPPER(_xlpm.MyAuditVal),_xlpm.MacVal&lt;&gt;"",_xlpm.MacVal,_xlpm.CSVVal&lt;&gt;"",_xlpm.CSVVal
)),"")</f>
        <v/>
      </c>
      <c r="O149" s="2" t="str">
        <f>_xlfn.LET(
    _xlpm.CSVVal, _xlfn.XLOOKUP($A149, CSV!$A:$A, CSV!AA:AA, ""),
    _xlpm.MacVal, _xlfn.XLOOKUP($A149, Output_Mac!$A:$A, Output_Mac!S:S, ""),
    _xlpm.MyAuditVal, _xlfn.XLOOKUP($A149, My_Audit!$A:$A, My_Audit!P:P, ""),
    _xlfn.TEXTJOIN(", ", TRUE, _xlpm.MyAuditVal, _xlpm.MacVal, _xlpm.CSVVal)
)</f>
        <v/>
      </c>
      <c r="P149" s="2" t="str" cm="1">
        <f t="array" ref="P149">IFERROR(_xlfn.LET(
_xlpm.CSVVal,_xlfn.XLOOKUP($A149,CSV!$A:$A,CSV!AB:AB,""),
_xlpm.MacVal,_xlfn.XLOOKUP($A149,Output_Mac!$A:$A,Output_Mac!T:T,""),
_xlpm.MyAuditVal,_xlfn.XLOOKUP($A149,My_Audit!$A:$A,My_Audit!Q:Q,""),
_xlfn.IFS(_xlpm.MyAuditVal&lt;&gt;"",UPPER(_xlpm.MyAuditVal),_xlpm.MacVal&lt;&gt;"",_xlpm.MacVal,_xlpm.CSVVal&lt;&gt;"",_xlpm.CSVVal
)),"No")</f>
        <v>No</v>
      </c>
      <c r="Q149" s="2" t="str" cm="1">
        <f t="array" ref="Q149">IFERROR(_xlfn.LET(
_xlpm.CSVVal,_xlfn.XLOOKUP($A149,CSV!$A:$A,CSV!AC:AC,""),
_xlpm.MacVal,_xlfn.XLOOKUP($A149,Output_Mac!$A:$A,Output_Mac!U:U,""),
_xlpm.MyAuditVal,_xlfn.XLOOKUP($A149,My_Audit!$A:$A,My_Audit!R:R,""),
_xlfn.IFS(_xlpm.MyAuditVal&lt;&gt;"",UPPER(_xlpm.MyAuditVal),_xlpm.MacVal&lt;&gt;"",_xlpm.MacVal,_xlpm.CSVVal&lt;&gt;"",_xlpm.CSVVal
)),"")</f>
        <v/>
      </c>
      <c r="X149" t="str">
        <f>_xlfn.LET(
    _xlpm.MacVal, _xlfn.XLOOKUP($A149, Output_Mac!$A:$A, Output_Mac!AB:AB, ""),
    _xlpm.MyAuditVal, _xlfn.XLOOKUP($A149, My_Audit!$A:$A, My_Audit!N:N, ""),
    _xlfn.TEXTJOIN(", ", TRUE, _xlpm.MyAuditVal, _xlpm.MacVal)
)</f>
        <v/>
      </c>
    </row>
    <row r="150" spans="1:24">
      <c r="A150" s="2" t="str">
        <f>_xlfn.TEXTJOIN("",TRUE,Input!$B$2,ROW(My_Audit!A149))</f>
        <v>X149</v>
      </c>
      <c r="B150" s="2" t="str">
        <f>_xlfn.TEXTJOIN("-",TRUE,"ITD",Input!$A$2,A150)</f>
        <v>ITD-SHR-X149</v>
      </c>
      <c r="C150" s="2" t="str" cm="1">
        <f t="array" ref="C150">IFERROR(_xlfn.LET(
_xlpm.CSVVal,_xlfn.XLOOKUP($A150,CSV!$A:$A,CSV!B:B,""),
_xlpm.MacVal,_xlfn.XLOOKUP($A150,Output_Mac!$A:$A,Output_Mac!B:B,""),
_xlpm.MyAuditVal,_xlfn.XLOOKUP($A150,My_Audit!$A:$A,My_Audit!B:B,""),
_xlfn.IFS(_xlpm.MyAuditVal&lt;&gt;"",UPPER(_xlpm.MyAuditVal),_xlpm.MacVal&lt;&gt;"",_xlpm.MacVal,_xlpm.CSVVal&lt;&gt;"",_xlpm.CSVVal
)),"")</f>
        <v/>
      </c>
      <c r="D150" s="2" t="str" cm="1">
        <f t="array" ref="D150">IFERROR(_xlfn.LET(
_xlpm.CSVVal,_xlfn.XLOOKUP($A150,CSV!$A:$A,CSV!D:D,""),
_xlpm.MacVal,_xlfn.XLOOKUP($A150,Output_Mac!$A:$A,Output_Mac!C:C,""),
_xlpm.MyAuditVal,_xlfn.XLOOKUP($A150,My_Audit!$A:$A,My_Audit!C:C,""),
_xlfn.IFS(_xlpm.MyAuditVal&lt;&gt;"",_xlpm.MyAuditVal,_xlpm.MacVal&lt;&gt;"",_xlpm.MacVal,_xlpm.CSVVal&lt;&gt;"",_xlpm.CSVVal
)),"")</f>
        <v/>
      </c>
      <c r="E150" s="2" t="e">
        <f>IF(_xlfn.XLOOKUP(A150,My_Audit!A:A,My_Audit!D:D),_xlfn.XLOOKUP(A150,My_Audit!A:A,My_Audit!D:D),"")</f>
        <v>#N/A</v>
      </c>
      <c r="F150" s="2" t="str" cm="1">
        <f t="array" ref="F150">IFERROR(_xlfn.LET(
_xlpm.CSVVal,_xlfn.XLOOKUP($A150,CSV!$A:$A,CSV!F:F,""),
_xlpm.MacVal,_xlfn.XLOOKUP($A150,Output_Mac!$A:$A,Output_Mac!E:E,""),
_xlpm.MyAuditVal,_xlfn.XLOOKUP($A150,My_Audit!$A:$A,My_Audit!E:E,""),
_xlfn.IFS(_xlpm.MyAuditVal&lt;&gt;"",_xlpm.MyAuditVal,_xlpm.MacVal&lt;&gt;"",_xlpm.MacVal,_xlpm.CSVVal&lt;&gt;"",_xlpm.CSVVal
)),"")</f>
        <v/>
      </c>
      <c r="G150" s="2" t="str" cm="1">
        <f t="array" ref="G150">IFERROR(_xlfn.LET(
_xlpm.CSVVal,_xlfn.XLOOKUP($A150,CSV!$A:$A,CSV!G:G,""),
_xlpm.MacVal,_xlfn.XLOOKUP($A150,Output_Mac!$A:$A,Output_Mac!F:F,""),
_xlpm.MyAuditVal,_xlfn.XLOOKUP($A150,My_Audit!$A:$A,My_Audit!F:F,""),
_xlfn.IFS(_xlpm.MyAuditVal&lt;&gt;"",_xlpm.MyAuditVal,_xlpm.MacVal&lt;&gt;"",_xlpm.MacVal,_xlpm.CSVVal&lt;&gt;"",PROPER(_xlpm.CSVVal)
)),"")</f>
        <v/>
      </c>
      <c r="H150" s="2" t="str" cm="1">
        <f t="array" ref="H150">IFERROR(_xlfn.LET(
_xlpm.CSVVal,_xlfn.XLOOKUP($A150,CSV!$A:$A,CSV!H:H,""),
_xlpm.MacVal,_xlfn.XLOOKUP($A150,Output_Mac!$A:$A,Output_Mac!H:H,""),
_xlpm.MyAuditVal,_xlfn.XLOOKUP($A150,My_Audit!$A:$A,My_Audit!G:G,""),
_xlfn.IFS(_xlpm.MyAuditVal&lt;&gt;"",_xlpm.MyAuditVal,_xlpm.MacVal&lt;&gt;"",_xlpm.MacVal,_xlpm.CSVVal&lt;&gt;"",_xlpm.CSVVal
)),"")</f>
        <v/>
      </c>
      <c r="I150" s="2" t="str">
        <f>_xlfn.XLOOKUP(A150,Output_Mac!A:A,Output_Mac!I:I,"")</f>
        <v/>
      </c>
      <c r="J150" s="2" t="str" cm="1">
        <f t="array" ref="J150">IFERROR(_xlfn.LET(
_xlpm.CSVVal,_xlfn.XLOOKUP($A150,CSV!$A:$A,CSV!I:I,""),
_xlpm.MacVal,_xlfn.XLOOKUP($A150,Output_Mac!$A:$A,Output_Mac!J:J,""),
_xlpm.MyAuditVal,_xlfn.XLOOKUP($A150,My_Audit!$A:$A,My_Audit!I:I,""),
_xlfn.IFS(_xlpm.MyAuditVal&lt;&gt;"",UPPER(_xlpm.MyAuditVal),_xlpm.MacVal&lt;&gt;"",_xlpm.MacVal,_xlpm.CSVVal&lt;&gt;"",_xlpm.CSVVal
)),"")</f>
        <v/>
      </c>
      <c r="K150" s="2" t="str" cm="1">
        <f t="array" ref="K150">IFERROR(_xlfn.LET(
_xlpm.CSVVal,_xlfn.XLOOKUP($A150,CSV!$A:$A,CSV!K:K,""),
_xlpm.MacVal,_xlfn.XLOOKUP($A150,Output_Mac!$A:$A,Output_Mac!K:K,""),
_xlpm.MyAuditVal,_xlfn.XLOOKUP($A150,My_Audit!$A:$A,My_Audit!J:J,""),
_xlfn.IFS(_xlpm.MyAuditVal&lt;&gt;"",UPPER(_xlpm.MyAuditVal),_xlpm.MacVal&lt;&gt;"",_xlpm.MacVal,_xlpm.CSVVal&lt;&gt;"",_xlpm.CSVVal
)),"")</f>
        <v/>
      </c>
      <c r="L150" s="2" t="str" cm="1">
        <f t="array" ref="L150">IFERROR(_xlfn.LET(
_xlpm.CSVVal,_xlfn.XLOOKUP($A150,CSV!$A:$A,CSV!P:P,""),
_xlpm.MacVal,_xlfn.XLOOKUP($A150,Output_Mac!$A:$A,Output_Mac!L:L,""),
_xlpm.MyAuditVal,_xlfn.XLOOKUP($A150,My_Audit!$A:$A,My_Audit!K:K,""),
_xlfn.IFS(_xlpm.MyAuditVal&lt;&gt;"",UPPER(_xlpm.MyAuditVal),_xlpm.MacVal&lt;&gt;"",_xlpm.MacVal,_xlpm.CSVVal&lt;&gt;"",_xlpm.CSVVal
)),"")</f>
        <v/>
      </c>
      <c r="M150" s="2" t="str" cm="1">
        <f t="array" ref="M150">IFERROR(_xlfn.LET(
_xlpm.CSVVal,_xlfn.XLOOKUP($A150,CSV!$A:$A,CSV!Q:Q,""),
_xlpm.MacVal,_xlfn.XLOOKUP($A150,Output_Mac!$A:$A,Output_Mac!M:M,""),
_xlpm.MyAuditVal,_xlfn.XLOOKUP($A150,My_Audit!$A:$A,My_Audit!L:L,""),
_xlfn.IFS(_xlpm.MyAuditVal&lt;&gt;"",UPPER(_xlpm.MyAuditVal),_xlpm.MacVal&lt;&gt;"",_xlpm.MacVal,_xlpm.CSVVal&lt;&gt;"",_xlpm.CSVVal
)),"")</f>
        <v/>
      </c>
      <c r="O150" s="2" t="str">
        <f>_xlfn.LET(
    _xlpm.CSVVal, _xlfn.XLOOKUP($A150, CSV!$A:$A, CSV!AA:AA, ""),
    _xlpm.MacVal, _xlfn.XLOOKUP($A150, Output_Mac!$A:$A, Output_Mac!S:S, ""),
    _xlpm.MyAuditVal, _xlfn.XLOOKUP($A150, My_Audit!$A:$A, My_Audit!P:P, ""),
    _xlfn.TEXTJOIN(", ", TRUE, _xlpm.MyAuditVal, _xlpm.MacVal, _xlpm.CSVVal)
)</f>
        <v/>
      </c>
      <c r="P150" s="2" t="str" cm="1">
        <f t="array" ref="P150">IFERROR(_xlfn.LET(
_xlpm.CSVVal,_xlfn.XLOOKUP($A150,CSV!$A:$A,CSV!AB:AB,""),
_xlpm.MacVal,_xlfn.XLOOKUP($A150,Output_Mac!$A:$A,Output_Mac!T:T,""),
_xlpm.MyAuditVal,_xlfn.XLOOKUP($A150,My_Audit!$A:$A,My_Audit!Q:Q,""),
_xlfn.IFS(_xlpm.MyAuditVal&lt;&gt;"",UPPER(_xlpm.MyAuditVal),_xlpm.MacVal&lt;&gt;"",_xlpm.MacVal,_xlpm.CSVVal&lt;&gt;"",_xlpm.CSVVal
)),"No")</f>
        <v>No</v>
      </c>
      <c r="Q150" s="2" t="str" cm="1">
        <f t="array" ref="Q150">IFERROR(_xlfn.LET(
_xlpm.CSVVal,_xlfn.XLOOKUP($A150,CSV!$A:$A,CSV!AC:AC,""),
_xlpm.MacVal,_xlfn.XLOOKUP($A150,Output_Mac!$A:$A,Output_Mac!U:U,""),
_xlpm.MyAuditVal,_xlfn.XLOOKUP($A150,My_Audit!$A:$A,My_Audit!R:R,""),
_xlfn.IFS(_xlpm.MyAuditVal&lt;&gt;"",UPPER(_xlpm.MyAuditVal),_xlpm.MacVal&lt;&gt;"",_xlpm.MacVal,_xlpm.CSVVal&lt;&gt;"",_xlpm.CSVVal
)),"")</f>
        <v/>
      </c>
      <c r="X150" t="str">
        <f>_xlfn.LET(
    _xlpm.MacVal, _xlfn.XLOOKUP($A150, Output_Mac!$A:$A, Output_Mac!AB:AB, ""),
    _xlpm.MyAuditVal, _xlfn.XLOOKUP($A150, My_Audit!$A:$A, My_Audit!N:N, ""),
    _xlfn.TEXTJOIN(", ", TRUE, _xlpm.MyAuditVal, _xlpm.MacVal)
)</f>
        <v/>
      </c>
    </row>
    <row r="151" spans="1:24">
      <c r="A151" s="2" t="str">
        <f>_xlfn.TEXTJOIN("",TRUE,Input!$B$2,ROW(My_Audit!A150))</f>
        <v>X150</v>
      </c>
      <c r="B151" s="2" t="str">
        <f>_xlfn.TEXTJOIN("-",TRUE,"ITD",Input!$A$2,A151)</f>
        <v>ITD-SHR-X150</v>
      </c>
      <c r="C151" s="2" t="str" cm="1">
        <f t="array" ref="C151">IFERROR(_xlfn.LET(
_xlpm.CSVVal,_xlfn.XLOOKUP($A151,CSV!$A:$A,CSV!B:B,""),
_xlpm.MacVal,_xlfn.XLOOKUP($A151,Output_Mac!$A:$A,Output_Mac!B:B,""),
_xlpm.MyAuditVal,_xlfn.XLOOKUP($A151,My_Audit!$A:$A,My_Audit!B:B,""),
_xlfn.IFS(_xlpm.MyAuditVal&lt;&gt;"",UPPER(_xlpm.MyAuditVal),_xlpm.MacVal&lt;&gt;"",_xlpm.MacVal,_xlpm.CSVVal&lt;&gt;"",_xlpm.CSVVal
)),"")</f>
        <v/>
      </c>
      <c r="D151" s="2" t="str" cm="1">
        <f t="array" ref="D151">IFERROR(_xlfn.LET(
_xlpm.CSVVal,_xlfn.XLOOKUP($A151,CSV!$A:$A,CSV!D:D,""),
_xlpm.MacVal,_xlfn.XLOOKUP($A151,Output_Mac!$A:$A,Output_Mac!C:C,""),
_xlpm.MyAuditVal,_xlfn.XLOOKUP($A151,My_Audit!$A:$A,My_Audit!C:C,""),
_xlfn.IFS(_xlpm.MyAuditVal&lt;&gt;"",_xlpm.MyAuditVal,_xlpm.MacVal&lt;&gt;"",_xlpm.MacVal,_xlpm.CSVVal&lt;&gt;"",_xlpm.CSVVal
)),"")</f>
        <v/>
      </c>
      <c r="E151" s="2" t="e">
        <f>IF(_xlfn.XLOOKUP(A151,My_Audit!A:A,My_Audit!D:D),_xlfn.XLOOKUP(A151,My_Audit!A:A,My_Audit!D:D),"")</f>
        <v>#N/A</v>
      </c>
      <c r="F151" s="2" t="str" cm="1">
        <f t="array" ref="F151">IFERROR(_xlfn.LET(
_xlpm.CSVVal,_xlfn.XLOOKUP($A151,CSV!$A:$A,CSV!F:F,""),
_xlpm.MacVal,_xlfn.XLOOKUP($A151,Output_Mac!$A:$A,Output_Mac!E:E,""),
_xlpm.MyAuditVal,_xlfn.XLOOKUP($A151,My_Audit!$A:$A,My_Audit!E:E,""),
_xlfn.IFS(_xlpm.MyAuditVal&lt;&gt;"",_xlpm.MyAuditVal,_xlpm.MacVal&lt;&gt;"",_xlpm.MacVal,_xlpm.CSVVal&lt;&gt;"",_xlpm.CSVVal
)),"")</f>
        <v/>
      </c>
      <c r="G151" s="2" t="str" cm="1">
        <f t="array" ref="G151">IFERROR(_xlfn.LET(
_xlpm.CSVVal,_xlfn.XLOOKUP($A151,CSV!$A:$A,CSV!G:G,""),
_xlpm.MacVal,_xlfn.XLOOKUP($A151,Output_Mac!$A:$A,Output_Mac!F:F,""),
_xlpm.MyAuditVal,_xlfn.XLOOKUP($A151,My_Audit!$A:$A,My_Audit!F:F,""),
_xlfn.IFS(_xlpm.MyAuditVal&lt;&gt;"",_xlpm.MyAuditVal,_xlpm.MacVal&lt;&gt;"",_xlpm.MacVal,_xlpm.CSVVal&lt;&gt;"",PROPER(_xlpm.CSVVal)
)),"")</f>
        <v/>
      </c>
      <c r="H151" s="2" t="str" cm="1">
        <f t="array" ref="H151">IFERROR(_xlfn.LET(
_xlpm.CSVVal,_xlfn.XLOOKUP($A151,CSV!$A:$A,CSV!H:H,""),
_xlpm.MacVal,_xlfn.XLOOKUP($A151,Output_Mac!$A:$A,Output_Mac!H:H,""),
_xlpm.MyAuditVal,_xlfn.XLOOKUP($A151,My_Audit!$A:$A,My_Audit!G:G,""),
_xlfn.IFS(_xlpm.MyAuditVal&lt;&gt;"",_xlpm.MyAuditVal,_xlpm.MacVal&lt;&gt;"",_xlpm.MacVal,_xlpm.CSVVal&lt;&gt;"",_xlpm.CSVVal
)),"")</f>
        <v/>
      </c>
      <c r="I151" s="2" t="str">
        <f>_xlfn.XLOOKUP(A151,Output_Mac!A:A,Output_Mac!I:I,"")</f>
        <v/>
      </c>
      <c r="J151" s="2" t="str" cm="1">
        <f t="array" ref="J151">IFERROR(_xlfn.LET(
_xlpm.CSVVal,_xlfn.XLOOKUP($A151,CSV!$A:$A,CSV!I:I,""),
_xlpm.MacVal,_xlfn.XLOOKUP($A151,Output_Mac!$A:$A,Output_Mac!J:J,""),
_xlpm.MyAuditVal,_xlfn.XLOOKUP($A151,My_Audit!$A:$A,My_Audit!I:I,""),
_xlfn.IFS(_xlpm.MyAuditVal&lt;&gt;"",UPPER(_xlpm.MyAuditVal),_xlpm.MacVal&lt;&gt;"",_xlpm.MacVal,_xlpm.CSVVal&lt;&gt;"",_xlpm.CSVVal
)),"")</f>
        <v/>
      </c>
      <c r="K151" s="2" t="str" cm="1">
        <f t="array" ref="K151">IFERROR(_xlfn.LET(
_xlpm.CSVVal,_xlfn.XLOOKUP($A151,CSV!$A:$A,CSV!K:K,""),
_xlpm.MacVal,_xlfn.XLOOKUP($A151,Output_Mac!$A:$A,Output_Mac!K:K,""),
_xlpm.MyAuditVal,_xlfn.XLOOKUP($A151,My_Audit!$A:$A,My_Audit!J:J,""),
_xlfn.IFS(_xlpm.MyAuditVal&lt;&gt;"",UPPER(_xlpm.MyAuditVal),_xlpm.MacVal&lt;&gt;"",_xlpm.MacVal,_xlpm.CSVVal&lt;&gt;"",_xlpm.CSVVal
)),"")</f>
        <v/>
      </c>
      <c r="L151" s="2" t="str" cm="1">
        <f t="array" ref="L151">IFERROR(_xlfn.LET(
_xlpm.CSVVal,_xlfn.XLOOKUP($A151,CSV!$A:$A,CSV!P:P,""),
_xlpm.MacVal,_xlfn.XLOOKUP($A151,Output_Mac!$A:$A,Output_Mac!L:L,""),
_xlpm.MyAuditVal,_xlfn.XLOOKUP($A151,My_Audit!$A:$A,My_Audit!K:K,""),
_xlfn.IFS(_xlpm.MyAuditVal&lt;&gt;"",UPPER(_xlpm.MyAuditVal),_xlpm.MacVal&lt;&gt;"",_xlpm.MacVal,_xlpm.CSVVal&lt;&gt;"",_xlpm.CSVVal
)),"")</f>
        <v/>
      </c>
      <c r="M151" s="2" t="str" cm="1">
        <f t="array" ref="M151">IFERROR(_xlfn.LET(
_xlpm.CSVVal,_xlfn.XLOOKUP($A151,CSV!$A:$A,CSV!Q:Q,""),
_xlpm.MacVal,_xlfn.XLOOKUP($A151,Output_Mac!$A:$A,Output_Mac!M:M,""),
_xlpm.MyAuditVal,_xlfn.XLOOKUP($A151,My_Audit!$A:$A,My_Audit!L:L,""),
_xlfn.IFS(_xlpm.MyAuditVal&lt;&gt;"",UPPER(_xlpm.MyAuditVal),_xlpm.MacVal&lt;&gt;"",_xlpm.MacVal,_xlpm.CSVVal&lt;&gt;"",_xlpm.CSVVal
)),"")</f>
        <v/>
      </c>
      <c r="O151" s="2" t="str">
        <f>_xlfn.LET(
    _xlpm.CSVVal, _xlfn.XLOOKUP($A151, CSV!$A:$A, CSV!AA:AA, ""),
    _xlpm.MacVal, _xlfn.XLOOKUP($A151, Output_Mac!$A:$A, Output_Mac!S:S, ""),
    _xlpm.MyAuditVal, _xlfn.XLOOKUP($A151, My_Audit!$A:$A, My_Audit!P:P, ""),
    _xlfn.TEXTJOIN(", ", TRUE, _xlpm.MyAuditVal, _xlpm.MacVal, _xlpm.CSVVal)
)</f>
        <v/>
      </c>
      <c r="P151" s="2" t="str" cm="1">
        <f t="array" ref="P151">IFERROR(_xlfn.LET(
_xlpm.CSVVal,_xlfn.XLOOKUP($A151,CSV!$A:$A,CSV!AB:AB,""),
_xlpm.MacVal,_xlfn.XLOOKUP($A151,Output_Mac!$A:$A,Output_Mac!T:T,""),
_xlpm.MyAuditVal,_xlfn.XLOOKUP($A151,My_Audit!$A:$A,My_Audit!Q:Q,""),
_xlfn.IFS(_xlpm.MyAuditVal&lt;&gt;"",UPPER(_xlpm.MyAuditVal),_xlpm.MacVal&lt;&gt;"",_xlpm.MacVal,_xlpm.CSVVal&lt;&gt;"",_xlpm.CSVVal
)),"No")</f>
        <v>No</v>
      </c>
      <c r="Q151" s="2" t="str" cm="1">
        <f t="array" ref="Q151">IFERROR(_xlfn.LET(
_xlpm.CSVVal,_xlfn.XLOOKUP($A151,CSV!$A:$A,CSV!AC:AC,""),
_xlpm.MacVal,_xlfn.XLOOKUP($A151,Output_Mac!$A:$A,Output_Mac!U:U,""),
_xlpm.MyAuditVal,_xlfn.XLOOKUP($A151,My_Audit!$A:$A,My_Audit!R:R,""),
_xlfn.IFS(_xlpm.MyAuditVal&lt;&gt;"",UPPER(_xlpm.MyAuditVal),_xlpm.MacVal&lt;&gt;"",_xlpm.MacVal,_xlpm.CSVVal&lt;&gt;"",_xlpm.CSVVal
)),"")</f>
        <v/>
      </c>
      <c r="X151" t="str">
        <f>_xlfn.LET(
    _xlpm.MacVal, _xlfn.XLOOKUP($A151, Output_Mac!$A:$A, Output_Mac!AB:AB, ""),
    _xlpm.MyAuditVal, _xlfn.XLOOKUP($A151, My_Audit!$A:$A, My_Audit!N:N, ""),
    _xlfn.TEXTJOIN(", ", TRUE, _xlpm.MyAuditVal, _xlpm.MacVal)
)</f>
        <v/>
      </c>
    </row>
    <row r="152" spans="1:24">
      <c r="A152" s="2" t="str">
        <f>_xlfn.TEXTJOIN("",TRUE,Input!$B$2,ROW(My_Audit!A151))</f>
        <v>X151</v>
      </c>
      <c r="B152" s="2" t="str">
        <f>_xlfn.TEXTJOIN("-",TRUE,"ITD",Input!$A$2,A152)</f>
        <v>ITD-SHR-X151</v>
      </c>
      <c r="C152" s="2" t="str" cm="1">
        <f t="array" ref="C152">IFERROR(_xlfn.LET(
_xlpm.CSVVal,_xlfn.XLOOKUP($A152,CSV!$A:$A,CSV!B:B,""),
_xlpm.MacVal,_xlfn.XLOOKUP($A152,Output_Mac!$A:$A,Output_Mac!B:B,""),
_xlpm.MyAuditVal,_xlfn.XLOOKUP($A152,My_Audit!$A:$A,My_Audit!B:B,""),
_xlfn.IFS(_xlpm.MyAuditVal&lt;&gt;"",UPPER(_xlpm.MyAuditVal),_xlpm.MacVal&lt;&gt;"",_xlpm.MacVal,_xlpm.CSVVal&lt;&gt;"",_xlpm.CSVVal
)),"")</f>
        <v/>
      </c>
      <c r="D152" s="2" t="str" cm="1">
        <f t="array" ref="D152">IFERROR(_xlfn.LET(
_xlpm.CSVVal,_xlfn.XLOOKUP($A152,CSV!$A:$A,CSV!D:D,""),
_xlpm.MacVal,_xlfn.XLOOKUP($A152,Output_Mac!$A:$A,Output_Mac!C:C,""),
_xlpm.MyAuditVal,_xlfn.XLOOKUP($A152,My_Audit!$A:$A,My_Audit!C:C,""),
_xlfn.IFS(_xlpm.MyAuditVal&lt;&gt;"",_xlpm.MyAuditVal,_xlpm.MacVal&lt;&gt;"",_xlpm.MacVal,_xlpm.CSVVal&lt;&gt;"",_xlpm.CSVVal
)),"")</f>
        <v/>
      </c>
      <c r="E152" s="2" t="e">
        <f>IF(_xlfn.XLOOKUP(A152,My_Audit!A:A,My_Audit!D:D),_xlfn.XLOOKUP(A152,My_Audit!A:A,My_Audit!D:D),"")</f>
        <v>#N/A</v>
      </c>
      <c r="F152" s="2" t="str" cm="1">
        <f t="array" ref="F152">IFERROR(_xlfn.LET(
_xlpm.CSVVal,_xlfn.XLOOKUP($A152,CSV!$A:$A,CSV!F:F,""),
_xlpm.MacVal,_xlfn.XLOOKUP($A152,Output_Mac!$A:$A,Output_Mac!E:E,""),
_xlpm.MyAuditVal,_xlfn.XLOOKUP($A152,My_Audit!$A:$A,My_Audit!E:E,""),
_xlfn.IFS(_xlpm.MyAuditVal&lt;&gt;"",_xlpm.MyAuditVal,_xlpm.MacVal&lt;&gt;"",_xlpm.MacVal,_xlpm.CSVVal&lt;&gt;"",_xlpm.CSVVal
)),"")</f>
        <v/>
      </c>
      <c r="G152" s="2" t="str" cm="1">
        <f t="array" ref="G152">IFERROR(_xlfn.LET(
_xlpm.CSVVal,_xlfn.XLOOKUP($A152,CSV!$A:$A,CSV!G:G,""),
_xlpm.MacVal,_xlfn.XLOOKUP($A152,Output_Mac!$A:$A,Output_Mac!F:F,""),
_xlpm.MyAuditVal,_xlfn.XLOOKUP($A152,My_Audit!$A:$A,My_Audit!F:F,""),
_xlfn.IFS(_xlpm.MyAuditVal&lt;&gt;"",_xlpm.MyAuditVal,_xlpm.MacVal&lt;&gt;"",_xlpm.MacVal,_xlpm.CSVVal&lt;&gt;"",PROPER(_xlpm.CSVVal)
)),"")</f>
        <v/>
      </c>
      <c r="H152" s="2" t="str" cm="1">
        <f t="array" ref="H152">IFERROR(_xlfn.LET(
_xlpm.CSVVal,_xlfn.XLOOKUP($A152,CSV!$A:$A,CSV!H:H,""),
_xlpm.MacVal,_xlfn.XLOOKUP($A152,Output_Mac!$A:$A,Output_Mac!H:H,""),
_xlpm.MyAuditVal,_xlfn.XLOOKUP($A152,My_Audit!$A:$A,My_Audit!G:G,""),
_xlfn.IFS(_xlpm.MyAuditVal&lt;&gt;"",_xlpm.MyAuditVal,_xlpm.MacVal&lt;&gt;"",_xlpm.MacVal,_xlpm.CSVVal&lt;&gt;"",_xlpm.CSVVal
)),"")</f>
        <v/>
      </c>
      <c r="I152" s="2" t="str">
        <f>_xlfn.XLOOKUP(A152,Output_Mac!A:A,Output_Mac!I:I,"")</f>
        <v/>
      </c>
      <c r="J152" s="2" t="str" cm="1">
        <f t="array" ref="J152">IFERROR(_xlfn.LET(
_xlpm.CSVVal,_xlfn.XLOOKUP($A152,CSV!$A:$A,CSV!I:I,""),
_xlpm.MacVal,_xlfn.XLOOKUP($A152,Output_Mac!$A:$A,Output_Mac!J:J,""),
_xlpm.MyAuditVal,_xlfn.XLOOKUP($A152,My_Audit!$A:$A,My_Audit!I:I,""),
_xlfn.IFS(_xlpm.MyAuditVal&lt;&gt;"",UPPER(_xlpm.MyAuditVal),_xlpm.MacVal&lt;&gt;"",_xlpm.MacVal,_xlpm.CSVVal&lt;&gt;"",_xlpm.CSVVal
)),"")</f>
        <v/>
      </c>
      <c r="K152" s="2" t="str" cm="1">
        <f t="array" ref="K152">IFERROR(_xlfn.LET(
_xlpm.CSVVal,_xlfn.XLOOKUP($A152,CSV!$A:$A,CSV!K:K,""),
_xlpm.MacVal,_xlfn.XLOOKUP($A152,Output_Mac!$A:$A,Output_Mac!K:K,""),
_xlpm.MyAuditVal,_xlfn.XLOOKUP($A152,My_Audit!$A:$A,My_Audit!J:J,""),
_xlfn.IFS(_xlpm.MyAuditVal&lt;&gt;"",UPPER(_xlpm.MyAuditVal),_xlpm.MacVal&lt;&gt;"",_xlpm.MacVal,_xlpm.CSVVal&lt;&gt;"",_xlpm.CSVVal
)),"")</f>
        <v/>
      </c>
      <c r="L152" s="2" t="str" cm="1">
        <f t="array" ref="L152">IFERROR(_xlfn.LET(
_xlpm.CSVVal,_xlfn.XLOOKUP($A152,CSV!$A:$A,CSV!P:P,""),
_xlpm.MacVal,_xlfn.XLOOKUP($A152,Output_Mac!$A:$A,Output_Mac!L:L,""),
_xlpm.MyAuditVal,_xlfn.XLOOKUP($A152,My_Audit!$A:$A,My_Audit!K:K,""),
_xlfn.IFS(_xlpm.MyAuditVal&lt;&gt;"",UPPER(_xlpm.MyAuditVal),_xlpm.MacVal&lt;&gt;"",_xlpm.MacVal,_xlpm.CSVVal&lt;&gt;"",_xlpm.CSVVal
)),"")</f>
        <v/>
      </c>
      <c r="M152" s="2" t="str" cm="1">
        <f t="array" ref="M152">IFERROR(_xlfn.LET(
_xlpm.CSVVal,_xlfn.XLOOKUP($A152,CSV!$A:$A,CSV!Q:Q,""),
_xlpm.MacVal,_xlfn.XLOOKUP($A152,Output_Mac!$A:$A,Output_Mac!M:M,""),
_xlpm.MyAuditVal,_xlfn.XLOOKUP($A152,My_Audit!$A:$A,My_Audit!L:L,""),
_xlfn.IFS(_xlpm.MyAuditVal&lt;&gt;"",UPPER(_xlpm.MyAuditVal),_xlpm.MacVal&lt;&gt;"",_xlpm.MacVal,_xlpm.CSVVal&lt;&gt;"",_xlpm.CSVVal
)),"")</f>
        <v/>
      </c>
      <c r="O152" s="2" t="str">
        <f>_xlfn.LET(
    _xlpm.CSVVal, _xlfn.XLOOKUP($A152, CSV!$A:$A, CSV!AA:AA, ""),
    _xlpm.MacVal, _xlfn.XLOOKUP($A152, Output_Mac!$A:$A, Output_Mac!S:S, ""),
    _xlpm.MyAuditVal, _xlfn.XLOOKUP($A152, My_Audit!$A:$A, My_Audit!P:P, ""),
    _xlfn.TEXTJOIN(", ", TRUE, _xlpm.MyAuditVal, _xlpm.MacVal, _xlpm.CSVVal)
)</f>
        <v/>
      </c>
      <c r="P152" s="2" t="str" cm="1">
        <f t="array" ref="P152">IFERROR(_xlfn.LET(
_xlpm.CSVVal,_xlfn.XLOOKUP($A152,CSV!$A:$A,CSV!AB:AB,""),
_xlpm.MacVal,_xlfn.XLOOKUP($A152,Output_Mac!$A:$A,Output_Mac!T:T,""),
_xlpm.MyAuditVal,_xlfn.XLOOKUP($A152,My_Audit!$A:$A,My_Audit!Q:Q,""),
_xlfn.IFS(_xlpm.MyAuditVal&lt;&gt;"",UPPER(_xlpm.MyAuditVal),_xlpm.MacVal&lt;&gt;"",_xlpm.MacVal,_xlpm.CSVVal&lt;&gt;"",_xlpm.CSVVal
)),"No")</f>
        <v>No</v>
      </c>
      <c r="Q152" s="2" t="str" cm="1">
        <f t="array" ref="Q152">IFERROR(_xlfn.LET(
_xlpm.CSVVal,_xlfn.XLOOKUP($A152,CSV!$A:$A,CSV!AC:AC,""),
_xlpm.MacVal,_xlfn.XLOOKUP($A152,Output_Mac!$A:$A,Output_Mac!U:U,""),
_xlpm.MyAuditVal,_xlfn.XLOOKUP($A152,My_Audit!$A:$A,My_Audit!R:R,""),
_xlfn.IFS(_xlpm.MyAuditVal&lt;&gt;"",UPPER(_xlpm.MyAuditVal),_xlpm.MacVal&lt;&gt;"",_xlpm.MacVal,_xlpm.CSVVal&lt;&gt;"",_xlpm.CSVVal
)),"")</f>
        <v/>
      </c>
      <c r="X152" t="str">
        <f>_xlfn.LET(
    _xlpm.MacVal, _xlfn.XLOOKUP($A152, Output_Mac!$A:$A, Output_Mac!AB:AB, ""),
    _xlpm.MyAuditVal, _xlfn.XLOOKUP($A152, My_Audit!$A:$A, My_Audit!N:N, ""),
    _xlfn.TEXTJOIN(", ", TRUE, _xlpm.MyAuditVal, _xlpm.MacVal)
)</f>
        <v/>
      </c>
    </row>
    <row r="153" spans="1:24">
      <c r="A153" s="2" t="str">
        <f>_xlfn.TEXTJOIN("",TRUE,Input!$B$2,ROW(My_Audit!A152))</f>
        <v>X152</v>
      </c>
      <c r="B153" s="2" t="str">
        <f>_xlfn.TEXTJOIN("-",TRUE,"ITD",Input!$A$2,A153)</f>
        <v>ITD-SHR-X152</v>
      </c>
      <c r="C153" s="2" t="str" cm="1">
        <f t="array" ref="C153">IFERROR(_xlfn.LET(
_xlpm.CSVVal,_xlfn.XLOOKUP($A153,CSV!$A:$A,CSV!B:B,""),
_xlpm.MacVal,_xlfn.XLOOKUP($A153,Output_Mac!$A:$A,Output_Mac!B:B,""),
_xlpm.MyAuditVal,_xlfn.XLOOKUP($A153,My_Audit!$A:$A,My_Audit!B:B,""),
_xlfn.IFS(_xlpm.MyAuditVal&lt;&gt;"",UPPER(_xlpm.MyAuditVal),_xlpm.MacVal&lt;&gt;"",_xlpm.MacVal,_xlpm.CSVVal&lt;&gt;"",_xlpm.CSVVal
)),"")</f>
        <v/>
      </c>
      <c r="D153" s="2" t="str" cm="1">
        <f t="array" ref="D153">IFERROR(_xlfn.LET(
_xlpm.CSVVal,_xlfn.XLOOKUP($A153,CSV!$A:$A,CSV!D:D,""),
_xlpm.MacVal,_xlfn.XLOOKUP($A153,Output_Mac!$A:$A,Output_Mac!C:C,""),
_xlpm.MyAuditVal,_xlfn.XLOOKUP($A153,My_Audit!$A:$A,My_Audit!C:C,""),
_xlfn.IFS(_xlpm.MyAuditVal&lt;&gt;"",_xlpm.MyAuditVal,_xlpm.MacVal&lt;&gt;"",_xlpm.MacVal,_xlpm.CSVVal&lt;&gt;"",_xlpm.CSVVal
)),"")</f>
        <v/>
      </c>
      <c r="E153" s="2" t="e">
        <f>IF(_xlfn.XLOOKUP(A153,My_Audit!A:A,My_Audit!D:D),_xlfn.XLOOKUP(A153,My_Audit!A:A,My_Audit!D:D),"")</f>
        <v>#N/A</v>
      </c>
      <c r="F153" s="2" t="str" cm="1">
        <f t="array" ref="F153">IFERROR(_xlfn.LET(
_xlpm.CSVVal,_xlfn.XLOOKUP($A153,CSV!$A:$A,CSV!F:F,""),
_xlpm.MacVal,_xlfn.XLOOKUP($A153,Output_Mac!$A:$A,Output_Mac!E:E,""),
_xlpm.MyAuditVal,_xlfn.XLOOKUP($A153,My_Audit!$A:$A,My_Audit!E:E,""),
_xlfn.IFS(_xlpm.MyAuditVal&lt;&gt;"",_xlpm.MyAuditVal,_xlpm.MacVal&lt;&gt;"",_xlpm.MacVal,_xlpm.CSVVal&lt;&gt;"",_xlpm.CSVVal
)),"")</f>
        <v/>
      </c>
      <c r="G153" s="2" t="str" cm="1">
        <f t="array" ref="G153">IFERROR(_xlfn.LET(
_xlpm.CSVVal,_xlfn.XLOOKUP($A153,CSV!$A:$A,CSV!G:G,""),
_xlpm.MacVal,_xlfn.XLOOKUP($A153,Output_Mac!$A:$A,Output_Mac!F:F,""),
_xlpm.MyAuditVal,_xlfn.XLOOKUP($A153,My_Audit!$A:$A,My_Audit!F:F,""),
_xlfn.IFS(_xlpm.MyAuditVal&lt;&gt;"",_xlpm.MyAuditVal,_xlpm.MacVal&lt;&gt;"",_xlpm.MacVal,_xlpm.CSVVal&lt;&gt;"",PROPER(_xlpm.CSVVal)
)),"")</f>
        <v/>
      </c>
      <c r="H153" s="2" t="str" cm="1">
        <f t="array" ref="H153">IFERROR(_xlfn.LET(
_xlpm.CSVVal,_xlfn.XLOOKUP($A153,CSV!$A:$A,CSV!H:H,""),
_xlpm.MacVal,_xlfn.XLOOKUP($A153,Output_Mac!$A:$A,Output_Mac!H:H,""),
_xlpm.MyAuditVal,_xlfn.XLOOKUP($A153,My_Audit!$A:$A,My_Audit!G:G,""),
_xlfn.IFS(_xlpm.MyAuditVal&lt;&gt;"",_xlpm.MyAuditVal,_xlpm.MacVal&lt;&gt;"",_xlpm.MacVal,_xlpm.CSVVal&lt;&gt;"",_xlpm.CSVVal
)),"")</f>
        <v/>
      </c>
      <c r="I153" s="2" t="str">
        <f>_xlfn.XLOOKUP(A153,Output_Mac!A:A,Output_Mac!I:I,"")</f>
        <v/>
      </c>
      <c r="J153" s="2" t="str" cm="1">
        <f t="array" ref="J153">IFERROR(_xlfn.LET(
_xlpm.CSVVal,_xlfn.XLOOKUP($A153,CSV!$A:$A,CSV!I:I,""),
_xlpm.MacVal,_xlfn.XLOOKUP($A153,Output_Mac!$A:$A,Output_Mac!J:J,""),
_xlpm.MyAuditVal,_xlfn.XLOOKUP($A153,My_Audit!$A:$A,My_Audit!I:I,""),
_xlfn.IFS(_xlpm.MyAuditVal&lt;&gt;"",UPPER(_xlpm.MyAuditVal),_xlpm.MacVal&lt;&gt;"",_xlpm.MacVal,_xlpm.CSVVal&lt;&gt;"",_xlpm.CSVVal
)),"")</f>
        <v/>
      </c>
      <c r="K153" s="2" t="str" cm="1">
        <f t="array" ref="K153">IFERROR(_xlfn.LET(
_xlpm.CSVVal,_xlfn.XLOOKUP($A153,CSV!$A:$A,CSV!K:K,""),
_xlpm.MacVal,_xlfn.XLOOKUP($A153,Output_Mac!$A:$A,Output_Mac!K:K,""),
_xlpm.MyAuditVal,_xlfn.XLOOKUP($A153,My_Audit!$A:$A,My_Audit!J:J,""),
_xlfn.IFS(_xlpm.MyAuditVal&lt;&gt;"",UPPER(_xlpm.MyAuditVal),_xlpm.MacVal&lt;&gt;"",_xlpm.MacVal,_xlpm.CSVVal&lt;&gt;"",_xlpm.CSVVal
)),"")</f>
        <v/>
      </c>
      <c r="L153" s="2" t="str" cm="1">
        <f t="array" ref="L153">IFERROR(_xlfn.LET(
_xlpm.CSVVal,_xlfn.XLOOKUP($A153,CSV!$A:$A,CSV!P:P,""),
_xlpm.MacVal,_xlfn.XLOOKUP($A153,Output_Mac!$A:$A,Output_Mac!L:L,""),
_xlpm.MyAuditVal,_xlfn.XLOOKUP($A153,My_Audit!$A:$A,My_Audit!K:K,""),
_xlfn.IFS(_xlpm.MyAuditVal&lt;&gt;"",UPPER(_xlpm.MyAuditVal),_xlpm.MacVal&lt;&gt;"",_xlpm.MacVal,_xlpm.CSVVal&lt;&gt;"",_xlpm.CSVVal
)),"")</f>
        <v/>
      </c>
      <c r="M153" s="2" t="str" cm="1">
        <f t="array" ref="M153">IFERROR(_xlfn.LET(
_xlpm.CSVVal,_xlfn.XLOOKUP($A153,CSV!$A:$A,CSV!Q:Q,""),
_xlpm.MacVal,_xlfn.XLOOKUP($A153,Output_Mac!$A:$A,Output_Mac!M:M,""),
_xlpm.MyAuditVal,_xlfn.XLOOKUP($A153,My_Audit!$A:$A,My_Audit!L:L,""),
_xlfn.IFS(_xlpm.MyAuditVal&lt;&gt;"",UPPER(_xlpm.MyAuditVal),_xlpm.MacVal&lt;&gt;"",_xlpm.MacVal,_xlpm.CSVVal&lt;&gt;"",_xlpm.CSVVal
)),"")</f>
        <v/>
      </c>
      <c r="O153" s="2" t="str">
        <f>_xlfn.LET(
    _xlpm.CSVVal, _xlfn.XLOOKUP($A153, CSV!$A:$A, CSV!AA:AA, ""),
    _xlpm.MacVal, _xlfn.XLOOKUP($A153, Output_Mac!$A:$A, Output_Mac!S:S, ""),
    _xlpm.MyAuditVal, _xlfn.XLOOKUP($A153, My_Audit!$A:$A, My_Audit!P:P, ""),
    _xlfn.TEXTJOIN(", ", TRUE, _xlpm.MyAuditVal, _xlpm.MacVal, _xlpm.CSVVal)
)</f>
        <v/>
      </c>
      <c r="P153" s="2" t="str" cm="1">
        <f t="array" ref="P153">IFERROR(_xlfn.LET(
_xlpm.CSVVal,_xlfn.XLOOKUP($A153,CSV!$A:$A,CSV!AB:AB,""),
_xlpm.MacVal,_xlfn.XLOOKUP($A153,Output_Mac!$A:$A,Output_Mac!T:T,""),
_xlpm.MyAuditVal,_xlfn.XLOOKUP($A153,My_Audit!$A:$A,My_Audit!Q:Q,""),
_xlfn.IFS(_xlpm.MyAuditVal&lt;&gt;"",UPPER(_xlpm.MyAuditVal),_xlpm.MacVal&lt;&gt;"",_xlpm.MacVal,_xlpm.CSVVal&lt;&gt;"",_xlpm.CSVVal
)),"No")</f>
        <v>No</v>
      </c>
      <c r="Q153" s="2" t="str" cm="1">
        <f t="array" ref="Q153">IFERROR(_xlfn.LET(
_xlpm.CSVVal,_xlfn.XLOOKUP($A153,CSV!$A:$A,CSV!AC:AC,""),
_xlpm.MacVal,_xlfn.XLOOKUP($A153,Output_Mac!$A:$A,Output_Mac!U:U,""),
_xlpm.MyAuditVal,_xlfn.XLOOKUP($A153,My_Audit!$A:$A,My_Audit!R:R,""),
_xlfn.IFS(_xlpm.MyAuditVal&lt;&gt;"",UPPER(_xlpm.MyAuditVal),_xlpm.MacVal&lt;&gt;"",_xlpm.MacVal,_xlpm.CSVVal&lt;&gt;"",_xlpm.CSVVal
)),"")</f>
        <v/>
      </c>
      <c r="X153" t="str">
        <f>_xlfn.LET(
    _xlpm.MacVal, _xlfn.XLOOKUP($A153, Output_Mac!$A:$A, Output_Mac!AB:AB, ""),
    _xlpm.MyAuditVal, _xlfn.XLOOKUP($A153, My_Audit!$A:$A, My_Audit!N:N, ""),
    _xlfn.TEXTJOIN(", ", TRUE, _xlpm.MyAuditVal, _xlpm.MacVal)
)</f>
        <v/>
      </c>
    </row>
    <row r="154" spans="1:24">
      <c r="A154" s="2" t="str">
        <f>_xlfn.TEXTJOIN("",TRUE,Input!$B$2,ROW(My_Audit!A153))</f>
        <v>X153</v>
      </c>
      <c r="B154" s="2" t="str">
        <f>_xlfn.TEXTJOIN("-",TRUE,"ITD",Input!$A$2,A154)</f>
        <v>ITD-SHR-X153</v>
      </c>
      <c r="C154" s="2" t="str" cm="1">
        <f t="array" ref="C154">IFERROR(_xlfn.LET(
_xlpm.CSVVal,_xlfn.XLOOKUP($A154,CSV!$A:$A,CSV!B:B,""),
_xlpm.MacVal,_xlfn.XLOOKUP($A154,Output_Mac!$A:$A,Output_Mac!B:B,""),
_xlpm.MyAuditVal,_xlfn.XLOOKUP($A154,My_Audit!$A:$A,My_Audit!B:B,""),
_xlfn.IFS(_xlpm.MyAuditVal&lt;&gt;"",UPPER(_xlpm.MyAuditVal),_xlpm.MacVal&lt;&gt;"",_xlpm.MacVal,_xlpm.CSVVal&lt;&gt;"",_xlpm.CSVVal
)),"")</f>
        <v/>
      </c>
      <c r="D154" s="2" t="str" cm="1">
        <f t="array" ref="D154">IFERROR(_xlfn.LET(
_xlpm.CSVVal,_xlfn.XLOOKUP($A154,CSV!$A:$A,CSV!D:D,""),
_xlpm.MacVal,_xlfn.XLOOKUP($A154,Output_Mac!$A:$A,Output_Mac!C:C,""),
_xlpm.MyAuditVal,_xlfn.XLOOKUP($A154,My_Audit!$A:$A,My_Audit!C:C,""),
_xlfn.IFS(_xlpm.MyAuditVal&lt;&gt;"",_xlpm.MyAuditVal,_xlpm.MacVal&lt;&gt;"",_xlpm.MacVal,_xlpm.CSVVal&lt;&gt;"",_xlpm.CSVVal
)),"")</f>
        <v/>
      </c>
      <c r="E154" s="2" t="e">
        <f>IF(_xlfn.XLOOKUP(A154,My_Audit!A:A,My_Audit!D:D),_xlfn.XLOOKUP(A154,My_Audit!A:A,My_Audit!D:D),"")</f>
        <v>#N/A</v>
      </c>
      <c r="F154" s="2" t="str" cm="1">
        <f t="array" ref="F154">IFERROR(_xlfn.LET(
_xlpm.CSVVal,_xlfn.XLOOKUP($A154,CSV!$A:$A,CSV!F:F,""),
_xlpm.MacVal,_xlfn.XLOOKUP($A154,Output_Mac!$A:$A,Output_Mac!E:E,""),
_xlpm.MyAuditVal,_xlfn.XLOOKUP($A154,My_Audit!$A:$A,My_Audit!E:E,""),
_xlfn.IFS(_xlpm.MyAuditVal&lt;&gt;"",_xlpm.MyAuditVal,_xlpm.MacVal&lt;&gt;"",_xlpm.MacVal,_xlpm.CSVVal&lt;&gt;"",_xlpm.CSVVal
)),"")</f>
        <v/>
      </c>
      <c r="G154" s="2" t="str" cm="1">
        <f t="array" ref="G154">IFERROR(_xlfn.LET(
_xlpm.CSVVal,_xlfn.XLOOKUP($A154,CSV!$A:$A,CSV!G:G,""),
_xlpm.MacVal,_xlfn.XLOOKUP($A154,Output_Mac!$A:$A,Output_Mac!F:F,""),
_xlpm.MyAuditVal,_xlfn.XLOOKUP($A154,My_Audit!$A:$A,My_Audit!F:F,""),
_xlfn.IFS(_xlpm.MyAuditVal&lt;&gt;"",_xlpm.MyAuditVal,_xlpm.MacVal&lt;&gt;"",_xlpm.MacVal,_xlpm.CSVVal&lt;&gt;"",PROPER(_xlpm.CSVVal)
)),"")</f>
        <v/>
      </c>
      <c r="H154" s="2" t="str" cm="1">
        <f t="array" ref="H154">IFERROR(_xlfn.LET(
_xlpm.CSVVal,_xlfn.XLOOKUP($A154,CSV!$A:$A,CSV!H:H,""),
_xlpm.MacVal,_xlfn.XLOOKUP($A154,Output_Mac!$A:$A,Output_Mac!H:H,""),
_xlpm.MyAuditVal,_xlfn.XLOOKUP($A154,My_Audit!$A:$A,My_Audit!G:G,""),
_xlfn.IFS(_xlpm.MyAuditVal&lt;&gt;"",_xlpm.MyAuditVal,_xlpm.MacVal&lt;&gt;"",_xlpm.MacVal,_xlpm.CSVVal&lt;&gt;"",_xlpm.CSVVal
)),"")</f>
        <v/>
      </c>
      <c r="I154" s="2" t="str">
        <f>_xlfn.XLOOKUP(A154,Output_Mac!A:A,Output_Mac!I:I,"")</f>
        <v/>
      </c>
      <c r="J154" s="2" t="str" cm="1">
        <f t="array" ref="J154">IFERROR(_xlfn.LET(
_xlpm.CSVVal,_xlfn.XLOOKUP($A154,CSV!$A:$A,CSV!I:I,""),
_xlpm.MacVal,_xlfn.XLOOKUP($A154,Output_Mac!$A:$A,Output_Mac!J:J,""),
_xlpm.MyAuditVal,_xlfn.XLOOKUP($A154,My_Audit!$A:$A,My_Audit!I:I,""),
_xlfn.IFS(_xlpm.MyAuditVal&lt;&gt;"",UPPER(_xlpm.MyAuditVal),_xlpm.MacVal&lt;&gt;"",_xlpm.MacVal,_xlpm.CSVVal&lt;&gt;"",_xlpm.CSVVal
)),"")</f>
        <v/>
      </c>
      <c r="K154" s="2" t="str" cm="1">
        <f t="array" ref="K154">IFERROR(_xlfn.LET(
_xlpm.CSVVal,_xlfn.XLOOKUP($A154,CSV!$A:$A,CSV!K:K,""),
_xlpm.MacVal,_xlfn.XLOOKUP($A154,Output_Mac!$A:$A,Output_Mac!K:K,""),
_xlpm.MyAuditVal,_xlfn.XLOOKUP($A154,My_Audit!$A:$A,My_Audit!J:J,""),
_xlfn.IFS(_xlpm.MyAuditVal&lt;&gt;"",UPPER(_xlpm.MyAuditVal),_xlpm.MacVal&lt;&gt;"",_xlpm.MacVal,_xlpm.CSVVal&lt;&gt;"",_xlpm.CSVVal
)),"")</f>
        <v/>
      </c>
      <c r="L154" s="2" t="str" cm="1">
        <f t="array" ref="L154">IFERROR(_xlfn.LET(
_xlpm.CSVVal,_xlfn.XLOOKUP($A154,CSV!$A:$A,CSV!P:P,""),
_xlpm.MacVal,_xlfn.XLOOKUP($A154,Output_Mac!$A:$A,Output_Mac!L:L,""),
_xlpm.MyAuditVal,_xlfn.XLOOKUP($A154,My_Audit!$A:$A,My_Audit!K:K,""),
_xlfn.IFS(_xlpm.MyAuditVal&lt;&gt;"",UPPER(_xlpm.MyAuditVal),_xlpm.MacVal&lt;&gt;"",_xlpm.MacVal,_xlpm.CSVVal&lt;&gt;"",_xlpm.CSVVal
)),"")</f>
        <v/>
      </c>
      <c r="M154" s="2" t="str" cm="1">
        <f t="array" ref="M154">IFERROR(_xlfn.LET(
_xlpm.CSVVal,_xlfn.XLOOKUP($A154,CSV!$A:$A,CSV!Q:Q,""),
_xlpm.MacVal,_xlfn.XLOOKUP($A154,Output_Mac!$A:$A,Output_Mac!M:M,""),
_xlpm.MyAuditVal,_xlfn.XLOOKUP($A154,My_Audit!$A:$A,My_Audit!L:L,""),
_xlfn.IFS(_xlpm.MyAuditVal&lt;&gt;"",UPPER(_xlpm.MyAuditVal),_xlpm.MacVal&lt;&gt;"",_xlpm.MacVal,_xlpm.CSVVal&lt;&gt;"",_xlpm.CSVVal
)),"")</f>
        <v/>
      </c>
      <c r="O154" s="2" t="str">
        <f>_xlfn.LET(
    _xlpm.CSVVal, _xlfn.XLOOKUP($A154, CSV!$A:$A, CSV!AA:AA, ""),
    _xlpm.MacVal, _xlfn.XLOOKUP($A154, Output_Mac!$A:$A, Output_Mac!S:S, ""),
    _xlpm.MyAuditVal, _xlfn.XLOOKUP($A154, My_Audit!$A:$A, My_Audit!P:P, ""),
    _xlfn.TEXTJOIN(", ", TRUE, _xlpm.MyAuditVal, _xlpm.MacVal, _xlpm.CSVVal)
)</f>
        <v/>
      </c>
      <c r="P154" s="2" t="str" cm="1">
        <f t="array" ref="P154">IFERROR(_xlfn.LET(
_xlpm.CSVVal,_xlfn.XLOOKUP($A154,CSV!$A:$A,CSV!AB:AB,""),
_xlpm.MacVal,_xlfn.XLOOKUP($A154,Output_Mac!$A:$A,Output_Mac!T:T,""),
_xlpm.MyAuditVal,_xlfn.XLOOKUP($A154,My_Audit!$A:$A,My_Audit!Q:Q,""),
_xlfn.IFS(_xlpm.MyAuditVal&lt;&gt;"",UPPER(_xlpm.MyAuditVal),_xlpm.MacVal&lt;&gt;"",_xlpm.MacVal,_xlpm.CSVVal&lt;&gt;"",_xlpm.CSVVal
)),"No")</f>
        <v>No</v>
      </c>
      <c r="Q154" s="2" t="str" cm="1">
        <f t="array" ref="Q154">IFERROR(_xlfn.LET(
_xlpm.CSVVal,_xlfn.XLOOKUP($A154,CSV!$A:$A,CSV!AC:AC,""),
_xlpm.MacVal,_xlfn.XLOOKUP($A154,Output_Mac!$A:$A,Output_Mac!U:U,""),
_xlpm.MyAuditVal,_xlfn.XLOOKUP($A154,My_Audit!$A:$A,My_Audit!R:R,""),
_xlfn.IFS(_xlpm.MyAuditVal&lt;&gt;"",UPPER(_xlpm.MyAuditVal),_xlpm.MacVal&lt;&gt;"",_xlpm.MacVal,_xlpm.CSVVal&lt;&gt;"",_xlpm.CSVVal
)),"")</f>
        <v/>
      </c>
      <c r="X154" t="str">
        <f>_xlfn.LET(
    _xlpm.MacVal, _xlfn.XLOOKUP($A154, Output_Mac!$A:$A, Output_Mac!AB:AB, ""),
    _xlpm.MyAuditVal, _xlfn.XLOOKUP($A154, My_Audit!$A:$A, My_Audit!N:N, ""),
    _xlfn.TEXTJOIN(", ", TRUE, _xlpm.MyAuditVal, _xlpm.MacVal)
)</f>
        <v/>
      </c>
    </row>
    <row r="155" spans="1:24">
      <c r="A155" s="2" t="str">
        <f>_xlfn.TEXTJOIN("",TRUE,Input!$B$2,ROW(My_Audit!A154))</f>
        <v>X154</v>
      </c>
      <c r="B155" s="2" t="str">
        <f>_xlfn.TEXTJOIN("-",TRUE,"ITD",Input!$A$2,A155)</f>
        <v>ITD-SHR-X154</v>
      </c>
      <c r="C155" s="2" t="str" cm="1">
        <f t="array" ref="C155">IFERROR(_xlfn.LET(
_xlpm.CSVVal,_xlfn.XLOOKUP($A155,CSV!$A:$A,CSV!B:B,""),
_xlpm.MacVal,_xlfn.XLOOKUP($A155,Output_Mac!$A:$A,Output_Mac!B:B,""),
_xlpm.MyAuditVal,_xlfn.XLOOKUP($A155,My_Audit!$A:$A,My_Audit!B:B,""),
_xlfn.IFS(_xlpm.MyAuditVal&lt;&gt;"",UPPER(_xlpm.MyAuditVal),_xlpm.MacVal&lt;&gt;"",_xlpm.MacVal,_xlpm.CSVVal&lt;&gt;"",_xlpm.CSVVal
)),"")</f>
        <v/>
      </c>
      <c r="D155" s="2" t="str" cm="1">
        <f t="array" ref="D155">IFERROR(_xlfn.LET(
_xlpm.CSVVal,_xlfn.XLOOKUP($A155,CSV!$A:$A,CSV!D:D,""),
_xlpm.MacVal,_xlfn.XLOOKUP($A155,Output_Mac!$A:$A,Output_Mac!C:C,""),
_xlpm.MyAuditVal,_xlfn.XLOOKUP($A155,My_Audit!$A:$A,My_Audit!C:C,""),
_xlfn.IFS(_xlpm.MyAuditVal&lt;&gt;"",_xlpm.MyAuditVal,_xlpm.MacVal&lt;&gt;"",_xlpm.MacVal,_xlpm.CSVVal&lt;&gt;"",_xlpm.CSVVal
)),"")</f>
        <v/>
      </c>
      <c r="E155" s="2" t="e">
        <f>IF(_xlfn.XLOOKUP(A155,My_Audit!A:A,My_Audit!D:D),_xlfn.XLOOKUP(A155,My_Audit!A:A,My_Audit!D:D),"")</f>
        <v>#N/A</v>
      </c>
      <c r="F155" s="2" t="str" cm="1">
        <f t="array" ref="F155">IFERROR(_xlfn.LET(
_xlpm.CSVVal,_xlfn.XLOOKUP($A155,CSV!$A:$A,CSV!F:F,""),
_xlpm.MacVal,_xlfn.XLOOKUP($A155,Output_Mac!$A:$A,Output_Mac!E:E,""),
_xlpm.MyAuditVal,_xlfn.XLOOKUP($A155,My_Audit!$A:$A,My_Audit!E:E,""),
_xlfn.IFS(_xlpm.MyAuditVal&lt;&gt;"",_xlpm.MyAuditVal,_xlpm.MacVal&lt;&gt;"",_xlpm.MacVal,_xlpm.CSVVal&lt;&gt;"",_xlpm.CSVVal
)),"")</f>
        <v/>
      </c>
      <c r="G155" s="2" t="str" cm="1">
        <f t="array" ref="G155">IFERROR(_xlfn.LET(
_xlpm.CSVVal,_xlfn.XLOOKUP($A155,CSV!$A:$A,CSV!G:G,""),
_xlpm.MacVal,_xlfn.XLOOKUP($A155,Output_Mac!$A:$A,Output_Mac!F:F,""),
_xlpm.MyAuditVal,_xlfn.XLOOKUP($A155,My_Audit!$A:$A,My_Audit!F:F,""),
_xlfn.IFS(_xlpm.MyAuditVal&lt;&gt;"",_xlpm.MyAuditVal,_xlpm.MacVal&lt;&gt;"",_xlpm.MacVal,_xlpm.CSVVal&lt;&gt;"",PROPER(_xlpm.CSVVal)
)),"")</f>
        <v/>
      </c>
      <c r="H155" s="2" t="str" cm="1">
        <f t="array" ref="H155">IFERROR(_xlfn.LET(
_xlpm.CSVVal,_xlfn.XLOOKUP($A155,CSV!$A:$A,CSV!H:H,""),
_xlpm.MacVal,_xlfn.XLOOKUP($A155,Output_Mac!$A:$A,Output_Mac!H:H,""),
_xlpm.MyAuditVal,_xlfn.XLOOKUP($A155,My_Audit!$A:$A,My_Audit!G:G,""),
_xlfn.IFS(_xlpm.MyAuditVal&lt;&gt;"",_xlpm.MyAuditVal,_xlpm.MacVal&lt;&gt;"",_xlpm.MacVal,_xlpm.CSVVal&lt;&gt;"",_xlpm.CSVVal
)),"")</f>
        <v/>
      </c>
      <c r="I155" s="2" t="str">
        <f>_xlfn.XLOOKUP(A155,Output_Mac!A:A,Output_Mac!I:I,"")</f>
        <v/>
      </c>
      <c r="J155" s="2" t="str" cm="1">
        <f t="array" ref="J155">IFERROR(_xlfn.LET(
_xlpm.CSVVal,_xlfn.XLOOKUP($A155,CSV!$A:$A,CSV!I:I,""),
_xlpm.MacVal,_xlfn.XLOOKUP($A155,Output_Mac!$A:$A,Output_Mac!J:J,""),
_xlpm.MyAuditVal,_xlfn.XLOOKUP($A155,My_Audit!$A:$A,My_Audit!I:I,""),
_xlfn.IFS(_xlpm.MyAuditVal&lt;&gt;"",UPPER(_xlpm.MyAuditVal),_xlpm.MacVal&lt;&gt;"",_xlpm.MacVal,_xlpm.CSVVal&lt;&gt;"",_xlpm.CSVVal
)),"")</f>
        <v/>
      </c>
      <c r="K155" s="2" t="str" cm="1">
        <f t="array" ref="K155">IFERROR(_xlfn.LET(
_xlpm.CSVVal,_xlfn.XLOOKUP($A155,CSV!$A:$A,CSV!K:K,""),
_xlpm.MacVal,_xlfn.XLOOKUP($A155,Output_Mac!$A:$A,Output_Mac!K:K,""),
_xlpm.MyAuditVal,_xlfn.XLOOKUP($A155,My_Audit!$A:$A,My_Audit!J:J,""),
_xlfn.IFS(_xlpm.MyAuditVal&lt;&gt;"",UPPER(_xlpm.MyAuditVal),_xlpm.MacVal&lt;&gt;"",_xlpm.MacVal,_xlpm.CSVVal&lt;&gt;"",_xlpm.CSVVal
)),"")</f>
        <v/>
      </c>
      <c r="L155" s="2" t="str" cm="1">
        <f t="array" ref="L155">IFERROR(_xlfn.LET(
_xlpm.CSVVal,_xlfn.XLOOKUP($A155,CSV!$A:$A,CSV!P:P,""),
_xlpm.MacVal,_xlfn.XLOOKUP($A155,Output_Mac!$A:$A,Output_Mac!L:L,""),
_xlpm.MyAuditVal,_xlfn.XLOOKUP($A155,My_Audit!$A:$A,My_Audit!K:K,""),
_xlfn.IFS(_xlpm.MyAuditVal&lt;&gt;"",UPPER(_xlpm.MyAuditVal),_xlpm.MacVal&lt;&gt;"",_xlpm.MacVal,_xlpm.CSVVal&lt;&gt;"",_xlpm.CSVVal
)),"")</f>
        <v/>
      </c>
      <c r="M155" s="2" t="str" cm="1">
        <f t="array" ref="M155">IFERROR(_xlfn.LET(
_xlpm.CSVVal,_xlfn.XLOOKUP($A155,CSV!$A:$A,CSV!Q:Q,""),
_xlpm.MacVal,_xlfn.XLOOKUP($A155,Output_Mac!$A:$A,Output_Mac!M:M,""),
_xlpm.MyAuditVal,_xlfn.XLOOKUP($A155,My_Audit!$A:$A,My_Audit!L:L,""),
_xlfn.IFS(_xlpm.MyAuditVal&lt;&gt;"",UPPER(_xlpm.MyAuditVal),_xlpm.MacVal&lt;&gt;"",_xlpm.MacVal,_xlpm.CSVVal&lt;&gt;"",_xlpm.CSVVal
)),"")</f>
        <v/>
      </c>
      <c r="O155" s="2" t="str">
        <f>_xlfn.LET(
    _xlpm.CSVVal, _xlfn.XLOOKUP($A155, CSV!$A:$A, CSV!AA:AA, ""),
    _xlpm.MacVal, _xlfn.XLOOKUP($A155, Output_Mac!$A:$A, Output_Mac!S:S, ""),
    _xlpm.MyAuditVal, _xlfn.XLOOKUP($A155, My_Audit!$A:$A, My_Audit!P:P, ""),
    _xlfn.TEXTJOIN(", ", TRUE, _xlpm.MyAuditVal, _xlpm.MacVal, _xlpm.CSVVal)
)</f>
        <v/>
      </c>
      <c r="P155" s="2" t="str" cm="1">
        <f t="array" ref="P155">IFERROR(_xlfn.LET(
_xlpm.CSVVal,_xlfn.XLOOKUP($A155,CSV!$A:$A,CSV!AB:AB,""),
_xlpm.MacVal,_xlfn.XLOOKUP($A155,Output_Mac!$A:$A,Output_Mac!T:T,""),
_xlpm.MyAuditVal,_xlfn.XLOOKUP($A155,My_Audit!$A:$A,My_Audit!Q:Q,""),
_xlfn.IFS(_xlpm.MyAuditVal&lt;&gt;"",UPPER(_xlpm.MyAuditVal),_xlpm.MacVal&lt;&gt;"",_xlpm.MacVal,_xlpm.CSVVal&lt;&gt;"",_xlpm.CSVVal
)),"No")</f>
        <v>No</v>
      </c>
      <c r="Q155" s="2" t="str" cm="1">
        <f t="array" ref="Q155">IFERROR(_xlfn.LET(
_xlpm.CSVVal,_xlfn.XLOOKUP($A155,CSV!$A:$A,CSV!AC:AC,""),
_xlpm.MacVal,_xlfn.XLOOKUP($A155,Output_Mac!$A:$A,Output_Mac!U:U,""),
_xlpm.MyAuditVal,_xlfn.XLOOKUP($A155,My_Audit!$A:$A,My_Audit!R:R,""),
_xlfn.IFS(_xlpm.MyAuditVal&lt;&gt;"",UPPER(_xlpm.MyAuditVal),_xlpm.MacVal&lt;&gt;"",_xlpm.MacVal,_xlpm.CSVVal&lt;&gt;"",_xlpm.CSVVal
)),"")</f>
        <v/>
      </c>
      <c r="X155" t="str">
        <f>_xlfn.LET(
    _xlpm.MacVal, _xlfn.XLOOKUP($A155, Output_Mac!$A:$A, Output_Mac!AB:AB, ""),
    _xlpm.MyAuditVal, _xlfn.XLOOKUP($A155, My_Audit!$A:$A, My_Audit!N:N, ""),
    _xlfn.TEXTJOIN(", ", TRUE, _xlpm.MyAuditVal, _xlpm.MacVal)
)</f>
        <v/>
      </c>
    </row>
    <row r="156" spans="1:24">
      <c r="A156" s="2" t="str">
        <f>_xlfn.TEXTJOIN("",TRUE,Input!$B$2,ROW(My_Audit!A155))</f>
        <v>X155</v>
      </c>
      <c r="B156" s="2" t="str">
        <f>_xlfn.TEXTJOIN("-",TRUE,"ITD",Input!$A$2,A156)</f>
        <v>ITD-SHR-X155</v>
      </c>
      <c r="C156" s="2" t="str" cm="1">
        <f t="array" ref="C156">IFERROR(_xlfn.LET(
_xlpm.CSVVal,_xlfn.XLOOKUP($A156,CSV!$A:$A,CSV!B:B,""),
_xlpm.MacVal,_xlfn.XLOOKUP($A156,Output_Mac!$A:$A,Output_Mac!B:B,""),
_xlpm.MyAuditVal,_xlfn.XLOOKUP($A156,My_Audit!$A:$A,My_Audit!B:B,""),
_xlfn.IFS(_xlpm.MyAuditVal&lt;&gt;"",UPPER(_xlpm.MyAuditVal),_xlpm.MacVal&lt;&gt;"",_xlpm.MacVal,_xlpm.CSVVal&lt;&gt;"",_xlpm.CSVVal
)),"")</f>
        <v/>
      </c>
      <c r="D156" s="2" t="str" cm="1">
        <f t="array" ref="D156">IFERROR(_xlfn.LET(
_xlpm.CSVVal,_xlfn.XLOOKUP($A156,CSV!$A:$A,CSV!D:D,""),
_xlpm.MacVal,_xlfn.XLOOKUP($A156,Output_Mac!$A:$A,Output_Mac!C:C,""),
_xlpm.MyAuditVal,_xlfn.XLOOKUP($A156,My_Audit!$A:$A,My_Audit!C:C,""),
_xlfn.IFS(_xlpm.MyAuditVal&lt;&gt;"",_xlpm.MyAuditVal,_xlpm.MacVal&lt;&gt;"",_xlpm.MacVal,_xlpm.CSVVal&lt;&gt;"",_xlpm.CSVVal
)),"")</f>
        <v/>
      </c>
      <c r="E156" s="2" t="e">
        <f>IF(_xlfn.XLOOKUP(A156,My_Audit!A:A,My_Audit!D:D),_xlfn.XLOOKUP(A156,My_Audit!A:A,My_Audit!D:D),"")</f>
        <v>#N/A</v>
      </c>
      <c r="F156" s="2" t="str" cm="1">
        <f t="array" ref="F156">IFERROR(_xlfn.LET(
_xlpm.CSVVal,_xlfn.XLOOKUP($A156,CSV!$A:$A,CSV!F:F,""),
_xlpm.MacVal,_xlfn.XLOOKUP($A156,Output_Mac!$A:$A,Output_Mac!E:E,""),
_xlpm.MyAuditVal,_xlfn.XLOOKUP($A156,My_Audit!$A:$A,My_Audit!E:E,""),
_xlfn.IFS(_xlpm.MyAuditVal&lt;&gt;"",_xlpm.MyAuditVal,_xlpm.MacVal&lt;&gt;"",_xlpm.MacVal,_xlpm.CSVVal&lt;&gt;"",_xlpm.CSVVal
)),"")</f>
        <v/>
      </c>
      <c r="G156" s="2" t="str" cm="1">
        <f t="array" ref="G156">IFERROR(_xlfn.LET(
_xlpm.CSVVal,_xlfn.XLOOKUP($A156,CSV!$A:$A,CSV!G:G,""),
_xlpm.MacVal,_xlfn.XLOOKUP($A156,Output_Mac!$A:$A,Output_Mac!F:F,""),
_xlpm.MyAuditVal,_xlfn.XLOOKUP($A156,My_Audit!$A:$A,My_Audit!F:F,""),
_xlfn.IFS(_xlpm.MyAuditVal&lt;&gt;"",_xlpm.MyAuditVal,_xlpm.MacVal&lt;&gt;"",_xlpm.MacVal,_xlpm.CSVVal&lt;&gt;"",PROPER(_xlpm.CSVVal)
)),"")</f>
        <v/>
      </c>
      <c r="H156" s="2" t="str" cm="1">
        <f t="array" ref="H156">IFERROR(_xlfn.LET(
_xlpm.CSVVal,_xlfn.XLOOKUP($A156,CSV!$A:$A,CSV!H:H,""),
_xlpm.MacVal,_xlfn.XLOOKUP($A156,Output_Mac!$A:$A,Output_Mac!H:H,""),
_xlpm.MyAuditVal,_xlfn.XLOOKUP($A156,My_Audit!$A:$A,My_Audit!G:G,""),
_xlfn.IFS(_xlpm.MyAuditVal&lt;&gt;"",_xlpm.MyAuditVal,_xlpm.MacVal&lt;&gt;"",_xlpm.MacVal,_xlpm.CSVVal&lt;&gt;"",_xlpm.CSVVal
)),"")</f>
        <v/>
      </c>
      <c r="I156" s="2" t="str">
        <f>_xlfn.XLOOKUP(A156,Output_Mac!A:A,Output_Mac!I:I,"")</f>
        <v/>
      </c>
      <c r="J156" s="2" t="str" cm="1">
        <f t="array" ref="J156">IFERROR(_xlfn.LET(
_xlpm.CSVVal,_xlfn.XLOOKUP($A156,CSV!$A:$A,CSV!I:I,""),
_xlpm.MacVal,_xlfn.XLOOKUP($A156,Output_Mac!$A:$A,Output_Mac!J:J,""),
_xlpm.MyAuditVal,_xlfn.XLOOKUP($A156,My_Audit!$A:$A,My_Audit!I:I,""),
_xlfn.IFS(_xlpm.MyAuditVal&lt;&gt;"",UPPER(_xlpm.MyAuditVal),_xlpm.MacVal&lt;&gt;"",_xlpm.MacVal,_xlpm.CSVVal&lt;&gt;"",_xlpm.CSVVal
)),"")</f>
        <v/>
      </c>
      <c r="K156" s="2" t="str" cm="1">
        <f t="array" ref="K156">IFERROR(_xlfn.LET(
_xlpm.CSVVal,_xlfn.XLOOKUP($A156,CSV!$A:$A,CSV!K:K,""),
_xlpm.MacVal,_xlfn.XLOOKUP($A156,Output_Mac!$A:$A,Output_Mac!K:K,""),
_xlpm.MyAuditVal,_xlfn.XLOOKUP($A156,My_Audit!$A:$A,My_Audit!J:J,""),
_xlfn.IFS(_xlpm.MyAuditVal&lt;&gt;"",UPPER(_xlpm.MyAuditVal),_xlpm.MacVal&lt;&gt;"",_xlpm.MacVal,_xlpm.CSVVal&lt;&gt;"",_xlpm.CSVVal
)),"")</f>
        <v/>
      </c>
      <c r="L156" s="2" t="str" cm="1">
        <f t="array" ref="L156">IFERROR(_xlfn.LET(
_xlpm.CSVVal,_xlfn.XLOOKUP($A156,CSV!$A:$A,CSV!P:P,""),
_xlpm.MacVal,_xlfn.XLOOKUP($A156,Output_Mac!$A:$A,Output_Mac!L:L,""),
_xlpm.MyAuditVal,_xlfn.XLOOKUP($A156,My_Audit!$A:$A,My_Audit!K:K,""),
_xlfn.IFS(_xlpm.MyAuditVal&lt;&gt;"",UPPER(_xlpm.MyAuditVal),_xlpm.MacVal&lt;&gt;"",_xlpm.MacVal,_xlpm.CSVVal&lt;&gt;"",_xlpm.CSVVal
)),"")</f>
        <v/>
      </c>
      <c r="M156" s="2" t="str" cm="1">
        <f t="array" ref="M156">IFERROR(_xlfn.LET(
_xlpm.CSVVal,_xlfn.XLOOKUP($A156,CSV!$A:$A,CSV!Q:Q,""),
_xlpm.MacVal,_xlfn.XLOOKUP($A156,Output_Mac!$A:$A,Output_Mac!M:M,""),
_xlpm.MyAuditVal,_xlfn.XLOOKUP($A156,My_Audit!$A:$A,My_Audit!L:L,""),
_xlfn.IFS(_xlpm.MyAuditVal&lt;&gt;"",UPPER(_xlpm.MyAuditVal),_xlpm.MacVal&lt;&gt;"",_xlpm.MacVal,_xlpm.CSVVal&lt;&gt;"",_xlpm.CSVVal
)),"")</f>
        <v/>
      </c>
      <c r="O156" s="2" t="str">
        <f>_xlfn.LET(
    _xlpm.CSVVal, _xlfn.XLOOKUP($A156, CSV!$A:$A, CSV!AA:AA, ""),
    _xlpm.MacVal, _xlfn.XLOOKUP($A156, Output_Mac!$A:$A, Output_Mac!S:S, ""),
    _xlpm.MyAuditVal, _xlfn.XLOOKUP($A156, My_Audit!$A:$A, My_Audit!P:P, ""),
    _xlfn.TEXTJOIN(", ", TRUE, _xlpm.MyAuditVal, _xlpm.MacVal, _xlpm.CSVVal)
)</f>
        <v/>
      </c>
      <c r="P156" s="2" t="str" cm="1">
        <f t="array" ref="P156">IFERROR(_xlfn.LET(
_xlpm.CSVVal,_xlfn.XLOOKUP($A156,CSV!$A:$A,CSV!AB:AB,""),
_xlpm.MacVal,_xlfn.XLOOKUP($A156,Output_Mac!$A:$A,Output_Mac!T:T,""),
_xlpm.MyAuditVal,_xlfn.XLOOKUP($A156,My_Audit!$A:$A,My_Audit!Q:Q,""),
_xlfn.IFS(_xlpm.MyAuditVal&lt;&gt;"",UPPER(_xlpm.MyAuditVal),_xlpm.MacVal&lt;&gt;"",_xlpm.MacVal,_xlpm.CSVVal&lt;&gt;"",_xlpm.CSVVal
)),"No")</f>
        <v>No</v>
      </c>
      <c r="Q156" s="2" t="str" cm="1">
        <f t="array" ref="Q156">IFERROR(_xlfn.LET(
_xlpm.CSVVal,_xlfn.XLOOKUP($A156,CSV!$A:$A,CSV!AC:AC,""),
_xlpm.MacVal,_xlfn.XLOOKUP($A156,Output_Mac!$A:$A,Output_Mac!U:U,""),
_xlpm.MyAuditVal,_xlfn.XLOOKUP($A156,My_Audit!$A:$A,My_Audit!R:R,""),
_xlfn.IFS(_xlpm.MyAuditVal&lt;&gt;"",UPPER(_xlpm.MyAuditVal),_xlpm.MacVal&lt;&gt;"",_xlpm.MacVal,_xlpm.CSVVal&lt;&gt;"",_xlpm.CSVVal
)),"")</f>
        <v/>
      </c>
      <c r="X156" t="str">
        <f>_xlfn.LET(
    _xlpm.MacVal, _xlfn.XLOOKUP($A156, Output_Mac!$A:$A, Output_Mac!AB:AB, ""),
    _xlpm.MyAuditVal, _xlfn.XLOOKUP($A156, My_Audit!$A:$A, My_Audit!N:N, ""),
    _xlfn.TEXTJOIN(", ", TRUE, _xlpm.MyAuditVal, _xlpm.MacVal)
)</f>
        <v/>
      </c>
    </row>
    <row r="157" spans="1:24">
      <c r="A157" s="2" t="str">
        <f>_xlfn.TEXTJOIN("",TRUE,Input!$B$2,ROW(My_Audit!A156))</f>
        <v>X156</v>
      </c>
      <c r="B157" s="2" t="str">
        <f>_xlfn.TEXTJOIN("-",TRUE,"ITD",Input!$A$2,A157)</f>
        <v>ITD-SHR-X156</v>
      </c>
      <c r="C157" s="2" t="str" cm="1">
        <f t="array" ref="C157">IFERROR(_xlfn.LET(
_xlpm.CSVVal,_xlfn.XLOOKUP($A157,CSV!$A:$A,CSV!B:B,""),
_xlpm.MacVal,_xlfn.XLOOKUP($A157,Output_Mac!$A:$A,Output_Mac!B:B,""),
_xlpm.MyAuditVal,_xlfn.XLOOKUP($A157,My_Audit!$A:$A,My_Audit!B:B,""),
_xlfn.IFS(_xlpm.MyAuditVal&lt;&gt;"",UPPER(_xlpm.MyAuditVal),_xlpm.MacVal&lt;&gt;"",_xlpm.MacVal,_xlpm.CSVVal&lt;&gt;"",_xlpm.CSVVal
)),"")</f>
        <v/>
      </c>
      <c r="D157" s="2" t="str" cm="1">
        <f t="array" ref="D157">IFERROR(_xlfn.LET(
_xlpm.CSVVal,_xlfn.XLOOKUP($A157,CSV!$A:$A,CSV!D:D,""),
_xlpm.MacVal,_xlfn.XLOOKUP($A157,Output_Mac!$A:$A,Output_Mac!C:C,""),
_xlpm.MyAuditVal,_xlfn.XLOOKUP($A157,My_Audit!$A:$A,My_Audit!C:C,""),
_xlfn.IFS(_xlpm.MyAuditVal&lt;&gt;"",_xlpm.MyAuditVal,_xlpm.MacVal&lt;&gt;"",_xlpm.MacVal,_xlpm.CSVVal&lt;&gt;"",_xlpm.CSVVal
)),"")</f>
        <v/>
      </c>
      <c r="E157" s="2" t="e">
        <f>IF(_xlfn.XLOOKUP(A157,My_Audit!A:A,My_Audit!D:D),_xlfn.XLOOKUP(A157,My_Audit!A:A,My_Audit!D:D),"")</f>
        <v>#N/A</v>
      </c>
      <c r="F157" s="2" t="str" cm="1">
        <f t="array" ref="F157">IFERROR(_xlfn.LET(
_xlpm.CSVVal,_xlfn.XLOOKUP($A157,CSV!$A:$A,CSV!F:F,""),
_xlpm.MacVal,_xlfn.XLOOKUP($A157,Output_Mac!$A:$A,Output_Mac!E:E,""),
_xlpm.MyAuditVal,_xlfn.XLOOKUP($A157,My_Audit!$A:$A,My_Audit!E:E,""),
_xlfn.IFS(_xlpm.MyAuditVal&lt;&gt;"",_xlpm.MyAuditVal,_xlpm.MacVal&lt;&gt;"",_xlpm.MacVal,_xlpm.CSVVal&lt;&gt;"",_xlpm.CSVVal
)),"")</f>
        <v/>
      </c>
      <c r="G157" s="2" t="str" cm="1">
        <f t="array" ref="G157">IFERROR(_xlfn.LET(
_xlpm.CSVVal,_xlfn.XLOOKUP($A157,CSV!$A:$A,CSV!G:G,""),
_xlpm.MacVal,_xlfn.XLOOKUP($A157,Output_Mac!$A:$A,Output_Mac!F:F,""),
_xlpm.MyAuditVal,_xlfn.XLOOKUP($A157,My_Audit!$A:$A,My_Audit!F:F,""),
_xlfn.IFS(_xlpm.MyAuditVal&lt;&gt;"",_xlpm.MyAuditVal,_xlpm.MacVal&lt;&gt;"",_xlpm.MacVal,_xlpm.CSVVal&lt;&gt;"",PROPER(_xlpm.CSVVal)
)),"")</f>
        <v/>
      </c>
      <c r="H157" s="2" t="str" cm="1">
        <f t="array" ref="H157">IFERROR(_xlfn.LET(
_xlpm.CSVVal,_xlfn.XLOOKUP($A157,CSV!$A:$A,CSV!H:H,""),
_xlpm.MacVal,_xlfn.XLOOKUP($A157,Output_Mac!$A:$A,Output_Mac!H:H,""),
_xlpm.MyAuditVal,_xlfn.XLOOKUP($A157,My_Audit!$A:$A,My_Audit!G:G,""),
_xlfn.IFS(_xlpm.MyAuditVal&lt;&gt;"",_xlpm.MyAuditVal,_xlpm.MacVal&lt;&gt;"",_xlpm.MacVal,_xlpm.CSVVal&lt;&gt;"",_xlpm.CSVVal
)),"")</f>
        <v/>
      </c>
      <c r="I157" s="2" t="str">
        <f>_xlfn.XLOOKUP(A157,Output_Mac!A:A,Output_Mac!I:I,"")</f>
        <v/>
      </c>
      <c r="J157" s="2" t="str" cm="1">
        <f t="array" ref="J157">IFERROR(_xlfn.LET(
_xlpm.CSVVal,_xlfn.XLOOKUP($A157,CSV!$A:$A,CSV!I:I,""),
_xlpm.MacVal,_xlfn.XLOOKUP($A157,Output_Mac!$A:$A,Output_Mac!J:J,""),
_xlpm.MyAuditVal,_xlfn.XLOOKUP($A157,My_Audit!$A:$A,My_Audit!I:I,""),
_xlfn.IFS(_xlpm.MyAuditVal&lt;&gt;"",UPPER(_xlpm.MyAuditVal),_xlpm.MacVal&lt;&gt;"",_xlpm.MacVal,_xlpm.CSVVal&lt;&gt;"",_xlpm.CSVVal
)),"")</f>
        <v/>
      </c>
      <c r="K157" s="2" t="str" cm="1">
        <f t="array" ref="K157">IFERROR(_xlfn.LET(
_xlpm.CSVVal,_xlfn.XLOOKUP($A157,CSV!$A:$A,CSV!K:K,""),
_xlpm.MacVal,_xlfn.XLOOKUP($A157,Output_Mac!$A:$A,Output_Mac!K:K,""),
_xlpm.MyAuditVal,_xlfn.XLOOKUP($A157,My_Audit!$A:$A,My_Audit!J:J,""),
_xlfn.IFS(_xlpm.MyAuditVal&lt;&gt;"",UPPER(_xlpm.MyAuditVal),_xlpm.MacVal&lt;&gt;"",_xlpm.MacVal,_xlpm.CSVVal&lt;&gt;"",_xlpm.CSVVal
)),"")</f>
        <v/>
      </c>
      <c r="L157" s="2" t="str" cm="1">
        <f t="array" ref="L157">IFERROR(_xlfn.LET(
_xlpm.CSVVal,_xlfn.XLOOKUP($A157,CSV!$A:$A,CSV!P:P,""),
_xlpm.MacVal,_xlfn.XLOOKUP($A157,Output_Mac!$A:$A,Output_Mac!L:L,""),
_xlpm.MyAuditVal,_xlfn.XLOOKUP($A157,My_Audit!$A:$A,My_Audit!K:K,""),
_xlfn.IFS(_xlpm.MyAuditVal&lt;&gt;"",UPPER(_xlpm.MyAuditVal),_xlpm.MacVal&lt;&gt;"",_xlpm.MacVal,_xlpm.CSVVal&lt;&gt;"",_xlpm.CSVVal
)),"")</f>
        <v/>
      </c>
      <c r="M157" s="2" t="str" cm="1">
        <f t="array" ref="M157">IFERROR(_xlfn.LET(
_xlpm.CSVVal,_xlfn.XLOOKUP($A157,CSV!$A:$A,CSV!Q:Q,""),
_xlpm.MacVal,_xlfn.XLOOKUP($A157,Output_Mac!$A:$A,Output_Mac!M:M,""),
_xlpm.MyAuditVal,_xlfn.XLOOKUP($A157,My_Audit!$A:$A,My_Audit!L:L,""),
_xlfn.IFS(_xlpm.MyAuditVal&lt;&gt;"",UPPER(_xlpm.MyAuditVal),_xlpm.MacVal&lt;&gt;"",_xlpm.MacVal,_xlpm.CSVVal&lt;&gt;"",_xlpm.CSVVal
)),"")</f>
        <v/>
      </c>
      <c r="O157" s="2" t="str">
        <f>_xlfn.LET(
    _xlpm.CSVVal, _xlfn.XLOOKUP($A157, CSV!$A:$A, CSV!AA:AA, ""),
    _xlpm.MacVal, _xlfn.XLOOKUP($A157, Output_Mac!$A:$A, Output_Mac!S:S, ""),
    _xlpm.MyAuditVal, _xlfn.XLOOKUP($A157, My_Audit!$A:$A, My_Audit!P:P, ""),
    _xlfn.TEXTJOIN(", ", TRUE, _xlpm.MyAuditVal, _xlpm.MacVal, _xlpm.CSVVal)
)</f>
        <v/>
      </c>
      <c r="P157" s="2" t="str" cm="1">
        <f t="array" ref="P157">IFERROR(_xlfn.LET(
_xlpm.CSVVal,_xlfn.XLOOKUP($A157,CSV!$A:$A,CSV!AB:AB,""),
_xlpm.MacVal,_xlfn.XLOOKUP($A157,Output_Mac!$A:$A,Output_Mac!T:T,""),
_xlpm.MyAuditVal,_xlfn.XLOOKUP($A157,My_Audit!$A:$A,My_Audit!Q:Q,""),
_xlfn.IFS(_xlpm.MyAuditVal&lt;&gt;"",UPPER(_xlpm.MyAuditVal),_xlpm.MacVal&lt;&gt;"",_xlpm.MacVal,_xlpm.CSVVal&lt;&gt;"",_xlpm.CSVVal
)),"No")</f>
        <v>No</v>
      </c>
      <c r="Q157" s="2" t="str" cm="1">
        <f t="array" ref="Q157">IFERROR(_xlfn.LET(
_xlpm.CSVVal,_xlfn.XLOOKUP($A157,CSV!$A:$A,CSV!AC:AC,""),
_xlpm.MacVal,_xlfn.XLOOKUP($A157,Output_Mac!$A:$A,Output_Mac!U:U,""),
_xlpm.MyAuditVal,_xlfn.XLOOKUP($A157,My_Audit!$A:$A,My_Audit!R:R,""),
_xlfn.IFS(_xlpm.MyAuditVal&lt;&gt;"",UPPER(_xlpm.MyAuditVal),_xlpm.MacVal&lt;&gt;"",_xlpm.MacVal,_xlpm.CSVVal&lt;&gt;"",_xlpm.CSVVal
)),"")</f>
        <v/>
      </c>
      <c r="X157" t="str">
        <f>_xlfn.LET(
    _xlpm.MacVal, _xlfn.XLOOKUP($A157, Output_Mac!$A:$A, Output_Mac!AB:AB, ""),
    _xlpm.MyAuditVal, _xlfn.XLOOKUP($A157, My_Audit!$A:$A, My_Audit!N:N, ""),
    _xlfn.TEXTJOIN(", ", TRUE, _xlpm.MyAuditVal, _xlpm.MacVal)
)</f>
        <v/>
      </c>
    </row>
    <row r="158" spans="1:24">
      <c r="A158" s="2" t="str">
        <f>_xlfn.TEXTJOIN("",TRUE,Input!$B$2,ROW(My_Audit!A157))</f>
        <v>X157</v>
      </c>
      <c r="B158" s="2" t="str">
        <f>_xlfn.TEXTJOIN("-",TRUE,"ITD",Input!$A$2,A158)</f>
        <v>ITD-SHR-X157</v>
      </c>
      <c r="C158" s="2" t="str" cm="1">
        <f t="array" ref="C158">IFERROR(_xlfn.LET(
_xlpm.CSVVal,_xlfn.XLOOKUP($A158,CSV!$A:$A,CSV!B:B,""),
_xlpm.MacVal,_xlfn.XLOOKUP($A158,Output_Mac!$A:$A,Output_Mac!B:B,""),
_xlpm.MyAuditVal,_xlfn.XLOOKUP($A158,My_Audit!$A:$A,My_Audit!B:B,""),
_xlfn.IFS(_xlpm.MyAuditVal&lt;&gt;"",UPPER(_xlpm.MyAuditVal),_xlpm.MacVal&lt;&gt;"",_xlpm.MacVal,_xlpm.CSVVal&lt;&gt;"",_xlpm.CSVVal
)),"")</f>
        <v/>
      </c>
      <c r="D158" s="2" t="str" cm="1">
        <f t="array" ref="D158">IFERROR(_xlfn.LET(
_xlpm.CSVVal,_xlfn.XLOOKUP($A158,CSV!$A:$A,CSV!D:D,""),
_xlpm.MacVal,_xlfn.XLOOKUP($A158,Output_Mac!$A:$A,Output_Mac!C:C,""),
_xlpm.MyAuditVal,_xlfn.XLOOKUP($A158,My_Audit!$A:$A,My_Audit!C:C,""),
_xlfn.IFS(_xlpm.MyAuditVal&lt;&gt;"",_xlpm.MyAuditVal,_xlpm.MacVal&lt;&gt;"",_xlpm.MacVal,_xlpm.CSVVal&lt;&gt;"",_xlpm.CSVVal
)),"")</f>
        <v/>
      </c>
      <c r="E158" s="2" t="e">
        <f>IF(_xlfn.XLOOKUP(A158,My_Audit!A:A,My_Audit!D:D),_xlfn.XLOOKUP(A158,My_Audit!A:A,My_Audit!D:D),"")</f>
        <v>#N/A</v>
      </c>
      <c r="F158" s="2" t="str" cm="1">
        <f t="array" ref="F158">IFERROR(_xlfn.LET(
_xlpm.CSVVal,_xlfn.XLOOKUP($A158,CSV!$A:$A,CSV!F:F,""),
_xlpm.MacVal,_xlfn.XLOOKUP($A158,Output_Mac!$A:$A,Output_Mac!E:E,""),
_xlpm.MyAuditVal,_xlfn.XLOOKUP($A158,My_Audit!$A:$A,My_Audit!E:E,""),
_xlfn.IFS(_xlpm.MyAuditVal&lt;&gt;"",_xlpm.MyAuditVal,_xlpm.MacVal&lt;&gt;"",_xlpm.MacVal,_xlpm.CSVVal&lt;&gt;"",_xlpm.CSVVal
)),"")</f>
        <v/>
      </c>
      <c r="G158" s="2" t="str" cm="1">
        <f t="array" ref="G158">IFERROR(_xlfn.LET(
_xlpm.CSVVal,_xlfn.XLOOKUP($A158,CSV!$A:$A,CSV!G:G,""),
_xlpm.MacVal,_xlfn.XLOOKUP($A158,Output_Mac!$A:$A,Output_Mac!F:F,""),
_xlpm.MyAuditVal,_xlfn.XLOOKUP($A158,My_Audit!$A:$A,My_Audit!F:F,""),
_xlfn.IFS(_xlpm.MyAuditVal&lt;&gt;"",_xlpm.MyAuditVal,_xlpm.MacVal&lt;&gt;"",_xlpm.MacVal,_xlpm.CSVVal&lt;&gt;"",PROPER(_xlpm.CSVVal)
)),"")</f>
        <v/>
      </c>
      <c r="H158" s="2" t="str" cm="1">
        <f t="array" ref="H158">IFERROR(_xlfn.LET(
_xlpm.CSVVal,_xlfn.XLOOKUP($A158,CSV!$A:$A,CSV!H:H,""),
_xlpm.MacVal,_xlfn.XLOOKUP($A158,Output_Mac!$A:$A,Output_Mac!H:H,""),
_xlpm.MyAuditVal,_xlfn.XLOOKUP($A158,My_Audit!$A:$A,My_Audit!G:G,""),
_xlfn.IFS(_xlpm.MyAuditVal&lt;&gt;"",_xlpm.MyAuditVal,_xlpm.MacVal&lt;&gt;"",_xlpm.MacVal,_xlpm.CSVVal&lt;&gt;"",_xlpm.CSVVal
)),"")</f>
        <v/>
      </c>
      <c r="I158" s="2" t="str">
        <f>_xlfn.XLOOKUP(A158,Output_Mac!A:A,Output_Mac!I:I,"")</f>
        <v/>
      </c>
      <c r="J158" s="2" t="str" cm="1">
        <f t="array" ref="J158">IFERROR(_xlfn.LET(
_xlpm.CSVVal,_xlfn.XLOOKUP($A158,CSV!$A:$A,CSV!I:I,""),
_xlpm.MacVal,_xlfn.XLOOKUP($A158,Output_Mac!$A:$A,Output_Mac!J:J,""),
_xlpm.MyAuditVal,_xlfn.XLOOKUP($A158,My_Audit!$A:$A,My_Audit!I:I,""),
_xlfn.IFS(_xlpm.MyAuditVal&lt;&gt;"",UPPER(_xlpm.MyAuditVal),_xlpm.MacVal&lt;&gt;"",_xlpm.MacVal,_xlpm.CSVVal&lt;&gt;"",_xlpm.CSVVal
)),"")</f>
        <v/>
      </c>
      <c r="K158" s="2" t="str" cm="1">
        <f t="array" ref="K158">IFERROR(_xlfn.LET(
_xlpm.CSVVal,_xlfn.XLOOKUP($A158,CSV!$A:$A,CSV!K:K,""),
_xlpm.MacVal,_xlfn.XLOOKUP($A158,Output_Mac!$A:$A,Output_Mac!K:K,""),
_xlpm.MyAuditVal,_xlfn.XLOOKUP($A158,My_Audit!$A:$A,My_Audit!J:J,""),
_xlfn.IFS(_xlpm.MyAuditVal&lt;&gt;"",UPPER(_xlpm.MyAuditVal),_xlpm.MacVal&lt;&gt;"",_xlpm.MacVal,_xlpm.CSVVal&lt;&gt;"",_xlpm.CSVVal
)),"")</f>
        <v/>
      </c>
      <c r="L158" s="2" t="str" cm="1">
        <f t="array" ref="L158">IFERROR(_xlfn.LET(
_xlpm.CSVVal,_xlfn.XLOOKUP($A158,CSV!$A:$A,CSV!P:P,""),
_xlpm.MacVal,_xlfn.XLOOKUP($A158,Output_Mac!$A:$A,Output_Mac!L:L,""),
_xlpm.MyAuditVal,_xlfn.XLOOKUP($A158,My_Audit!$A:$A,My_Audit!K:K,""),
_xlfn.IFS(_xlpm.MyAuditVal&lt;&gt;"",UPPER(_xlpm.MyAuditVal),_xlpm.MacVal&lt;&gt;"",_xlpm.MacVal,_xlpm.CSVVal&lt;&gt;"",_xlpm.CSVVal
)),"")</f>
        <v/>
      </c>
      <c r="M158" s="2" t="str" cm="1">
        <f t="array" ref="M158">IFERROR(_xlfn.LET(
_xlpm.CSVVal,_xlfn.XLOOKUP($A158,CSV!$A:$A,CSV!Q:Q,""),
_xlpm.MacVal,_xlfn.XLOOKUP($A158,Output_Mac!$A:$A,Output_Mac!M:M,""),
_xlpm.MyAuditVal,_xlfn.XLOOKUP($A158,My_Audit!$A:$A,My_Audit!L:L,""),
_xlfn.IFS(_xlpm.MyAuditVal&lt;&gt;"",UPPER(_xlpm.MyAuditVal),_xlpm.MacVal&lt;&gt;"",_xlpm.MacVal,_xlpm.CSVVal&lt;&gt;"",_xlpm.CSVVal
)),"")</f>
        <v/>
      </c>
      <c r="O158" s="2" t="str">
        <f>_xlfn.LET(
    _xlpm.CSVVal, _xlfn.XLOOKUP($A158, CSV!$A:$A, CSV!AA:AA, ""),
    _xlpm.MacVal, _xlfn.XLOOKUP($A158, Output_Mac!$A:$A, Output_Mac!S:S, ""),
    _xlpm.MyAuditVal, _xlfn.XLOOKUP($A158, My_Audit!$A:$A, My_Audit!P:P, ""),
    _xlfn.TEXTJOIN(", ", TRUE, _xlpm.MyAuditVal, _xlpm.MacVal, _xlpm.CSVVal)
)</f>
        <v/>
      </c>
      <c r="P158" s="2" t="str" cm="1">
        <f t="array" ref="P158">IFERROR(_xlfn.LET(
_xlpm.CSVVal,_xlfn.XLOOKUP($A158,CSV!$A:$A,CSV!AB:AB,""),
_xlpm.MacVal,_xlfn.XLOOKUP($A158,Output_Mac!$A:$A,Output_Mac!T:T,""),
_xlpm.MyAuditVal,_xlfn.XLOOKUP($A158,My_Audit!$A:$A,My_Audit!Q:Q,""),
_xlfn.IFS(_xlpm.MyAuditVal&lt;&gt;"",UPPER(_xlpm.MyAuditVal),_xlpm.MacVal&lt;&gt;"",_xlpm.MacVal,_xlpm.CSVVal&lt;&gt;"",_xlpm.CSVVal
)),"No")</f>
        <v>No</v>
      </c>
      <c r="Q158" s="2" t="str" cm="1">
        <f t="array" ref="Q158">IFERROR(_xlfn.LET(
_xlpm.CSVVal,_xlfn.XLOOKUP($A158,CSV!$A:$A,CSV!AC:AC,""),
_xlpm.MacVal,_xlfn.XLOOKUP($A158,Output_Mac!$A:$A,Output_Mac!U:U,""),
_xlpm.MyAuditVal,_xlfn.XLOOKUP($A158,My_Audit!$A:$A,My_Audit!R:R,""),
_xlfn.IFS(_xlpm.MyAuditVal&lt;&gt;"",UPPER(_xlpm.MyAuditVal),_xlpm.MacVal&lt;&gt;"",_xlpm.MacVal,_xlpm.CSVVal&lt;&gt;"",_xlpm.CSVVal
)),"")</f>
        <v/>
      </c>
      <c r="X158" t="str">
        <f>_xlfn.LET(
    _xlpm.MacVal, _xlfn.XLOOKUP($A158, Output_Mac!$A:$A, Output_Mac!AB:AB, ""),
    _xlpm.MyAuditVal, _xlfn.XLOOKUP($A158, My_Audit!$A:$A, My_Audit!N:N, ""),
    _xlfn.TEXTJOIN(", ", TRUE, _xlpm.MyAuditVal, _xlpm.MacVal)
)</f>
        <v/>
      </c>
    </row>
    <row r="159" spans="1:24">
      <c r="A159" s="2" t="str">
        <f>_xlfn.TEXTJOIN("",TRUE,Input!$B$2,ROW(My_Audit!A158))</f>
        <v>X158</v>
      </c>
      <c r="C159" s="2" t="str" cm="1">
        <f t="array" ref="C159">IFERROR(_xlfn.LET(
_xlpm.CSVVal,_xlfn.XLOOKUP($A159,CSV!$A:$A,CSV!B:B,""),
_xlpm.MacVal,_xlfn.XLOOKUP($A159,Output_Mac!$A:$A,Output_Mac!B:B,""),
_xlpm.MyAuditVal,_xlfn.XLOOKUP($A159,My_Audit!$A:$A,My_Audit!B:B,""),
_xlfn.IFS(_xlpm.MyAuditVal&lt;&gt;"",UPPER(_xlpm.MyAuditVal),_xlpm.MacVal&lt;&gt;"",_xlpm.MacVal,_xlpm.CSVVal&lt;&gt;"",_xlpm.CSVVal
)),"")</f>
        <v/>
      </c>
      <c r="D159" s="2" t="str" cm="1">
        <f t="array" ref="D159">IFERROR(_xlfn.LET(
_xlpm.CSVVal,_xlfn.XLOOKUP($A159,CSV!$A:$A,CSV!D:D,""),
_xlpm.MacVal,_xlfn.XLOOKUP($A159,Output_Mac!$A:$A,Output_Mac!C:C,""),
_xlpm.MyAuditVal,_xlfn.XLOOKUP($A159,My_Audit!$A:$A,My_Audit!C:C,""),
_xlfn.IFS(_xlpm.MyAuditVal&lt;&gt;"",_xlpm.MyAuditVal,_xlpm.MacVal&lt;&gt;"",_xlpm.MacVal,_xlpm.CSVVal&lt;&gt;"",_xlpm.CSVVal
)),"")</f>
        <v/>
      </c>
      <c r="E159" s="2" t="e">
        <f>IF(_xlfn.XLOOKUP(A159,My_Audit!A:A,My_Audit!D:D),_xlfn.XLOOKUP(A159,My_Audit!A:A,My_Audit!D:D),"")</f>
        <v>#N/A</v>
      </c>
      <c r="F159" s="2" t="str" cm="1">
        <f t="array" ref="F159">IFERROR(_xlfn.LET(
_xlpm.CSVVal,_xlfn.XLOOKUP($A159,CSV!$A:$A,CSV!F:F,""),
_xlpm.MacVal,_xlfn.XLOOKUP($A159,Output_Mac!$A:$A,Output_Mac!E:E,""),
_xlpm.MyAuditVal,_xlfn.XLOOKUP($A159,My_Audit!$A:$A,My_Audit!E:E,""),
_xlfn.IFS(_xlpm.MyAuditVal&lt;&gt;"",_xlpm.MyAuditVal,_xlpm.MacVal&lt;&gt;"",_xlpm.MacVal,_xlpm.CSVVal&lt;&gt;"",_xlpm.CSVVal
)),"")</f>
        <v/>
      </c>
      <c r="G159" s="2" t="str" cm="1">
        <f t="array" ref="G159">IFERROR(_xlfn.LET(
_xlpm.CSVVal,_xlfn.XLOOKUP($A159,CSV!$A:$A,CSV!G:G,""),
_xlpm.MacVal,_xlfn.XLOOKUP($A159,Output_Mac!$A:$A,Output_Mac!F:F,""),
_xlpm.MyAuditVal,_xlfn.XLOOKUP($A159,My_Audit!$A:$A,My_Audit!F:F,""),
_xlfn.IFS(_xlpm.MyAuditVal&lt;&gt;"",_xlpm.MyAuditVal,_xlpm.MacVal&lt;&gt;"",_xlpm.MacVal,_xlpm.CSVVal&lt;&gt;"",PROPER(_xlpm.CSVVal)
)),"")</f>
        <v/>
      </c>
      <c r="H159" s="2" t="str" cm="1">
        <f t="array" ref="H159">IFERROR(_xlfn.LET(
_xlpm.CSVVal,_xlfn.XLOOKUP($A159,CSV!$A:$A,CSV!H:H,""),
_xlpm.MacVal,_xlfn.XLOOKUP($A159,Output_Mac!$A:$A,Output_Mac!H:H,""),
_xlpm.MyAuditVal,_xlfn.XLOOKUP($A159,My_Audit!$A:$A,My_Audit!G:G,""),
_xlfn.IFS(_xlpm.MyAuditVal&lt;&gt;"",_xlpm.MyAuditVal,_xlpm.MacVal&lt;&gt;"",_xlpm.MacVal,_xlpm.CSVVal&lt;&gt;"",_xlpm.CSVVal
)),"")</f>
        <v/>
      </c>
      <c r="I159" s="2" t="str">
        <f>_xlfn.XLOOKUP(A159,Output_Mac!A:A,Output_Mac!I:I,"")</f>
        <v/>
      </c>
      <c r="J159" s="2" t="str" cm="1">
        <f t="array" ref="J159">IFERROR(_xlfn.LET(
_xlpm.CSVVal,_xlfn.XLOOKUP($A159,CSV!$A:$A,CSV!I:I,""),
_xlpm.MacVal,_xlfn.XLOOKUP($A159,Output_Mac!$A:$A,Output_Mac!J:J,""),
_xlpm.MyAuditVal,_xlfn.XLOOKUP($A159,My_Audit!$A:$A,My_Audit!I:I,""),
_xlfn.IFS(_xlpm.MyAuditVal&lt;&gt;"",UPPER(_xlpm.MyAuditVal),_xlpm.MacVal&lt;&gt;"",_xlpm.MacVal,_xlpm.CSVVal&lt;&gt;"",_xlpm.CSVVal
)),"")</f>
        <v/>
      </c>
      <c r="K159" s="2" t="str" cm="1">
        <f t="array" ref="K159">IFERROR(_xlfn.LET(
_xlpm.CSVVal,_xlfn.XLOOKUP($A159,CSV!$A:$A,CSV!K:K,""),
_xlpm.MacVal,_xlfn.XLOOKUP($A159,Output_Mac!$A:$A,Output_Mac!K:K,""),
_xlpm.MyAuditVal,_xlfn.XLOOKUP($A159,My_Audit!$A:$A,My_Audit!J:J,""),
_xlfn.IFS(_xlpm.MyAuditVal&lt;&gt;"",UPPER(_xlpm.MyAuditVal),_xlpm.MacVal&lt;&gt;"",_xlpm.MacVal,_xlpm.CSVVal&lt;&gt;"",_xlpm.CSVVal
)),"")</f>
        <v/>
      </c>
      <c r="L159" s="2" t="str" cm="1">
        <f t="array" ref="L159">IFERROR(_xlfn.LET(
_xlpm.CSVVal,_xlfn.XLOOKUP($A159,CSV!$A:$A,CSV!P:P,""),
_xlpm.MacVal,_xlfn.XLOOKUP($A159,Output_Mac!$A:$A,Output_Mac!L:L,""),
_xlpm.MyAuditVal,_xlfn.XLOOKUP($A159,My_Audit!$A:$A,My_Audit!K:K,""),
_xlfn.IFS(_xlpm.MyAuditVal&lt;&gt;"",UPPER(_xlpm.MyAuditVal),_xlpm.MacVal&lt;&gt;"",_xlpm.MacVal,_xlpm.CSVVal&lt;&gt;"",_xlpm.CSVVal
)),"")</f>
        <v/>
      </c>
      <c r="M159" s="2" t="str" cm="1">
        <f t="array" ref="M159">IFERROR(_xlfn.LET(
_xlpm.CSVVal,_xlfn.XLOOKUP($A159,CSV!$A:$A,CSV!Q:Q,""),
_xlpm.MacVal,_xlfn.XLOOKUP($A159,Output_Mac!$A:$A,Output_Mac!M:M,""),
_xlpm.MyAuditVal,_xlfn.XLOOKUP($A159,My_Audit!$A:$A,My_Audit!L:L,""),
_xlfn.IFS(_xlpm.MyAuditVal&lt;&gt;"",UPPER(_xlpm.MyAuditVal),_xlpm.MacVal&lt;&gt;"",_xlpm.MacVal,_xlpm.CSVVal&lt;&gt;"",_xlpm.CSVVal
)),"")</f>
        <v/>
      </c>
      <c r="O159" s="2" t="str">
        <f>_xlfn.LET(
    _xlpm.CSVVal, _xlfn.XLOOKUP($A159, CSV!$A:$A, CSV!AA:AA, ""),
    _xlpm.MacVal, _xlfn.XLOOKUP($A159, Output_Mac!$A:$A, Output_Mac!S:S, ""),
    _xlpm.MyAuditVal, _xlfn.XLOOKUP($A159, My_Audit!$A:$A, My_Audit!P:P, ""),
    _xlfn.TEXTJOIN(", ", TRUE, _xlpm.MyAuditVal, _xlpm.MacVal, _xlpm.CSVVal)
)</f>
        <v/>
      </c>
      <c r="P159" s="2" t="str" cm="1">
        <f t="array" ref="P159">IFERROR(_xlfn.LET(
_xlpm.CSVVal,_xlfn.XLOOKUP($A159,CSV!$A:$A,CSV!AB:AB,""),
_xlpm.MacVal,_xlfn.XLOOKUP($A159,Output_Mac!$A:$A,Output_Mac!T:T,""),
_xlpm.MyAuditVal,_xlfn.XLOOKUP($A159,My_Audit!$A:$A,My_Audit!Q:Q,""),
_xlfn.IFS(_xlpm.MyAuditVal&lt;&gt;"",UPPER(_xlpm.MyAuditVal),_xlpm.MacVal&lt;&gt;"",_xlpm.MacVal,_xlpm.CSVVal&lt;&gt;"",_xlpm.CSVVal
)),"No")</f>
        <v>No</v>
      </c>
      <c r="Q159" s="2" t="str" cm="1">
        <f t="array" ref="Q159">IFERROR(_xlfn.LET(
_xlpm.CSVVal,_xlfn.XLOOKUP($A159,CSV!$A:$A,CSV!AC:AC,""),
_xlpm.MacVal,_xlfn.XLOOKUP($A159,Output_Mac!$A:$A,Output_Mac!U:U,""),
_xlpm.MyAuditVal,_xlfn.XLOOKUP($A159,My_Audit!$A:$A,My_Audit!R:R,""),
_xlfn.IFS(_xlpm.MyAuditVal&lt;&gt;"",UPPER(_xlpm.MyAuditVal),_xlpm.MacVal&lt;&gt;"",_xlpm.MacVal,_xlpm.CSVVal&lt;&gt;"",_xlpm.CSVVal
)),"")</f>
        <v/>
      </c>
      <c r="X159" t="str">
        <f>_xlfn.LET(
    _xlpm.MacVal, _xlfn.XLOOKUP($A159, Output_Mac!$A:$A, Output_Mac!AB:AB, ""),
    _xlpm.MyAuditVal, _xlfn.XLOOKUP($A159, My_Audit!$A:$A, My_Audit!N:N, ""),
    _xlfn.TEXTJOIN(", ", TRUE, _xlpm.MyAuditVal, _xlpm.MacVal)
)</f>
        <v/>
      </c>
    </row>
    <row r="160" spans="1:24">
      <c r="A160" s="2" t="str">
        <f>_xlfn.TEXTJOIN("",TRUE,Input!$B$2,ROW(My_Audit!A159))</f>
        <v>X159</v>
      </c>
      <c r="C160" s="2" t="str" cm="1">
        <f t="array" ref="C160">IFERROR(_xlfn.LET(
_xlpm.CSVVal,_xlfn.XLOOKUP($A160,CSV!$A:$A,CSV!B:B,""),
_xlpm.MacVal,_xlfn.XLOOKUP($A160,Output_Mac!$A:$A,Output_Mac!B:B,""),
_xlpm.MyAuditVal,_xlfn.XLOOKUP($A160,My_Audit!$A:$A,My_Audit!B:B,""),
_xlfn.IFS(_xlpm.MyAuditVal&lt;&gt;"",UPPER(_xlpm.MyAuditVal),_xlpm.MacVal&lt;&gt;"",_xlpm.MacVal,_xlpm.CSVVal&lt;&gt;"",_xlpm.CSVVal
)),"")</f>
        <v/>
      </c>
      <c r="D160" s="2" t="str" cm="1">
        <f t="array" ref="D160">IFERROR(_xlfn.LET(
_xlpm.CSVVal,_xlfn.XLOOKUP($A160,CSV!$A:$A,CSV!D:D,""),
_xlpm.MacVal,_xlfn.XLOOKUP($A160,Output_Mac!$A:$A,Output_Mac!C:C,""),
_xlpm.MyAuditVal,_xlfn.XLOOKUP($A160,My_Audit!$A:$A,My_Audit!C:C,""),
_xlfn.IFS(_xlpm.MyAuditVal&lt;&gt;"",_xlpm.MyAuditVal,_xlpm.MacVal&lt;&gt;"",_xlpm.MacVal,_xlpm.CSVVal&lt;&gt;"",_xlpm.CSVVal
)),"")</f>
        <v/>
      </c>
      <c r="E160" s="2" t="e">
        <f>IF(_xlfn.XLOOKUP(A160,My_Audit!A:A,My_Audit!D:D),_xlfn.XLOOKUP(A160,My_Audit!A:A,My_Audit!D:D),"")</f>
        <v>#N/A</v>
      </c>
      <c r="F160" s="2" t="str" cm="1">
        <f t="array" ref="F160">IFERROR(_xlfn.LET(
_xlpm.CSVVal,_xlfn.XLOOKUP($A160,CSV!$A:$A,CSV!F:F,""),
_xlpm.MacVal,_xlfn.XLOOKUP($A160,Output_Mac!$A:$A,Output_Mac!E:E,""),
_xlpm.MyAuditVal,_xlfn.XLOOKUP($A160,My_Audit!$A:$A,My_Audit!E:E,""),
_xlfn.IFS(_xlpm.MyAuditVal&lt;&gt;"",_xlpm.MyAuditVal,_xlpm.MacVal&lt;&gt;"",_xlpm.MacVal,_xlpm.CSVVal&lt;&gt;"",_xlpm.CSVVal
)),"")</f>
        <v/>
      </c>
      <c r="G160" s="2" t="str" cm="1">
        <f t="array" ref="G160">IFERROR(_xlfn.LET(
_xlpm.CSVVal,_xlfn.XLOOKUP($A160,CSV!$A:$A,CSV!G:G,""),
_xlpm.MacVal,_xlfn.XLOOKUP($A160,Output_Mac!$A:$A,Output_Mac!F:F,""),
_xlpm.MyAuditVal,_xlfn.XLOOKUP($A160,My_Audit!$A:$A,My_Audit!F:F,""),
_xlfn.IFS(_xlpm.MyAuditVal&lt;&gt;"",_xlpm.MyAuditVal,_xlpm.MacVal&lt;&gt;"",_xlpm.MacVal,_xlpm.CSVVal&lt;&gt;"",PROPER(_xlpm.CSVVal)
)),"")</f>
        <v/>
      </c>
      <c r="H160" s="2" t="str" cm="1">
        <f t="array" ref="H160">IFERROR(_xlfn.LET(
_xlpm.CSVVal,_xlfn.XLOOKUP($A160,CSV!$A:$A,CSV!H:H,""),
_xlpm.MacVal,_xlfn.XLOOKUP($A160,Output_Mac!$A:$A,Output_Mac!H:H,""),
_xlpm.MyAuditVal,_xlfn.XLOOKUP($A160,My_Audit!$A:$A,My_Audit!G:G,""),
_xlfn.IFS(_xlpm.MyAuditVal&lt;&gt;"",_xlpm.MyAuditVal,_xlpm.MacVal&lt;&gt;"",_xlpm.MacVal,_xlpm.CSVVal&lt;&gt;"",_xlpm.CSVVal
)),"")</f>
        <v/>
      </c>
      <c r="I160" s="2" t="str">
        <f>_xlfn.XLOOKUP(A160,Output_Mac!A:A,Output_Mac!I:I,"")</f>
        <v/>
      </c>
      <c r="J160" s="2" t="str" cm="1">
        <f t="array" ref="J160">IFERROR(_xlfn.LET(
_xlpm.CSVVal,_xlfn.XLOOKUP($A160,CSV!$A:$A,CSV!I:I,""),
_xlpm.MacVal,_xlfn.XLOOKUP($A160,Output_Mac!$A:$A,Output_Mac!J:J,""),
_xlpm.MyAuditVal,_xlfn.XLOOKUP($A160,My_Audit!$A:$A,My_Audit!I:I,""),
_xlfn.IFS(_xlpm.MyAuditVal&lt;&gt;"",UPPER(_xlpm.MyAuditVal),_xlpm.MacVal&lt;&gt;"",_xlpm.MacVal,_xlpm.CSVVal&lt;&gt;"",_xlpm.CSVVal
)),"")</f>
        <v/>
      </c>
      <c r="K160" s="2" t="str" cm="1">
        <f t="array" ref="K160">IFERROR(_xlfn.LET(
_xlpm.CSVVal,_xlfn.XLOOKUP($A160,CSV!$A:$A,CSV!K:K,""),
_xlpm.MacVal,_xlfn.XLOOKUP($A160,Output_Mac!$A:$A,Output_Mac!K:K,""),
_xlpm.MyAuditVal,_xlfn.XLOOKUP($A160,My_Audit!$A:$A,My_Audit!J:J,""),
_xlfn.IFS(_xlpm.MyAuditVal&lt;&gt;"",UPPER(_xlpm.MyAuditVal),_xlpm.MacVal&lt;&gt;"",_xlpm.MacVal,_xlpm.CSVVal&lt;&gt;"",_xlpm.CSVVal
)),"")</f>
        <v/>
      </c>
      <c r="L160" s="2" t="str" cm="1">
        <f t="array" ref="L160">IFERROR(_xlfn.LET(
_xlpm.CSVVal,_xlfn.XLOOKUP($A160,CSV!$A:$A,CSV!P:P,""),
_xlpm.MacVal,_xlfn.XLOOKUP($A160,Output_Mac!$A:$A,Output_Mac!L:L,""),
_xlpm.MyAuditVal,_xlfn.XLOOKUP($A160,My_Audit!$A:$A,My_Audit!K:K,""),
_xlfn.IFS(_xlpm.MyAuditVal&lt;&gt;"",UPPER(_xlpm.MyAuditVal),_xlpm.MacVal&lt;&gt;"",_xlpm.MacVal,_xlpm.CSVVal&lt;&gt;"",_xlpm.CSVVal
)),"")</f>
        <v/>
      </c>
      <c r="M160" s="2" t="str" cm="1">
        <f t="array" ref="M160">IFERROR(_xlfn.LET(
_xlpm.CSVVal,_xlfn.XLOOKUP($A160,CSV!$A:$A,CSV!Q:Q,""),
_xlpm.MacVal,_xlfn.XLOOKUP($A160,Output_Mac!$A:$A,Output_Mac!M:M,""),
_xlpm.MyAuditVal,_xlfn.XLOOKUP($A160,My_Audit!$A:$A,My_Audit!L:L,""),
_xlfn.IFS(_xlpm.MyAuditVal&lt;&gt;"",UPPER(_xlpm.MyAuditVal),_xlpm.MacVal&lt;&gt;"",_xlpm.MacVal,_xlpm.CSVVal&lt;&gt;"",_xlpm.CSVVal
)),"")</f>
        <v/>
      </c>
      <c r="O160" s="2" t="str">
        <f>_xlfn.LET(
    _xlpm.CSVVal, _xlfn.XLOOKUP($A160, CSV!$A:$A, CSV!AA:AA, ""),
    _xlpm.MacVal, _xlfn.XLOOKUP($A160, Output_Mac!$A:$A, Output_Mac!S:S, ""),
    _xlpm.MyAuditVal, _xlfn.XLOOKUP($A160, My_Audit!$A:$A, My_Audit!P:P, ""),
    _xlfn.TEXTJOIN(", ", TRUE, _xlpm.MyAuditVal, _xlpm.MacVal, _xlpm.CSVVal)
)</f>
        <v/>
      </c>
      <c r="P160" s="2" t="str" cm="1">
        <f t="array" ref="P160">IFERROR(_xlfn.LET(
_xlpm.CSVVal,_xlfn.XLOOKUP($A160,CSV!$A:$A,CSV!AB:AB,""),
_xlpm.MacVal,_xlfn.XLOOKUP($A160,Output_Mac!$A:$A,Output_Mac!T:T,""),
_xlpm.MyAuditVal,_xlfn.XLOOKUP($A160,My_Audit!$A:$A,My_Audit!Q:Q,""),
_xlfn.IFS(_xlpm.MyAuditVal&lt;&gt;"",UPPER(_xlpm.MyAuditVal),_xlpm.MacVal&lt;&gt;"",_xlpm.MacVal,_xlpm.CSVVal&lt;&gt;"",_xlpm.CSVVal
)),"No")</f>
        <v>No</v>
      </c>
      <c r="Q160" s="2" t="str" cm="1">
        <f t="array" ref="Q160">IFERROR(_xlfn.LET(
_xlpm.CSVVal,_xlfn.XLOOKUP($A160,CSV!$A:$A,CSV!AC:AC,""),
_xlpm.MacVal,_xlfn.XLOOKUP($A160,Output_Mac!$A:$A,Output_Mac!U:U,""),
_xlpm.MyAuditVal,_xlfn.XLOOKUP($A160,My_Audit!$A:$A,My_Audit!R:R,""),
_xlfn.IFS(_xlpm.MyAuditVal&lt;&gt;"",UPPER(_xlpm.MyAuditVal),_xlpm.MacVal&lt;&gt;"",_xlpm.MacVal,_xlpm.CSVVal&lt;&gt;"",_xlpm.CSVVal
)),"")</f>
        <v/>
      </c>
      <c r="X160" t="str">
        <f>_xlfn.LET(
    _xlpm.MacVal, _xlfn.XLOOKUP($A160, Output_Mac!$A:$A, Output_Mac!AB:AB, ""),
    _xlpm.MyAuditVal, _xlfn.XLOOKUP($A160, My_Audit!$A:$A, My_Audit!N:N, ""),
    _xlfn.TEXTJOIN(", ", TRUE, _xlpm.MyAuditVal, _xlpm.MacVal)
)</f>
        <v/>
      </c>
    </row>
    <row r="161" spans="1:24">
      <c r="A161" s="2" t="str">
        <f>_xlfn.TEXTJOIN("",TRUE,Input!$B$2,ROW(My_Audit!A160))</f>
        <v>X160</v>
      </c>
      <c r="C161" s="2" t="str" cm="1">
        <f t="array" ref="C161">IFERROR(_xlfn.LET(
_xlpm.CSVVal,_xlfn.XLOOKUP($A161,CSV!$A:$A,CSV!B:B,""),
_xlpm.MacVal,_xlfn.XLOOKUP($A161,Output_Mac!$A:$A,Output_Mac!B:B,""),
_xlpm.MyAuditVal,_xlfn.XLOOKUP($A161,My_Audit!$A:$A,My_Audit!B:B,""),
_xlfn.IFS(_xlpm.MyAuditVal&lt;&gt;"",UPPER(_xlpm.MyAuditVal),_xlpm.MacVal&lt;&gt;"",_xlpm.MacVal,_xlpm.CSVVal&lt;&gt;"",_xlpm.CSVVal
)),"")</f>
        <v/>
      </c>
      <c r="D161" s="2" t="str" cm="1">
        <f t="array" ref="D161">IFERROR(_xlfn.LET(
_xlpm.CSVVal,_xlfn.XLOOKUP($A161,CSV!$A:$A,CSV!D:D,""),
_xlpm.MacVal,_xlfn.XLOOKUP($A161,Output_Mac!$A:$A,Output_Mac!C:C,""),
_xlpm.MyAuditVal,_xlfn.XLOOKUP($A161,My_Audit!$A:$A,My_Audit!C:C,""),
_xlfn.IFS(_xlpm.MyAuditVal&lt;&gt;"",_xlpm.MyAuditVal,_xlpm.MacVal&lt;&gt;"",_xlpm.MacVal,_xlpm.CSVVal&lt;&gt;"",_xlpm.CSVVal
)),"")</f>
        <v/>
      </c>
      <c r="E161" s="2" t="e">
        <f>IF(_xlfn.XLOOKUP(A161,My_Audit!A:A,My_Audit!D:D),_xlfn.XLOOKUP(A161,My_Audit!A:A,My_Audit!D:D),"")</f>
        <v>#N/A</v>
      </c>
      <c r="F161" s="2" t="str" cm="1">
        <f t="array" ref="F161">IFERROR(_xlfn.LET(
_xlpm.CSVVal,_xlfn.XLOOKUP($A161,CSV!$A:$A,CSV!F:F,""),
_xlpm.MacVal,_xlfn.XLOOKUP($A161,Output_Mac!$A:$A,Output_Mac!E:E,""),
_xlpm.MyAuditVal,_xlfn.XLOOKUP($A161,My_Audit!$A:$A,My_Audit!E:E,""),
_xlfn.IFS(_xlpm.MyAuditVal&lt;&gt;"",_xlpm.MyAuditVal,_xlpm.MacVal&lt;&gt;"",_xlpm.MacVal,_xlpm.CSVVal&lt;&gt;"",_xlpm.CSVVal
)),"")</f>
        <v/>
      </c>
      <c r="G161" s="2" t="str" cm="1">
        <f t="array" ref="G161">IFERROR(_xlfn.LET(
_xlpm.CSVVal,_xlfn.XLOOKUP($A161,CSV!$A:$A,CSV!G:G,""),
_xlpm.MacVal,_xlfn.XLOOKUP($A161,Output_Mac!$A:$A,Output_Mac!F:F,""),
_xlpm.MyAuditVal,_xlfn.XLOOKUP($A161,My_Audit!$A:$A,My_Audit!F:F,""),
_xlfn.IFS(_xlpm.MyAuditVal&lt;&gt;"",_xlpm.MyAuditVal,_xlpm.MacVal&lt;&gt;"",_xlpm.MacVal,_xlpm.CSVVal&lt;&gt;"",PROPER(_xlpm.CSVVal)
)),"")</f>
        <v/>
      </c>
      <c r="H161" s="2" t="str" cm="1">
        <f t="array" ref="H161">IFERROR(_xlfn.LET(
_xlpm.CSVVal,_xlfn.XLOOKUP($A161,CSV!$A:$A,CSV!H:H,""),
_xlpm.MacVal,_xlfn.XLOOKUP($A161,Output_Mac!$A:$A,Output_Mac!H:H,""),
_xlpm.MyAuditVal,_xlfn.XLOOKUP($A161,My_Audit!$A:$A,My_Audit!G:G,""),
_xlfn.IFS(_xlpm.MyAuditVal&lt;&gt;"",_xlpm.MyAuditVal,_xlpm.MacVal&lt;&gt;"",_xlpm.MacVal,_xlpm.CSVVal&lt;&gt;"",_xlpm.CSVVal
)),"")</f>
        <v/>
      </c>
      <c r="I161" s="2" t="str">
        <f>_xlfn.XLOOKUP(A161,Output_Mac!A:A,Output_Mac!I:I,"")</f>
        <v/>
      </c>
      <c r="J161" s="2" t="str" cm="1">
        <f t="array" ref="J161">IFERROR(_xlfn.LET(
_xlpm.CSVVal,_xlfn.XLOOKUP($A161,CSV!$A:$A,CSV!I:I,""),
_xlpm.MacVal,_xlfn.XLOOKUP($A161,Output_Mac!$A:$A,Output_Mac!J:J,""),
_xlpm.MyAuditVal,_xlfn.XLOOKUP($A161,My_Audit!$A:$A,My_Audit!I:I,""),
_xlfn.IFS(_xlpm.MyAuditVal&lt;&gt;"",UPPER(_xlpm.MyAuditVal),_xlpm.MacVal&lt;&gt;"",_xlpm.MacVal,_xlpm.CSVVal&lt;&gt;"",_xlpm.CSVVal
)),"")</f>
        <v/>
      </c>
      <c r="K161" s="2" t="str" cm="1">
        <f t="array" ref="K161">IFERROR(_xlfn.LET(
_xlpm.CSVVal,_xlfn.XLOOKUP($A161,CSV!$A:$A,CSV!K:K,""),
_xlpm.MacVal,_xlfn.XLOOKUP($A161,Output_Mac!$A:$A,Output_Mac!K:K,""),
_xlpm.MyAuditVal,_xlfn.XLOOKUP($A161,My_Audit!$A:$A,My_Audit!J:J,""),
_xlfn.IFS(_xlpm.MyAuditVal&lt;&gt;"",UPPER(_xlpm.MyAuditVal),_xlpm.MacVal&lt;&gt;"",_xlpm.MacVal,_xlpm.CSVVal&lt;&gt;"",_xlpm.CSVVal
)),"")</f>
        <v/>
      </c>
      <c r="L161" s="2" t="str" cm="1">
        <f t="array" ref="L161">IFERROR(_xlfn.LET(
_xlpm.CSVVal,_xlfn.XLOOKUP($A161,CSV!$A:$A,CSV!P:P,""),
_xlpm.MacVal,_xlfn.XLOOKUP($A161,Output_Mac!$A:$A,Output_Mac!L:L,""),
_xlpm.MyAuditVal,_xlfn.XLOOKUP($A161,My_Audit!$A:$A,My_Audit!K:K,""),
_xlfn.IFS(_xlpm.MyAuditVal&lt;&gt;"",UPPER(_xlpm.MyAuditVal),_xlpm.MacVal&lt;&gt;"",_xlpm.MacVal,_xlpm.CSVVal&lt;&gt;"",_xlpm.CSVVal
)),"")</f>
        <v/>
      </c>
      <c r="M161" s="2" t="str" cm="1">
        <f t="array" ref="M161">IFERROR(_xlfn.LET(
_xlpm.CSVVal,_xlfn.XLOOKUP($A161,CSV!$A:$A,CSV!Q:Q,""),
_xlpm.MacVal,_xlfn.XLOOKUP($A161,Output_Mac!$A:$A,Output_Mac!M:M,""),
_xlpm.MyAuditVal,_xlfn.XLOOKUP($A161,My_Audit!$A:$A,My_Audit!L:L,""),
_xlfn.IFS(_xlpm.MyAuditVal&lt;&gt;"",UPPER(_xlpm.MyAuditVal),_xlpm.MacVal&lt;&gt;"",_xlpm.MacVal,_xlpm.CSVVal&lt;&gt;"",_xlpm.CSVVal
)),"")</f>
        <v/>
      </c>
      <c r="O161" s="2" t="str">
        <f>_xlfn.LET(
    _xlpm.CSVVal, _xlfn.XLOOKUP($A161, CSV!$A:$A, CSV!AA:AA, ""),
    _xlpm.MacVal, _xlfn.XLOOKUP($A161, Output_Mac!$A:$A, Output_Mac!S:S, ""),
    _xlpm.MyAuditVal, _xlfn.XLOOKUP($A161, My_Audit!$A:$A, My_Audit!P:P, ""),
    _xlfn.TEXTJOIN(", ", TRUE, _xlpm.MyAuditVal, _xlpm.MacVal, _xlpm.CSVVal)
)</f>
        <v/>
      </c>
      <c r="P161" s="2" t="str" cm="1">
        <f t="array" ref="P161">IFERROR(_xlfn.LET(
_xlpm.CSVVal,_xlfn.XLOOKUP($A161,CSV!$A:$A,CSV!AB:AB,""),
_xlpm.MacVal,_xlfn.XLOOKUP($A161,Output_Mac!$A:$A,Output_Mac!T:T,""),
_xlpm.MyAuditVal,_xlfn.XLOOKUP($A161,My_Audit!$A:$A,My_Audit!Q:Q,""),
_xlfn.IFS(_xlpm.MyAuditVal&lt;&gt;"",UPPER(_xlpm.MyAuditVal),_xlpm.MacVal&lt;&gt;"",_xlpm.MacVal,_xlpm.CSVVal&lt;&gt;"",_xlpm.CSVVal
)),"No")</f>
        <v>No</v>
      </c>
      <c r="Q161" s="2" t="str" cm="1">
        <f t="array" ref="Q161">IFERROR(_xlfn.LET(
_xlpm.CSVVal,_xlfn.XLOOKUP($A161,CSV!$A:$A,CSV!AC:AC,""),
_xlpm.MacVal,_xlfn.XLOOKUP($A161,Output_Mac!$A:$A,Output_Mac!U:U,""),
_xlpm.MyAuditVal,_xlfn.XLOOKUP($A161,My_Audit!$A:$A,My_Audit!R:R,""),
_xlfn.IFS(_xlpm.MyAuditVal&lt;&gt;"",UPPER(_xlpm.MyAuditVal),_xlpm.MacVal&lt;&gt;"",_xlpm.MacVal,_xlpm.CSVVal&lt;&gt;"",_xlpm.CSVVal
)),"")</f>
        <v/>
      </c>
      <c r="X161" t="str">
        <f>_xlfn.LET(
    _xlpm.MacVal, _xlfn.XLOOKUP($A161, Output_Mac!$A:$A, Output_Mac!AB:AB, ""),
    _xlpm.MyAuditVal, _xlfn.XLOOKUP($A161, My_Audit!$A:$A, My_Audit!N:N, ""),
    _xlfn.TEXTJOIN(", ", TRUE, _xlpm.MyAuditVal, _xlpm.MacVal)
)</f>
        <v/>
      </c>
    </row>
    <row r="162" spans="1:24">
      <c r="A162" s="2" t="str">
        <f>_xlfn.TEXTJOIN("",TRUE,Input!$B$2,ROW(My_Audit!A161))</f>
        <v>X161</v>
      </c>
      <c r="C162" s="2" t="str" cm="1">
        <f t="array" ref="C162">IFERROR(_xlfn.LET(
_xlpm.CSVVal,_xlfn.XLOOKUP($A162,CSV!$A:$A,CSV!B:B,""),
_xlpm.MacVal,_xlfn.XLOOKUP($A162,Output_Mac!$A:$A,Output_Mac!B:B,""),
_xlpm.MyAuditVal,_xlfn.XLOOKUP($A162,My_Audit!$A:$A,My_Audit!B:B,""),
_xlfn.IFS(_xlpm.MyAuditVal&lt;&gt;"",UPPER(_xlpm.MyAuditVal),_xlpm.MacVal&lt;&gt;"",_xlpm.MacVal,_xlpm.CSVVal&lt;&gt;"",_xlpm.CSVVal
)),"")</f>
        <v/>
      </c>
      <c r="D162" s="2" t="str" cm="1">
        <f t="array" ref="D162">IFERROR(_xlfn.LET(
_xlpm.CSVVal,_xlfn.XLOOKUP($A162,CSV!$A:$A,CSV!D:D,""),
_xlpm.MacVal,_xlfn.XLOOKUP($A162,Output_Mac!$A:$A,Output_Mac!C:C,""),
_xlpm.MyAuditVal,_xlfn.XLOOKUP($A162,My_Audit!$A:$A,My_Audit!C:C,""),
_xlfn.IFS(_xlpm.MyAuditVal&lt;&gt;"",_xlpm.MyAuditVal,_xlpm.MacVal&lt;&gt;"",_xlpm.MacVal,_xlpm.CSVVal&lt;&gt;"",_xlpm.CSVVal
)),"")</f>
        <v/>
      </c>
      <c r="E162" s="2" t="e">
        <f>IF(_xlfn.XLOOKUP(A162,My_Audit!A:A,My_Audit!D:D),_xlfn.XLOOKUP(A162,My_Audit!A:A,My_Audit!D:D),"")</f>
        <v>#N/A</v>
      </c>
      <c r="F162" s="2" t="str" cm="1">
        <f t="array" ref="F162">IFERROR(_xlfn.LET(
_xlpm.CSVVal,_xlfn.XLOOKUP($A162,CSV!$A:$A,CSV!F:F,""),
_xlpm.MacVal,_xlfn.XLOOKUP($A162,Output_Mac!$A:$A,Output_Mac!E:E,""),
_xlpm.MyAuditVal,_xlfn.XLOOKUP($A162,My_Audit!$A:$A,My_Audit!E:E,""),
_xlfn.IFS(_xlpm.MyAuditVal&lt;&gt;"",_xlpm.MyAuditVal,_xlpm.MacVal&lt;&gt;"",_xlpm.MacVal,_xlpm.CSVVal&lt;&gt;"",_xlpm.CSVVal
)),"")</f>
        <v/>
      </c>
      <c r="G162" s="2" t="str" cm="1">
        <f t="array" ref="G162">IFERROR(_xlfn.LET(
_xlpm.CSVVal,_xlfn.XLOOKUP($A162,CSV!$A:$A,CSV!G:G,""),
_xlpm.MacVal,_xlfn.XLOOKUP($A162,Output_Mac!$A:$A,Output_Mac!F:F,""),
_xlpm.MyAuditVal,_xlfn.XLOOKUP($A162,My_Audit!$A:$A,My_Audit!F:F,""),
_xlfn.IFS(_xlpm.MyAuditVal&lt;&gt;"",_xlpm.MyAuditVal,_xlpm.MacVal&lt;&gt;"",_xlpm.MacVal,_xlpm.CSVVal&lt;&gt;"",PROPER(_xlpm.CSVVal)
)),"")</f>
        <v/>
      </c>
      <c r="H162" s="2" t="str" cm="1">
        <f t="array" ref="H162">IFERROR(_xlfn.LET(
_xlpm.CSVVal,_xlfn.XLOOKUP($A162,CSV!$A:$A,CSV!H:H,""),
_xlpm.MacVal,_xlfn.XLOOKUP($A162,Output_Mac!$A:$A,Output_Mac!H:H,""),
_xlpm.MyAuditVal,_xlfn.XLOOKUP($A162,My_Audit!$A:$A,My_Audit!G:G,""),
_xlfn.IFS(_xlpm.MyAuditVal&lt;&gt;"",_xlpm.MyAuditVal,_xlpm.MacVal&lt;&gt;"",_xlpm.MacVal,_xlpm.CSVVal&lt;&gt;"",_xlpm.CSVVal
)),"")</f>
        <v/>
      </c>
      <c r="I162" s="2" t="str">
        <f>_xlfn.XLOOKUP(A162,Output_Mac!A:A,Output_Mac!I:I,"")</f>
        <v/>
      </c>
      <c r="J162" s="2" t="str" cm="1">
        <f t="array" ref="J162">IFERROR(_xlfn.LET(
_xlpm.CSVVal,_xlfn.XLOOKUP($A162,CSV!$A:$A,CSV!I:I,""),
_xlpm.MacVal,_xlfn.XLOOKUP($A162,Output_Mac!$A:$A,Output_Mac!J:J,""),
_xlpm.MyAuditVal,_xlfn.XLOOKUP($A162,My_Audit!$A:$A,My_Audit!I:I,""),
_xlfn.IFS(_xlpm.MyAuditVal&lt;&gt;"",UPPER(_xlpm.MyAuditVal),_xlpm.MacVal&lt;&gt;"",_xlpm.MacVal,_xlpm.CSVVal&lt;&gt;"",_xlpm.CSVVal
)),"")</f>
        <v/>
      </c>
      <c r="K162" s="2" t="str" cm="1">
        <f t="array" ref="K162">IFERROR(_xlfn.LET(
_xlpm.CSVVal,_xlfn.XLOOKUP($A162,CSV!$A:$A,CSV!K:K,""),
_xlpm.MacVal,_xlfn.XLOOKUP($A162,Output_Mac!$A:$A,Output_Mac!K:K,""),
_xlpm.MyAuditVal,_xlfn.XLOOKUP($A162,My_Audit!$A:$A,My_Audit!J:J,""),
_xlfn.IFS(_xlpm.MyAuditVal&lt;&gt;"",UPPER(_xlpm.MyAuditVal),_xlpm.MacVal&lt;&gt;"",_xlpm.MacVal,_xlpm.CSVVal&lt;&gt;"",_xlpm.CSVVal
)),"")</f>
        <v/>
      </c>
      <c r="L162" s="2" t="str" cm="1">
        <f t="array" ref="L162">IFERROR(_xlfn.LET(
_xlpm.CSVVal,_xlfn.XLOOKUP($A162,CSV!$A:$A,CSV!P:P,""),
_xlpm.MacVal,_xlfn.XLOOKUP($A162,Output_Mac!$A:$A,Output_Mac!L:L,""),
_xlpm.MyAuditVal,_xlfn.XLOOKUP($A162,My_Audit!$A:$A,My_Audit!K:K,""),
_xlfn.IFS(_xlpm.MyAuditVal&lt;&gt;"",UPPER(_xlpm.MyAuditVal),_xlpm.MacVal&lt;&gt;"",_xlpm.MacVal,_xlpm.CSVVal&lt;&gt;"",_xlpm.CSVVal
)),"")</f>
        <v/>
      </c>
      <c r="M162" s="2" t="str" cm="1">
        <f t="array" ref="M162">IFERROR(_xlfn.LET(
_xlpm.CSVVal,_xlfn.XLOOKUP($A162,CSV!$A:$A,CSV!Q:Q,""),
_xlpm.MacVal,_xlfn.XLOOKUP($A162,Output_Mac!$A:$A,Output_Mac!M:M,""),
_xlpm.MyAuditVal,_xlfn.XLOOKUP($A162,My_Audit!$A:$A,My_Audit!L:L,""),
_xlfn.IFS(_xlpm.MyAuditVal&lt;&gt;"",UPPER(_xlpm.MyAuditVal),_xlpm.MacVal&lt;&gt;"",_xlpm.MacVal,_xlpm.CSVVal&lt;&gt;"",_xlpm.CSVVal
)),"")</f>
        <v/>
      </c>
      <c r="O162" s="2" t="str">
        <f>_xlfn.LET(
    _xlpm.CSVVal, _xlfn.XLOOKUP($A162, CSV!$A:$A, CSV!AA:AA, ""),
    _xlpm.MacVal, _xlfn.XLOOKUP($A162, Output_Mac!$A:$A, Output_Mac!S:S, ""),
    _xlpm.MyAuditVal, _xlfn.XLOOKUP($A162, My_Audit!$A:$A, My_Audit!P:P, ""),
    _xlfn.TEXTJOIN(", ", TRUE, _xlpm.MyAuditVal, _xlpm.MacVal, _xlpm.CSVVal)
)</f>
        <v/>
      </c>
      <c r="P162" s="2" t="str" cm="1">
        <f t="array" ref="P162">IFERROR(_xlfn.LET(
_xlpm.CSVVal,_xlfn.XLOOKUP($A162,CSV!$A:$A,CSV!AB:AB,""),
_xlpm.MacVal,_xlfn.XLOOKUP($A162,Output_Mac!$A:$A,Output_Mac!T:T,""),
_xlpm.MyAuditVal,_xlfn.XLOOKUP($A162,My_Audit!$A:$A,My_Audit!Q:Q,""),
_xlfn.IFS(_xlpm.MyAuditVal&lt;&gt;"",UPPER(_xlpm.MyAuditVal),_xlpm.MacVal&lt;&gt;"",_xlpm.MacVal,_xlpm.CSVVal&lt;&gt;"",_xlpm.CSVVal
)),"No")</f>
        <v>No</v>
      </c>
      <c r="Q162" s="2" t="str" cm="1">
        <f t="array" ref="Q162">IFERROR(_xlfn.LET(
_xlpm.CSVVal,_xlfn.XLOOKUP($A162,CSV!$A:$A,CSV!AC:AC,""),
_xlpm.MacVal,_xlfn.XLOOKUP($A162,Output_Mac!$A:$A,Output_Mac!U:U,""),
_xlpm.MyAuditVal,_xlfn.XLOOKUP($A162,My_Audit!$A:$A,My_Audit!R:R,""),
_xlfn.IFS(_xlpm.MyAuditVal&lt;&gt;"",UPPER(_xlpm.MyAuditVal),_xlpm.MacVal&lt;&gt;"",_xlpm.MacVal,_xlpm.CSVVal&lt;&gt;"",_xlpm.CSVVal
)),"")</f>
        <v/>
      </c>
      <c r="X162" t="str">
        <f>_xlfn.LET(
    _xlpm.MacVal, _xlfn.XLOOKUP($A162, Output_Mac!$A:$A, Output_Mac!AB:AB, ""),
    _xlpm.MyAuditVal, _xlfn.XLOOKUP($A162, My_Audit!$A:$A, My_Audit!N:N, ""),
    _xlfn.TEXTJOIN(", ", TRUE, _xlpm.MyAuditVal, _xlpm.MacVal)
)</f>
        <v/>
      </c>
    </row>
    <row r="163" spans="1:24">
      <c r="A163" s="2" t="str">
        <f>_xlfn.TEXTJOIN("",TRUE,Input!$B$2,ROW(My_Audit!A162))</f>
        <v>X162</v>
      </c>
      <c r="C163" s="2" t="str" cm="1">
        <f t="array" ref="C163">IFERROR(_xlfn.LET(
_xlpm.CSVVal,_xlfn.XLOOKUP($A163,CSV!$A:$A,CSV!B:B,""),
_xlpm.MacVal,_xlfn.XLOOKUP($A163,Output_Mac!$A:$A,Output_Mac!B:B,""),
_xlpm.MyAuditVal,_xlfn.XLOOKUP($A163,My_Audit!$A:$A,My_Audit!B:B,""),
_xlfn.IFS(_xlpm.MyAuditVal&lt;&gt;"",UPPER(_xlpm.MyAuditVal),_xlpm.MacVal&lt;&gt;"",_xlpm.MacVal,_xlpm.CSVVal&lt;&gt;"",_xlpm.CSVVal
)),"")</f>
        <v/>
      </c>
      <c r="D163" s="2" t="str" cm="1">
        <f t="array" ref="D163">IFERROR(_xlfn.LET(
_xlpm.CSVVal,_xlfn.XLOOKUP($A163,CSV!$A:$A,CSV!D:D,""),
_xlpm.MacVal,_xlfn.XLOOKUP($A163,Output_Mac!$A:$A,Output_Mac!C:C,""),
_xlpm.MyAuditVal,_xlfn.XLOOKUP($A163,My_Audit!$A:$A,My_Audit!C:C,""),
_xlfn.IFS(_xlpm.MyAuditVal&lt;&gt;"",_xlpm.MyAuditVal,_xlpm.MacVal&lt;&gt;"",_xlpm.MacVal,_xlpm.CSVVal&lt;&gt;"",_xlpm.CSVVal
)),"")</f>
        <v/>
      </c>
      <c r="E163" s="2" t="e">
        <f>IF(_xlfn.XLOOKUP(A163,My_Audit!A:A,My_Audit!D:D),_xlfn.XLOOKUP(A163,My_Audit!A:A,My_Audit!D:D),"")</f>
        <v>#N/A</v>
      </c>
      <c r="F163" s="2" t="str" cm="1">
        <f t="array" ref="F163">IFERROR(_xlfn.LET(
_xlpm.CSVVal,_xlfn.XLOOKUP($A163,CSV!$A:$A,CSV!F:F,""),
_xlpm.MacVal,_xlfn.XLOOKUP($A163,Output_Mac!$A:$A,Output_Mac!E:E,""),
_xlpm.MyAuditVal,_xlfn.XLOOKUP($A163,My_Audit!$A:$A,My_Audit!E:E,""),
_xlfn.IFS(_xlpm.MyAuditVal&lt;&gt;"",_xlpm.MyAuditVal,_xlpm.MacVal&lt;&gt;"",_xlpm.MacVal,_xlpm.CSVVal&lt;&gt;"",_xlpm.CSVVal
)),"")</f>
        <v/>
      </c>
      <c r="G163" s="2" t="str" cm="1">
        <f t="array" ref="G163">IFERROR(_xlfn.LET(
_xlpm.CSVVal,_xlfn.XLOOKUP($A163,CSV!$A:$A,CSV!G:G,""),
_xlpm.MacVal,_xlfn.XLOOKUP($A163,Output_Mac!$A:$A,Output_Mac!F:F,""),
_xlpm.MyAuditVal,_xlfn.XLOOKUP($A163,My_Audit!$A:$A,My_Audit!F:F,""),
_xlfn.IFS(_xlpm.MyAuditVal&lt;&gt;"",_xlpm.MyAuditVal,_xlpm.MacVal&lt;&gt;"",_xlpm.MacVal,_xlpm.CSVVal&lt;&gt;"",PROPER(_xlpm.CSVVal)
)),"")</f>
        <v/>
      </c>
      <c r="H163" s="2" t="str" cm="1">
        <f t="array" ref="H163">IFERROR(_xlfn.LET(
_xlpm.CSVVal,_xlfn.XLOOKUP($A163,CSV!$A:$A,CSV!H:H,""),
_xlpm.MacVal,_xlfn.XLOOKUP($A163,Output_Mac!$A:$A,Output_Mac!H:H,""),
_xlpm.MyAuditVal,_xlfn.XLOOKUP($A163,My_Audit!$A:$A,My_Audit!G:G,""),
_xlfn.IFS(_xlpm.MyAuditVal&lt;&gt;"",_xlpm.MyAuditVal,_xlpm.MacVal&lt;&gt;"",_xlpm.MacVal,_xlpm.CSVVal&lt;&gt;"",_xlpm.CSVVal
)),"")</f>
        <v/>
      </c>
      <c r="I163" s="2" t="str">
        <f>_xlfn.XLOOKUP(A163,Output_Mac!A:A,Output_Mac!I:I,"")</f>
        <v/>
      </c>
      <c r="J163" s="2" t="str" cm="1">
        <f t="array" ref="J163">IFERROR(_xlfn.LET(
_xlpm.CSVVal,_xlfn.XLOOKUP($A163,CSV!$A:$A,CSV!I:I,""),
_xlpm.MacVal,_xlfn.XLOOKUP($A163,Output_Mac!$A:$A,Output_Mac!J:J,""),
_xlpm.MyAuditVal,_xlfn.XLOOKUP($A163,My_Audit!$A:$A,My_Audit!I:I,""),
_xlfn.IFS(_xlpm.MyAuditVal&lt;&gt;"",UPPER(_xlpm.MyAuditVal),_xlpm.MacVal&lt;&gt;"",_xlpm.MacVal,_xlpm.CSVVal&lt;&gt;"",_xlpm.CSVVal
)),"")</f>
        <v/>
      </c>
      <c r="K163" s="2" t="str" cm="1">
        <f t="array" ref="K163">IFERROR(_xlfn.LET(
_xlpm.CSVVal,_xlfn.XLOOKUP($A163,CSV!$A:$A,CSV!K:K,""),
_xlpm.MacVal,_xlfn.XLOOKUP($A163,Output_Mac!$A:$A,Output_Mac!K:K,""),
_xlpm.MyAuditVal,_xlfn.XLOOKUP($A163,My_Audit!$A:$A,My_Audit!J:J,""),
_xlfn.IFS(_xlpm.MyAuditVal&lt;&gt;"",UPPER(_xlpm.MyAuditVal),_xlpm.MacVal&lt;&gt;"",_xlpm.MacVal,_xlpm.CSVVal&lt;&gt;"",_xlpm.CSVVal
)),"")</f>
        <v/>
      </c>
      <c r="L163" s="2" t="str" cm="1">
        <f t="array" ref="L163">IFERROR(_xlfn.LET(
_xlpm.CSVVal,_xlfn.XLOOKUP($A163,CSV!$A:$A,CSV!P:P,""),
_xlpm.MacVal,_xlfn.XLOOKUP($A163,Output_Mac!$A:$A,Output_Mac!L:L,""),
_xlpm.MyAuditVal,_xlfn.XLOOKUP($A163,My_Audit!$A:$A,My_Audit!K:K,""),
_xlfn.IFS(_xlpm.MyAuditVal&lt;&gt;"",UPPER(_xlpm.MyAuditVal),_xlpm.MacVal&lt;&gt;"",_xlpm.MacVal,_xlpm.CSVVal&lt;&gt;"",_xlpm.CSVVal
)),"")</f>
        <v/>
      </c>
      <c r="M163" s="2" t="str" cm="1">
        <f t="array" ref="M163">IFERROR(_xlfn.LET(
_xlpm.CSVVal,_xlfn.XLOOKUP($A163,CSV!$A:$A,CSV!Q:Q,""),
_xlpm.MacVal,_xlfn.XLOOKUP($A163,Output_Mac!$A:$A,Output_Mac!M:M,""),
_xlpm.MyAuditVal,_xlfn.XLOOKUP($A163,My_Audit!$A:$A,My_Audit!L:L,""),
_xlfn.IFS(_xlpm.MyAuditVal&lt;&gt;"",UPPER(_xlpm.MyAuditVal),_xlpm.MacVal&lt;&gt;"",_xlpm.MacVal,_xlpm.CSVVal&lt;&gt;"",_xlpm.CSVVal
)),"")</f>
        <v/>
      </c>
      <c r="O163" s="2" t="str">
        <f>_xlfn.LET(
    _xlpm.CSVVal, _xlfn.XLOOKUP($A163, CSV!$A:$A, CSV!AA:AA, ""),
    _xlpm.MacVal, _xlfn.XLOOKUP($A163, Output_Mac!$A:$A, Output_Mac!S:S, ""),
    _xlpm.MyAuditVal, _xlfn.XLOOKUP($A163, My_Audit!$A:$A, My_Audit!P:P, ""),
    _xlfn.TEXTJOIN(", ", TRUE, _xlpm.MyAuditVal, _xlpm.MacVal, _xlpm.CSVVal)
)</f>
        <v/>
      </c>
      <c r="P163" s="2" t="str" cm="1">
        <f t="array" ref="P163">IFERROR(_xlfn.LET(
_xlpm.CSVVal,_xlfn.XLOOKUP($A163,CSV!$A:$A,CSV!AB:AB,""),
_xlpm.MacVal,_xlfn.XLOOKUP($A163,Output_Mac!$A:$A,Output_Mac!T:T,""),
_xlpm.MyAuditVal,_xlfn.XLOOKUP($A163,My_Audit!$A:$A,My_Audit!Q:Q,""),
_xlfn.IFS(_xlpm.MyAuditVal&lt;&gt;"",UPPER(_xlpm.MyAuditVal),_xlpm.MacVal&lt;&gt;"",_xlpm.MacVal,_xlpm.CSVVal&lt;&gt;"",_xlpm.CSVVal
)),"No")</f>
        <v>No</v>
      </c>
      <c r="Q163" s="2" t="str" cm="1">
        <f t="array" ref="Q163">IFERROR(_xlfn.LET(
_xlpm.CSVVal,_xlfn.XLOOKUP($A163,CSV!$A:$A,CSV!AC:AC,""),
_xlpm.MacVal,_xlfn.XLOOKUP($A163,Output_Mac!$A:$A,Output_Mac!U:U,""),
_xlpm.MyAuditVal,_xlfn.XLOOKUP($A163,My_Audit!$A:$A,My_Audit!R:R,""),
_xlfn.IFS(_xlpm.MyAuditVal&lt;&gt;"",UPPER(_xlpm.MyAuditVal),_xlpm.MacVal&lt;&gt;"",_xlpm.MacVal,_xlpm.CSVVal&lt;&gt;"",_xlpm.CSVVal
)),"")</f>
        <v/>
      </c>
      <c r="X163" t="str">
        <f>_xlfn.LET(
    _xlpm.MacVal, _xlfn.XLOOKUP($A163, Output_Mac!$A:$A, Output_Mac!AB:AB, ""),
    _xlpm.MyAuditVal, _xlfn.XLOOKUP($A163, My_Audit!$A:$A, My_Audit!N:N, ""),
    _xlfn.TEXTJOIN(", ", TRUE, _xlpm.MyAuditVal, _xlpm.MacVal)
)</f>
        <v/>
      </c>
    </row>
    <row r="164" spans="1:24">
      <c r="A164" s="2" t="str">
        <f>_xlfn.TEXTJOIN("",TRUE,Input!$B$2,ROW(My_Audit!A163))</f>
        <v>X163</v>
      </c>
      <c r="C164" s="2" t="str" cm="1">
        <f t="array" ref="C164">IFERROR(_xlfn.LET(
_xlpm.CSVVal,_xlfn.XLOOKUP($A164,CSV!$A:$A,CSV!B:B,""),
_xlpm.MacVal,_xlfn.XLOOKUP($A164,Output_Mac!$A:$A,Output_Mac!B:B,""),
_xlpm.MyAuditVal,_xlfn.XLOOKUP($A164,My_Audit!$A:$A,My_Audit!B:B,""),
_xlfn.IFS(_xlpm.MyAuditVal&lt;&gt;"",UPPER(_xlpm.MyAuditVal),_xlpm.MacVal&lt;&gt;"",_xlpm.MacVal,_xlpm.CSVVal&lt;&gt;"",_xlpm.CSVVal
)),"")</f>
        <v/>
      </c>
      <c r="D164" s="2" t="str" cm="1">
        <f t="array" ref="D164">IFERROR(_xlfn.LET(
_xlpm.CSVVal,_xlfn.XLOOKUP($A164,CSV!$A:$A,CSV!D:D,""),
_xlpm.MacVal,_xlfn.XLOOKUP($A164,Output_Mac!$A:$A,Output_Mac!C:C,""),
_xlpm.MyAuditVal,_xlfn.XLOOKUP($A164,My_Audit!$A:$A,My_Audit!C:C,""),
_xlfn.IFS(_xlpm.MyAuditVal&lt;&gt;"",_xlpm.MyAuditVal,_xlpm.MacVal&lt;&gt;"",_xlpm.MacVal,_xlpm.CSVVal&lt;&gt;"",_xlpm.CSVVal
)),"")</f>
        <v/>
      </c>
      <c r="E164" s="2" t="e">
        <f>IF(_xlfn.XLOOKUP(A164,My_Audit!A:A,My_Audit!D:D),_xlfn.XLOOKUP(A164,My_Audit!A:A,My_Audit!D:D),"")</f>
        <v>#N/A</v>
      </c>
      <c r="F164" s="2" t="str" cm="1">
        <f t="array" ref="F164">IFERROR(_xlfn.LET(
_xlpm.CSVVal,_xlfn.XLOOKUP($A164,CSV!$A:$A,CSV!F:F,""),
_xlpm.MacVal,_xlfn.XLOOKUP($A164,Output_Mac!$A:$A,Output_Mac!E:E,""),
_xlpm.MyAuditVal,_xlfn.XLOOKUP($A164,My_Audit!$A:$A,My_Audit!E:E,""),
_xlfn.IFS(_xlpm.MyAuditVal&lt;&gt;"",_xlpm.MyAuditVal,_xlpm.MacVal&lt;&gt;"",_xlpm.MacVal,_xlpm.CSVVal&lt;&gt;"",_xlpm.CSVVal
)),"")</f>
        <v/>
      </c>
      <c r="G164" s="2" t="str" cm="1">
        <f t="array" ref="G164">IFERROR(_xlfn.LET(
_xlpm.CSVVal,_xlfn.XLOOKUP($A164,CSV!$A:$A,CSV!G:G,""),
_xlpm.MacVal,_xlfn.XLOOKUP($A164,Output_Mac!$A:$A,Output_Mac!F:F,""),
_xlpm.MyAuditVal,_xlfn.XLOOKUP($A164,My_Audit!$A:$A,My_Audit!F:F,""),
_xlfn.IFS(_xlpm.MyAuditVal&lt;&gt;"",_xlpm.MyAuditVal,_xlpm.MacVal&lt;&gt;"",_xlpm.MacVal,_xlpm.CSVVal&lt;&gt;"",PROPER(_xlpm.CSVVal)
)),"")</f>
        <v/>
      </c>
      <c r="H164" s="2" t="str" cm="1">
        <f t="array" ref="H164">IFERROR(_xlfn.LET(
_xlpm.CSVVal,_xlfn.XLOOKUP($A164,CSV!$A:$A,CSV!H:H,""),
_xlpm.MacVal,_xlfn.XLOOKUP($A164,Output_Mac!$A:$A,Output_Mac!H:H,""),
_xlpm.MyAuditVal,_xlfn.XLOOKUP($A164,My_Audit!$A:$A,My_Audit!G:G,""),
_xlfn.IFS(_xlpm.MyAuditVal&lt;&gt;"",_xlpm.MyAuditVal,_xlpm.MacVal&lt;&gt;"",_xlpm.MacVal,_xlpm.CSVVal&lt;&gt;"",_xlpm.CSVVal
)),"")</f>
        <v/>
      </c>
      <c r="I164" s="2" t="str">
        <f>_xlfn.XLOOKUP(A164,Output_Mac!A:A,Output_Mac!I:I,"")</f>
        <v/>
      </c>
      <c r="J164" s="2" t="str" cm="1">
        <f t="array" ref="J164">IFERROR(_xlfn.LET(
_xlpm.CSVVal,_xlfn.XLOOKUP($A164,CSV!$A:$A,CSV!I:I,""),
_xlpm.MacVal,_xlfn.XLOOKUP($A164,Output_Mac!$A:$A,Output_Mac!J:J,""),
_xlpm.MyAuditVal,_xlfn.XLOOKUP($A164,My_Audit!$A:$A,My_Audit!I:I,""),
_xlfn.IFS(_xlpm.MyAuditVal&lt;&gt;"",UPPER(_xlpm.MyAuditVal),_xlpm.MacVal&lt;&gt;"",_xlpm.MacVal,_xlpm.CSVVal&lt;&gt;"",_xlpm.CSVVal
)),"")</f>
        <v/>
      </c>
      <c r="K164" s="2" t="str" cm="1">
        <f t="array" ref="K164">IFERROR(_xlfn.LET(
_xlpm.CSVVal,_xlfn.XLOOKUP($A164,CSV!$A:$A,CSV!K:K,""),
_xlpm.MacVal,_xlfn.XLOOKUP($A164,Output_Mac!$A:$A,Output_Mac!K:K,""),
_xlpm.MyAuditVal,_xlfn.XLOOKUP($A164,My_Audit!$A:$A,My_Audit!J:J,""),
_xlfn.IFS(_xlpm.MyAuditVal&lt;&gt;"",UPPER(_xlpm.MyAuditVal),_xlpm.MacVal&lt;&gt;"",_xlpm.MacVal,_xlpm.CSVVal&lt;&gt;"",_xlpm.CSVVal
)),"")</f>
        <v/>
      </c>
      <c r="L164" s="2" t="str" cm="1">
        <f t="array" ref="L164">IFERROR(_xlfn.LET(
_xlpm.CSVVal,_xlfn.XLOOKUP($A164,CSV!$A:$A,CSV!P:P,""),
_xlpm.MacVal,_xlfn.XLOOKUP($A164,Output_Mac!$A:$A,Output_Mac!L:L,""),
_xlpm.MyAuditVal,_xlfn.XLOOKUP($A164,My_Audit!$A:$A,My_Audit!K:K,""),
_xlfn.IFS(_xlpm.MyAuditVal&lt;&gt;"",UPPER(_xlpm.MyAuditVal),_xlpm.MacVal&lt;&gt;"",_xlpm.MacVal,_xlpm.CSVVal&lt;&gt;"",_xlpm.CSVVal
)),"")</f>
        <v/>
      </c>
      <c r="M164" s="2" t="str" cm="1">
        <f t="array" ref="M164">IFERROR(_xlfn.LET(
_xlpm.CSVVal,_xlfn.XLOOKUP($A164,CSV!$A:$A,CSV!Q:Q,""),
_xlpm.MacVal,_xlfn.XLOOKUP($A164,Output_Mac!$A:$A,Output_Mac!M:M,""),
_xlpm.MyAuditVal,_xlfn.XLOOKUP($A164,My_Audit!$A:$A,My_Audit!L:L,""),
_xlfn.IFS(_xlpm.MyAuditVal&lt;&gt;"",UPPER(_xlpm.MyAuditVal),_xlpm.MacVal&lt;&gt;"",_xlpm.MacVal,_xlpm.CSVVal&lt;&gt;"",_xlpm.CSVVal
)),"")</f>
        <v/>
      </c>
      <c r="O164" s="2" t="str">
        <f>_xlfn.LET(
    _xlpm.CSVVal, _xlfn.XLOOKUP($A164, CSV!$A:$A, CSV!AA:AA, ""),
    _xlpm.MacVal, _xlfn.XLOOKUP($A164, Output_Mac!$A:$A, Output_Mac!S:S, ""),
    _xlpm.MyAuditVal, _xlfn.XLOOKUP($A164, My_Audit!$A:$A, My_Audit!P:P, ""),
    _xlfn.TEXTJOIN(", ", TRUE, _xlpm.MyAuditVal, _xlpm.MacVal, _xlpm.CSVVal)
)</f>
        <v/>
      </c>
      <c r="P164" s="2" t="str" cm="1">
        <f t="array" ref="P164">IFERROR(_xlfn.LET(
_xlpm.CSVVal,_xlfn.XLOOKUP($A164,CSV!$A:$A,CSV!AB:AB,""),
_xlpm.MacVal,_xlfn.XLOOKUP($A164,Output_Mac!$A:$A,Output_Mac!T:T,""),
_xlpm.MyAuditVal,_xlfn.XLOOKUP($A164,My_Audit!$A:$A,My_Audit!Q:Q,""),
_xlfn.IFS(_xlpm.MyAuditVal&lt;&gt;"",UPPER(_xlpm.MyAuditVal),_xlpm.MacVal&lt;&gt;"",_xlpm.MacVal,_xlpm.CSVVal&lt;&gt;"",_xlpm.CSVVal
)),"No")</f>
        <v>No</v>
      </c>
      <c r="Q164" s="2" t="str" cm="1">
        <f t="array" ref="Q164">IFERROR(_xlfn.LET(
_xlpm.CSVVal,_xlfn.XLOOKUP($A164,CSV!$A:$A,CSV!AC:AC,""),
_xlpm.MacVal,_xlfn.XLOOKUP($A164,Output_Mac!$A:$A,Output_Mac!U:U,""),
_xlpm.MyAuditVal,_xlfn.XLOOKUP($A164,My_Audit!$A:$A,My_Audit!R:R,""),
_xlfn.IFS(_xlpm.MyAuditVal&lt;&gt;"",UPPER(_xlpm.MyAuditVal),_xlpm.MacVal&lt;&gt;"",_xlpm.MacVal,_xlpm.CSVVal&lt;&gt;"",_xlpm.CSVVal
)),"")</f>
        <v/>
      </c>
      <c r="X164" t="str">
        <f>_xlfn.LET(
    _xlpm.MacVal, _xlfn.XLOOKUP($A164, Output_Mac!$A:$A, Output_Mac!AB:AB, ""),
    _xlpm.MyAuditVal, _xlfn.XLOOKUP($A164, My_Audit!$A:$A, My_Audit!N:N, ""),
    _xlfn.TEXTJOIN(", ", TRUE, _xlpm.MyAuditVal, _xlpm.MacVal)
)</f>
        <v/>
      </c>
    </row>
    <row r="165" spans="1:24">
      <c r="A165" s="2" t="str">
        <f>_xlfn.TEXTJOIN("",TRUE,Input!$B$2,ROW(My_Audit!A164))</f>
        <v>X164</v>
      </c>
      <c r="C165" s="2" t="str" cm="1">
        <f t="array" ref="C165">IFERROR(_xlfn.LET(
_xlpm.CSVVal,_xlfn.XLOOKUP($A165,CSV!$A:$A,CSV!B:B,""),
_xlpm.MacVal,_xlfn.XLOOKUP($A165,Output_Mac!$A:$A,Output_Mac!B:B,""),
_xlpm.MyAuditVal,_xlfn.XLOOKUP($A165,My_Audit!$A:$A,My_Audit!B:B,""),
_xlfn.IFS(_xlpm.MyAuditVal&lt;&gt;"",UPPER(_xlpm.MyAuditVal),_xlpm.MacVal&lt;&gt;"",_xlpm.MacVal,_xlpm.CSVVal&lt;&gt;"",_xlpm.CSVVal
)),"")</f>
        <v/>
      </c>
      <c r="D165" s="2" t="str" cm="1">
        <f t="array" ref="D165">IFERROR(_xlfn.LET(
_xlpm.CSVVal,_xlfn.XLOOKUP($A165,CSV!$A:$A,CSV!D:D,""),
_xlpm.MacVal,_xlfn.XLOOKUP($A165,Output_Mac!$A:$A,Output_Mac!C:C,""),
_xlpm.MyAuditVal,_xlfn.XLOOKUP($A165,My_Audit!$A:$A,My_Audit!C:C,""),
_xlfn.IFS(_xlpm.MyAuditVal&lt;&gt;"",_xlpm.MyAuditVal,_xlpm.MacVal&lt;&gt;"",_xlpm.MacVal,_xlpm.CSVVal&lt;&gt;"",_xlpm.CSVVal
)),"")</f>
        <v/>
      </c>
      <c r="E165" s="2" t="e">
        <f>IF(_xlfn.XLOOKUP(A165,My_Audit!A:A,My_Audit!D:D),_xlfn.XLOOKUP(A165,My_Audit!A:A,My_Audit!D:D),"")</f>
        <v>#N/A</v>
      </c>
      <c r="F165" s="2" t="str" cm="1">
        <f t="array" ref="F165">IFERROR(_xlfn.LET(
_xlpm.CSVVal,_xlfn.XLOOKUP($A165,CSV!$A:$A,CSV!F:F,""),
_xlpm.MacVal,_xlfn.XLOOKUP($A165,Output_Mac!$A:$A,Output_Mac!E:E,""),
_xlpm.MyAuditVal,_xlfn.XLOOKUP($A165,My_Audit!$A:$A,My_Audit!E:E,""),
_xlfn.IFS(_xlpm.MyAuditVal&lt;&gt;"",_xlpm.MyAuditVal,_xlpm.MacVal&lt;&gt;"",_xlpm.MacVal,_xlpm.CSVVal&lt;&gt;"",_xlpm.CSVVal
)),"")</f>
        <v/>
      </c>
      <c r="G165" s="2" t="str" cm="1">
        <f t="array" ref="G165">IFERROR(_xlfn.LET(
_xlpm.CSVVal,_xlfn.XLOOKUP($A165,CSV!$A:$A,CSV!G:G,""),
_xlpm.MacVal,_xlfn.XLOOKUP($A165,Output_Mac!$A:$A,Output_Mac!F:F,""),
_xlpm.MyAuditVal,_xlfn.XLOOKUP($A165,My_Audit!$A:$A,My_Audit!F:F,""),
_xlfn.IFS(_xlpm.MyAuditVal&lt;&gt;"",_xlpm.MyAuditVal,_xlpm.MacVal&lt;&gt;"",_xlpm.MacVal,_xlpm.CSVVal&lt;&gt;"",PROPER(_xlpm.CSVVal)
)),"")</f>
        <v/>
      </c>
      <c r="H165" s="2" t="str" cm="1">
        <f t="array" ref="H165">IFERROR(_xlfn.LET(
_xlpm.CSVVal,_xlfn.XLOOKUP($A165,CSV!$A:$A,CSV!G:G,""),
_xlpm.MacVal,_xlfn.XLOOKUP($A165,Output_Mac!$A:$A,Output_Mac!H:H,""),
_xlpm.MyAuditVal,_xlfn.XLOOKUP($A165,My_Audit!$A:$A,My_Audit!G:G,""),
_xlfn.IFS(_xlpm.MyAuditVal&lt;&gt;"",_xlpm.MyAuditVal,_xlpm.MacVal&lt;&gt;"",_xlpm.MacVal,_xlpm.CSVVal&lt;&gt;"",_xlpm.CSVVal
)),"")</f>
        <v/>
      </c>
      <c r="I165" s="2" t="str">
        <f>_xlfn.XLOOKUP(A165,Output_Mac!A:A,Output_Mac!I:I,"")</f>
        <v/>
      </c>
      <c r="J165" s="2" t="str" cm="1">
        <f t="array" ref="J165">IFERROR(_xlfn.LET(
_xlpm.CSVVal,_xlfn.XLOOKUP($A165,CSV!$A:$A,CSV!I:I,""),
_xlpm.MacVal,_xlfn.XLOOKUP($A165,Output_Mac!$A:$A,Output_Mac!J:J,""),
_xlpm.MyAuditVal,_xlfn.XLOOKUP($A165,My_Audit!$A:$A,My_Audit!I:I,""),
_xlfn.IFS(_xlpm.MyAuditVal&lt;&gt;"",UPPER(_xlpm.MyAuditVal),_xlpm.MacVal&lt;&gt;"",_xlpm.MacVal,_xlpm.CSVVal&lt;&gt;"",_xlpm.CSVVal
)),"")</f>
        <v/>
      </c>
      <c r="K165" s="2" t="str" cm="1">
        <f t="array" ref="K165">IFERROR(_xlfn.LET(
_xlpm.CSVVal,_xlfn.XLOOKUP($A165,CSV!$A:$A,CSV!K:K,""),
_xlpm.MacVal,_xlfn.XLOOKUP($A165,Output_Mac!$A:$A,Output_Mac!K:K,""),
_xlpm.MyAuditVal,_xlfn.XLOOKUP($A165,My_Audit!$A:$A,My_Audit!J:J,""),
_xlfn.IFS(_xlpm.MyAuditVal&lt;&gt;"",UPPER(_xlpm.MyAuditVal),_xlpm.MacVal&lt;&gt;"",_xlpm.MacVal,_xlpm.CSVVal&lt;&gt;"",_xlpm.CSVVal
)),"")</f>
        <v/>
      </c>
      <c r="L165" s="2" t="str" cm="1">
        <f t="array" ref="L165">IFERROR(_xlfn.LET(
_xlpm.CSVVal,_xlfn.XLOOKUP($A165,CSV!$A:$A,CSV!P:P,""),
_xlpm.MacVal,_xlfn.XLOOKUP($A165,Output_Mac!$A:$A,Output_Mac!L:L,""),
_xlpm.MyAuditVal,_xlfn.XLOOKUP($A165,My_Audit!$A:$A,My_Audit!K:K,""),
_xlfn.IFS(_xlpm.MyAuditVal&lt;&gt;"",UPPER(_xlpm.MyAuditVal),_xlpm.MacVal&lt;&gt;"",_xlpm.MacVal,_xlpm.CSVVal&lt;&gt;"",_xlpm.CSVVal
)),"")</f>
        <v/>
      </c>
      <c r="M165" s="2" t="str" cm="1">
        <f t="array" ref="M165">IFERROR(_xlfn.LET(
_xlpm.CSVVal,_xlfn.XLOOKUP($A165,CSV!$A:$A,CSV!Q:Q,""),
_xlpm.MacVal,_xlfn.XLOOKUP($A165,Output_Mac!$A:$A,Output_Mac!M:M,""),
_xlpm.MyAuditVal,_xlfn.XLOOKUP($A165,My_Audit!$A:$A,My_Audit!L:L,""),
_xlfn.IFS(_xlpm.MyAuditVal&lt;&gt;"",UPPER(_xlpm.MyAuditVal),_xlpm.MacVal&lt;&gt;"",_xlpm.MacVal,_xlpm.CSVVal&lt;&gt;"",_xlpm.CSVVal
)),"")</f>
        <v/>
      </c>
      <c r="N165" s="2" t="str" cm="1">
        <f t="array" ref="N165">IFERROR(_xlfn.LET(
_xlpm.CSVVal,_xlfn.XLOOKUP($A165,CSV!$A:$A,CSV!M:M,""),
_xlpm.MacVal,_xlfn.XLOOKUP($A165,Output_Mac!$A:$A,Output_Mac!N:N,""),
_xlpm.MyAuditVal,_xlfn.XLOOKUP($A165,My_Audit!$A:$A,My_Audit!M:M,""),
_xlfn.IFS(_xlpm.MyAuditVal&lt;&gt;"",UPPER(_xlpm.MyAuditVal),_xlpm.MacVal&lt;&gt;"",_xlpm.MacVal,_xlpm.CSVVal&lt;&gt;"",_xlpm.CSVVal
)),"")</f>
        <v/>
      </c>
      <c r="O165" s="2" t="str">
        <f>_xlfn.LET(
    _xlpm.CSVVal, _xlfn.XLOOKUP($A165, CSV!$A:$A, CSV!AA:AA, ""),
    _xlpm.MacVal, _xlfn.XLOOKUP($A165, Output_Mac!$A:$A, Output_Mac!S:S, ""),
    _xlpm.MyAuditVal, _xlfn.XLOOKUP($A165, My_Audit!$A:$A, My_Audit!O:O, ""),
    _xlfn.TEXTJOIN(", ", TRUE, _xlpm.MyAuditVal, _xlpm.MacVal, _xlpm.CSVVal)
)</f>
        <v/>
      </c>
      <c r="P165" s="2" t="str" cm="1">
        <f t="array" ref="P165">IFERROR(_xlfn.LET(
_xlpm.CSVVal,_xlfn.XLOOKUP($A165,CSV!$A:$A,CSV!AB:AB,""),
_xlpm.MacVal,_xlfn.XLOOKUP($A165,Output_Mac!$A:$A,Output_Mac!T:T,""),
_xlpm.MyAuditVal,_xlfn.XLOOKUP($A165,My_Audit!$A:$A,My_Audit!Q:Q,""),
_xlfn.IFS(_xlpm.MyAuditVal&lt;&gt;"",UPPER(_xlpm.MyAuditVal),_xlpm.MacVal&lt;&gt;"",_xlpm.MacVal,_xlpm.CSVVal&lt;&gt;"",_xlpm.CSVVal
)),"No")</f>
        <v>No</v>
      </c>
      <c r="Q165" s="2" t="str" cm="1">
        <f t="array" ref="Q165">IFERROR(_xlfn.LET(
_xlpm.CSVVal,_xlfn.XLOOKUP($A165,CSV!$A:$A,CSV!AC:AC,""),
_xlpm.MacVal,_xlfn.XLOOKUP($A165,Output_Mac!$A:$A,Output_Mac!U:U,""),
_xlpm.MyAuditVal,_xlfn.XLOOKUP($A165,My_Audit!$A:$A,My_Audit!R:R,""),
_xlfn.IFS(_xlpm.MyAuditVal&lt;&gt;"",UPPER(_xlpm.MyAuditVal),_xlpm.MacVal&lt;&gt;"",_xlpm.MacVal,_xlpm.CSVVal&lt;&gt;"",_xlpm.CSVVal
)),"")</f>
        <v/>
      </c>
      <c r="X165" t="str">
        <f>_xlfn.LET(
    _xlpm.MacVal, _xlfn.XLOOKUP($A165, Output_Mac!$A:$A, Output_Mac!AB:AB, ""),
    _xlpm.MyAuditVal, _xlfn.XLOOKUP($A165, My_Audit!$A:$A, My_Audit!N:N, ""),
    _xlfn.TEXTJOIN(", ", TRUE, _xlpm.MyAuditVal, _xlpm.MacVal)
)</f>
        <v/>
      </c>
    </row>
    <row r="166" spans="1:24">
      <c r="A166" s="2" t="str">
        <f>_xlfn.TEXTJOIN("",TRUE,Input!$B$2,ROW(My_Audit!A165))</f>
        <v>X165</v>
      </c>
      <c r="C166" s="2" t="str" cm="1">
        <f t="array" ref="C166">IFERROR(_xlfn.LET(
_xlpm.CSVVal,_xlfn.XLOOKUP($A166,CSV!$A:$A,CSV!B:B,""),
_xlpm.MacVal,_xlfn.XLOOKUP($A166,Output_Mac!$A:$A,Output_Mac!B:B,""),
_xlpm.MyAuditVal,_xlfn.XLOOKUP($A166,My_Audit!$A:$A,My_Audit!B:B,""),
_xlfn.IFS(_xlpm.MyAuditVal&lt;&gt;"",UPPER(_xlpm.MyAuditVal),_xlpm.MacVal&lt;&gt;"",_xlpm.MacVal,_xlpm.CSVVal&lt;&gt;"",_xlpm.CSVVal
)),"")</f>
        <v/>
      </c>
      <c r="D166" s="2" t="str" cm="1">
        <f t="array" ref="D166">IFERROR(_xlfn.LET(
_xlpm.CSVVal,_xlfn.XLOOKUP($A166,CSV!$A:$A,CSV!D:D,""),
_xlpm.MacVal,_xlfn.XLOOKUP($A166,Output_Mac!$A:$A,Output_Mac!C:C,""),
_xlpm.MyAuditVal,_xlfn.XLOOKUP($A166,My_Audit!$A:$A,My_Audit!C:C,""),
_xlfn.IFS(_xlpm.MyAuditVal&lt;&gt;"",_xlpm.MyAuditVal,_xlpm.MacVal&lt;&gt;"",_xlpm.MacVal,_xlpm.CSVVal&lt;&gt;"",_xlpm.CSVVal
)),"")</f>
        <v/>
      </c>
      <c r="E166" s="2" t="e">
        <f>IF(_xlfn.XLOOKUP(A166,My_Audit!A:A,My_Audit!D:D),_xlfn.XLOOKUP(A166,My_Audit!A:A,My_Audit!D:D),"")</f>
        <v>#N/A</v>
      </c>
      <c r="F166" s="2" t="str" cm="1">
        <f t="array" ref="F166">IFERROR(_xlfn.LET(
_xlpm.CSVVal,_xlfn.XLOOKUP($A166,CSV!$A:$A,CSV!F:F,""),
_xlpm.MacVal,_xlfn.XLOOKUP($A166,Output_Mac!$A:$A,Output_Mac!E:E,""),
_xlpm.MyAuditVal,_xlfn.XLOOKUP($A166,My_Audit!$A:$A,My_Audit!E:E,""),
_xlfn.IFS(_xlpm.MyAuditVal&lt;&gt;"",_xlpm.MyAuditVal,_xlpm.MacVal&lt;&gt;"",_xlpm.MacVal,_xlpm.CSVVal&lt;&gt;"",_xlpm.CSVVal
)),"")</f>
        <v/>
      </c>
      <c r="G166" s="2" t="str" cm="1">
        <f t="array" ref="G166">IFERROR(_xlfn.LET(
_xlpm.CSVVal,_xlfn.XLOOKUP($A166,CSV!$A:$A,CSV!G:G,""),
_xlpm.MacVal,_xlfn.XLOOKUP($A166,Output_Mac!$A:$A,Output_Mac!F:F,""),
_xlpm.MyAuditVal,_xlfn.XLOOKUP($A166,My_Audit!$A:$A,My_Audit!F:F,""),
_xlfn.IFS(_xlpm.MyAuditVal&lt;&gt;"",_xlpm.MyAuditVal,_xlpm.MacVal&lt;&gt;"",_xlpm.MacVal,_xlpm.CSVVal&lt;&gt;"",PROPER(_xlpm.CSVVal)
)),"")</f>
        <v/>
      </c>
      <c r="H166" s="2" t="str" cm="1">
        <f t="array" ref="H166">IFERROR(_xlfn.LET(
_xlpm.CSVVal,_xlfn.XLOOKUP($A166,CSV!$A:$A,CSV!G:G,""),
_xlpm.MacVal,_xlfn.XLOOKUP($A166,Output_Mac!$A:$A,Output_Mac!H:H,""),
_xlpm.MyAuditVal,_xlfn.XLOOKUP($A166,My_Audit!$A:$A,My_Audit!G:G,""),
_xlfn.IFS(_xlpm.MyAuditVal&lt;&gt;"",_xlpm.MyAuditVal,_xlpm.MacVal&lt;&gt;"",_xlpm.MacVal,_xlpm.CSVVal&lt;&gt;"",_xlpm.CSVVal
)),"")</f>
        <v/>
      </c>
      <c r="I166" s="2" t="str">
        <f>_xlfn.XLOOKUP(A166,Output_Mac!A:A,Output_Mac!I:I,"")</f>
        <v/>
      </c>
      <c r="J166" s="2" t="str" cm="1">
        <f t="array" ref="J166">IFERROR(_xlfn.LET(
_xlpm.CSVVal,_xlfn.XLOOKUP($A166,CSV!$A:$A,CSV!I:I,""),
_xlpm.MacVal,_xlfn.XLOOKUP($A166,Output_Mac!$A:$A,Output_Mac!J:J,""),
_xlpm.MyAuditVal,_xlfn.XLOOKUP($A166,My_Audit!$A:$A,My_Audit!I:I,""),
_xlfn.IFS(_xlpm.MyAuditVal&lt;&gt;"",UPPER(_xlpm.MyAuditVal),_xlpm.MacVal&lt;&gt;"",_xlpm.MacVal,_xlpm.CSVVal&lt;&gt;"",_xlpm.CSVVal
)),"")</f>
        <v/>
      </c>
      <c r="K166" s="2" t="str" cm="1">
        <f t="array" ref="K166">IFERROR(_xlfn.LET(
_xlpm.CSVVal,_xlfn.XLOOKUP($A166,CSV!$A:$A,CSV!K:K,""),
_xlpm.MacVal,_xlfn.XLOOKUP($A166,Output_Mac!$A:$A,Output_Mac!K:K,""),
_xlpm.MyAuditVal,_xlfn.XLOOKUP($A166,My_Audit!$A:$A,My_Audit!J:J,""),
_xlfn.IFS(_xlpm.MyAuditVal&lt;&gt;"",UPPER(_xlpm.MyAuditVal),_xlpm.MacVal&lt;&gt;"",_xlpm.MacVal,_xlpm.CSVVal&lt;&gt;"",_xlpm.CSVVal
)),"")</f>
        <v/>
      </c>
      <c r="L166" s="2" t="str" cm="1">
        <f t="array" ref="L166">IFERROR(_xlfn.LET(
_xlpm.CSVVal,_xlfn.XLOOKUP($A166,CSV!$A:$A,CSV!P:P,""),
_xlpm.MacVal,_xlfn.XLOOKUP($A166,Output_Mac!$A:$A,Output_Mac!L:L,""),
_xlpm.MyAuditVal,_xlfn.XLOOKUP($A166,My_Audit!$A:$A,My_Audit!K:K,""),
_xlfn.IFS(_xlpm.MyAuditVal&lt;&gt;"",UPPER(_xlpm.MyAuditVal),_xlpm.MacVal&lt;&gt;"",_xlpm.MacVal,_xlpm.CSVVal&lt;&gt;"",_xlpm.CSVVal
)),"")</f>
        <v/>
      </c>
      <c r="M166" s="2" t="str" cm="1">
        <f t="array" ref="M166">IFERROR(_xlfn.LET(
_xlpm.CSVVal,_xlfn.XLOOKUP($A166,CSV!$A:$A,CSV!Q:Q,""),
_xlpm.MacVal,_xlfn.XLOOKUP($A166,Output_Mac!$A:$A,Output_Mac!M:M,""),
_xlpm.MyAuditVal,_xlfn.XLOOKUP($A166,My_Audit!$A:$A,My_Audit!L:L,""),
_xlfn.IFS(_xlpm.MyAuditVal&lt;&gt;"",UPPER(_xlpm.MyAuditVal),_xlpm.MacVal&lt;&gt;"",_xlpm.MacVal,_xlpm.CSVVal&lt;&gt;"",_xlpm.CSVVal
)),"")</f>
        <v/>
      </c>
      <c r="N166" s="2" t="str" cm="1">
        <f t="array" ref="N166">IFERROR(_xlfn.LET(
_xlpm.CSVVal,_xlfn.XLOOKUP($A166,CSV!$A:$A,CSV!M:M,""),
_xlpm.MacVal,_xlfn.XLOOKUP($A166,Output_Mac!$A:$A,Output_Mac!N:N,""),
_xlpm.MyAuditVal,_xlfn.XLOOKUP($A166,My_Audit!$A:$A,My_Audit!M:M,""),
_xlfn.IFS(_xlpm.MyAuditVal&lt;&gt;"",UPPER(_xlpm.MyAuditVal),_xlpm.MacVal&lt;&gt;"",_xlpm.MacVal,_xlpm.CSVVal&lt;&gt;"",_xlpm.CSVVal
)),"")</f>
        <v/>
      </c>
      <c r="O166" s="2" t="str">
        <f>_xlfn.LET(
    _xlpm.CSVVal, _xlfn.XLOOKUP($A166, CSV!$A:$A, CSV!AA:AA, ""),
    _xlpm.MacVal, _xlfn.XLOOKUP($A166, Output_Mac!$A:$A, Output_Mac!S:S, ""),
    _xlpm.MyAuditVal, _xlfn.XLOOKUP($A166, My_Audit!$A:$A, My_Audit!O:O, ""),
    _xlfn.TEXTJOIN(", ", TRUE, _xlpm.MyAuditVal, _xlpm.MacVal, _xlpm.CSVVal)
)</f>
        <v/>
      </c>
      <c r="P166" s="2" t="str" cm="1">
        <f t="array" ref="P166">IFERROR(_xlfn.LET(
_xlpm.CSVVal,_xlfn.XLOOKUP($A166,CSV!$A:$A,CSV!AB:AB,""),
_xlpm.MacVal,_xlfn.XLOOKUP($A166,Output_Mac!$A:$A,Output_Mac!T:T,""),
_xlpm.MyAuditVal,_xlfn.XLOOKUP($A166,My_Audit!$A:$A,My_Audit!Q:Q,""),
_xlfn.IFS(_xlpm.MyAuditVal&lt;&gt;"",UPPER(_xlpm.MyAuditVal),_xlpm.MacVal&lt;&gt;"",_xlpm.MacVal,_xlpm.CSVVal&lt;&gt;"",_xlpm.CSVVal
)),"No")</f>
        <v>No</v>
      </c>
      <c r="Q166" s="2" t="str" cm="1">
        <f t="array" ref="Q166">IFERROR(_xlfn.LET(
_xlpm.CSVVal,_xlfn.XLOOKUP($A166,CSV!$A:$A,CSV!AC:AC,""),
_xlpm.MacVal,_xlfn.XLOOKUP($A166,Output_Mac!$A:$A,Output_Mac!U:U,""),
_xlpm.MyAuditVal,_xlfn.XLOOKUP($A166,My_Audit!$A:$A,My_Audit!R:R,""),
_xlfn.IFS(_xlpm.MyAuditVal&lt;&gt;"",UPPER(_xlpm.MyAuditVal),_xlpm.MacVal&lt;&gt;"",_xlpm.MacVal,_xlpm.CSVVal&lt;&gt;"",_xlpm.CSVVal
)),"")</f>
        <v/>
      </c>
      <c r="X166" t="str">
        <f>_xlfn.LET(
    _xlpm.MacVal, _xlfn.XLOOKUP($A166, Output_Mac!$A:$A, Output_Mac!AB:AB, ""),
    _xlpm.MyAuditVal, _xlfn.XLOOKUP($A166, My_Audit!$A:$A, My_Audit!N:N, ""),
    _xlfn.TEXTJOIN(", ", TRUE, _xlpm.MyAuditVal, _xlpm.MacVal)
)</f>
        <v/>
      </c>
    </row>
    <row r="167" spans="1:24">
      <c r="A167" s="2" t="str">
        <f>_xlfn.TEXTJOIN("",TRUE,Input!$B$2,ROW(My_Audit!A166))</f>
        <v>X166</v>
      </c>
      <c r="C167" s="2" t="str" cm="1">
        <f t="array" ref="C167">IFERROR(_xlfn.LET(
_xlpm.CSVVal,_xlfn.XLOOKUP($A167,CSV!$A:$A,CSV!B:B,""),
_xlpm.MacVal,_xlfn.XLOOKUP($A167,Output_Mac!$A:$A,Output_Mac!B:B,""),
_xlpm.MyAuditVal,_xlfn.XLOOKUP($A167,My_Audit!$A:$A,My_Audit!B:B,""),
_xlfn.IFS(_xlpm.MyAuditVal&lt;&gt;"",UPPER(_xlpm.MyAuditVal),_xlpm.MacVal&lt;&gt;"",_xlpm.MacVal,_xlpm.CSVVal&lt;&gt;"",_xlpm.CSVVal
)),"")</f>
        <v/>
      </c>
      <c r="D167" s="2" t="str" cm="1">
        <f t="array" ref="D167">IFERROR(_xlfn.LET(
_xlpm.CSVVal,_xlfn.XLOOKUP($A167,CSV!$A:$A,CSV!D:D,""),
_xlpm.MacVal,_xlfn.XLOOKUP($A167,Output_Mac!$A:$A,Output_Mac!C:C,""),
_xlpm.MyAuditVal,_xlfn.XLOOKUP($A167,My_Audit!$A:$A,My_Audit!C:C,""),
_xlfn.IFS(_xlpm.MyAuditVal&lt;&gt;"",_xlpm.MyAuditVal,_xlpm.MacVal&lt;&gt;"",_xlpm.MacVal,_xlpm.CSVVal&lt;&gt;"",_xlpm.CSVVal
)),"")</f>
        <v/>
      </c>
      <c r="E167" s="2" t="e">
        <f>IF(_xlfn.XLOOKUP(A167,My_Audit!A:A,My_Audit!D:D),_xlfn.XLOOKUP(A167,My_Audit!A:A,My_Audit!D:D),"")</f>
        <v>#N/A</v>
      </c>
      <c r="F167" s="2" t="str" cm="1">
        <f t="array" ref="F167">IFERROR(_xlfn.LET(
_xlpm.CSVVal,_xlfn.XLOOKUP($A167,CSV!$A:$A,CSV!F:F,""),
_xlpm.MacVal,_xlfn.XLOOKUP($A167,Output_Mac!$A:$A,Output_Mac!E:E,""),
_xlpm.MyAuditVal,_xlfn.XLOOKUP($A167,My_Audit!$A:$A,My_Audit!E:E,""),
_xlfn.IFS(_xlpm.MyAuditVal&lt;&gt;"",_xlpm.MyAuditVal,_xlpm.MacVal&lt;&gt;"",_xlpm.MacVal,_xlpm.CSVVal&lt;&gt;"",_xlpm.CSVVal
)),"")</f>
        <v/>
      </c>
      <c r="G167" s="2" t="str" cm="1">
        <f t="array" ref="G167">IFERROR(_xlfn.LET(
_xlpm.CSVVal,_xlfn.XLOOKUP($A167,CSV!$A:$A,CSV!G:G,""),
_xlpm.MacVal,_xlfn.XLOOKUP($A167,Output_Mac!$A:$A,Output_Mac!F:F,""),
_xlpm.MyAuditVal,_xlfn.XLOOKUP($A167,My_Audit!$A:$A,My_Audit!F:F,""),
_xlfn.IFS(_xlpm.MyAuditVal&lt;&gt;"",_xlpm.MyAuditVal,_xlpm.MacVal&lt;&gt;"",_xlpm.MacVal,_xlpm.CSVVal&lt;&gt;"",PROPER(_xlpm.CSVVal)
)),"")</f>
        <v/>
      </c>
      <c r="H167" s="2" t="str" cm="1">
        <f t="array" ref="H167">IFERROR(_xlfn.LET(
_xlpm.CSVVal,_xlfn.XLOOKUP($A167,CSV!$A:$A,CSV!G:G,""),
_xlpm.MacVal,_xlfn.XLOOKUP($A167,Output_Mac!$A:$A,Output_Mac!H:H,""),
_xlpm.MyAuditVal,_xlfn.XLOOKUP($A167,My_Audit!$A:$A,My_Audit!G:G,""),
_xlfn.IFS(_xlpm.MyAuditVal&lt;&gt;"",_xlpm.MyAuditVal,_xlpm.MacVal&lt;&gt;"",_xlpm.MacVal,_xlpm.CSVVal&lt;&gt;"",_xlpm.CSVVal
)),"")</f>
        <v/>
      </c>
      <c r="I167" s="2" t="str">
        <f>_xlfn.XLOOKUP(A167,Output_Mac!A:A,Output_Mac!I:I,"")</f>
        <v/>
      </c>
      <c r="J167" s="2" t="str" cm="1">
        <f t="array" ref="J167">IFERROR(_xlfn.LET(
_xlpm.CSVVal,_xlfn.XLOOKUP($A167,CSV!$A:$A,CSV!I:I,""),
_xlpm.MacVal,_xlfn.XLOOKUP($A167,Output_Mac!$A:$A,Output_Mac!J:J,""),
_xlpm.MyAuditVal,_xlfn.XLOOKUP($A167,My_Audit!$A:$A,My_Audit!I:I,""),
_xlfn.IFS(_xlpm.MyAuditVal&lt;&gt;"",UPPER(_xlpm.MyAuditVal),_xlpm.MacVal&lt;&gt;"",_xlpm.MacVal,_xlpm.CSVVal&lt;&gt;"",_xlpm.CSVVal
)),"")</f>
        <v/>
      </c>
      <c r="K167" s="2" t="str" cm="1">
        <f t="array" ref="K167">IFERROR(_xlfn.LET(
_xlpm.CSVVal,_xlfn.XLOOKUP($A167,CSV!$A:$A,CSV!K:K,""),
_xlpm.MacVal,_xlfn.XLOOKUP($A167,Output_Mac!$A:$A,Output_Mac!K:K,""),
_xlpm.MyAuditVal,_xlfn.XLOOKUP($A167,My_Audit!$A:$A,My_Audit!J:J,""),
_xlfn.IFS(_xlpm.MyAuditVal&lt;&gt;"",UPPER(_xlpm.MyAuditVal),_xlpm.MacVal&lt;&gt;"",_xlpm.MacVal,_xlpm.CSVVal&lt;&gt;"",_xlpm.CSVVal
)),"")</f>
        <v/>
      </c>
      <c r="L167" s="2" t="str" cm="1">
        <f t="array" ref="L167">IFERROR(_xlfn.LET(
_xlpm.CSVVal,_xlfn.XLOOKUP($A167,CSV!$A:$A,CSV!P:P,""),
_xlpm.MacVal,_xlfn.XLOOKUP($A167,Output_Mac!$A:$A,Output_Mac!L:L,""),
_xlpm.MyAuditVal,_xlfn.XLOOKUP($A167,My_Audit!$A:$A,My_Audit!K:K,""),
_xlfn.IFS(_xlpm.MyAuditVal&lt;&gt;"",UPPER(_xlpm.MyAuditVal),_xlpm.MacVal&lt;&gt;"",_xlpm.MacVal,_xlpm.CSVVal&lt;&gt;"",_xlpm.CSVVal
)),"")</f>
        <v/>
      </c>
      <c r="M167" s="2" t="str" cm="1">
        <f t="array" ref="M167">IFERROR(_xlfn.LET(
_xlpm.CSVVal,_xlfn.XLOOKUP($A167,CSV!$A:$A,CSV!Q:Q,""),
_xlpm.MacVal,_xlfn.XLOOKUP($A167,Output_Mac!$A:$A,Output_Mac!M:M,""),
_xlpm.MyAuditVal,_xlfn.XLOOKUP($A167,My_Audit!$A:$A,My_Audit!L:L,""),
_xlfn.IFS(_xlpm.MyAuditVal&lt;&gt;"",UPPER(_xlpm.MyAuditVal),_xlpm.MacVal&lt;&gt;"",_xlpm.MacVal,_xlpm.CSVVal&lt;&gt;"",_xlpm.CSVVal
)),"")</f>
        <v/>
      </c>
      <c r="N167" s="2" t="str" cm="1">
        <f t="array" ref="N167">IFERROR(_xlfn.LET(
_xlpm.CSVVal,_xlfn.XLOOKUP($A167,CSV!$A:$A,CSV!M:M,""),
_xlpm.MacVal,_xlfn.XLOOKUP($A167,Output_Mac!$A:$A,Output_Mac!N:N,""),
_xlpm.MyAuditVal,_xlfn.XLOOKUP($A167,My_Audit!$A:$A,My_Audit!M:M,""),
_xlfn.IFS(_xlpm.MyAuditVal&lt;&gt;"",UPPER(_xlpm.MyAuditVal),_xlpm.MacVal&lt;&gt;"",_xlpm.MacVal,_xlpm.CSVVal&lt;&gt;"",_xlpm.CSVVal
)),"")</f>
        <v/>
      </c>
      <c r="O167" s="2" t="str">
        <f>_xlfn.LET(
    _xlpm.CSVVal, _xlfn.XLOOKUP($A167, CSV!$A:$A, CSV!AA:AA, ""),
    _xlpm.MacVal, _xlfn.XLOOKUP($A167, Output_Mac!$A:$A, Output_Mac!S:S, ""),
    _xlpm.MyAuditVal, _xlfn.XLOOKUP($A167, My_Audit!$A:$A, My_Audit!O:O, ""),
    _xlfn.TEXTJOIN(", ", TRUE, _xlpm.MyAuditVal, _xlpm.MacVal, _xlpm.CSVVal)
)</f>
        <v/>
      </c>
      <c r="P167" s="2" t="str" cm="1">
        <f t="array" ref="P167">IFERROR(_xlfn.LET(
_xlpm.CSVVal,_xlfn.XLOOKUP($A167,CSV!$A:$A,CSV!AB:AB,""),
_xlpm.MacVal,_xlfn.XLOOKUP($A167,Output_Mac!$A:$A,Output_Mac!T:T,""),
_xlpm.MyAuditVal,_xlfn.XLOOKUP($A167,My_Audit!$A:$A,My_Audit!Q:Q,""),
_xlfn.IFS(_xlpm.MyAuditVal&lt;&gt;"",UPPER(_xlpm.MyAuditVal),_xlpm.MacVal&lt;&gt;"",_xlpm.MacVal,_xlpm.CSVVal&lt;&gt;"",_xlpm.CSVVal
)),"No")</f>
        <v>No</v>
      </c>
      <c r="Q167" s="2" t="str" cm="1">
        <f t="array" ref="Q167">IFERROR(_xlfn.LET(
_xlpm.CSVVal,_xlfn.XLOOKUP($A167,CSV!$A:$A,CSV!AC:AC,""),
_xlpm.MacVal,_xlfn.XLOOKUP($A167,Output_Mac!$A:$A,Output_Mac!U:U,""),
_xlpm.MyAuditVal,_xlfn.XLOOKUP($A167,My_Audit!$A:$A,My_Audit!R:R,""),
_xlfn.IFS(_xlpm.MyAuditVal&lt;&gt;"",UPPER(_xlpm.MyAuditVal),_xlpm.MacVal&lt;&gt;"",_xlpm.MacVal,_xlpm.CSVVal&lt;&gt;"",_xlpm.CSVVal
)),"")</f>
        <v/>
      </c>
    </row>
    <row r="168" spans="1:24">
      <c r="A168" s="2" t="str">
        <f>_xlfn.TEXTJOIN("",TRUE,Input!$B$2,ROW(My_Audit!A167))</f>
        <v>X167</v>
      </c>
      <c r="C168" s="2" t="str" cm="1">
        <f t="array" ref="C168">IFERROR(_xlfn.LET(
_xlpm.CSVVal,_xlfn.XLOOKUP($A168,CSV!$A:$A,CSV!B:B,""),
_xlpm.MacVal,_xlfn.XLOOKUP($A168,Output_Mac!$A:$A,Output_Mac!B:B,""),
_xlpm.MyAuditVal,_xlfn.XLOOKUP($A168,My_Audit!$A:$A,My_Audit!B:B,""),
_xlfn.IFS(_xlpm.MyAuditVal&lt;&gt;"",UPPER(_xlpm.MyAuditVal),_xlpm.MacVal&lt;&gt;"",_xlpm.MacVal,_xlpm.CSVVal&lt;&gt;"",_xlpm.CSVVal
)),"")</f>
        <v/>
      </c>
      <c r="D168" s="2" t="str" cm="1">
        <f t="array" ref="D168">IFERROR(_xlfn.LET(
_xlpm.CSVVal,_xlfn.XLOOKUP($A168,CSV!$A:$A,CSV!D:D,""),
_xlpm.MacVal,_xlfn.XLOOKUP($A168,Output_Mac!$A:$A,Output_Mac!C:C,""),
_xlpm.MyAuditVal,_xlfn.XLOOKUP($A168,My_Audit!$A:$A,My_Audit!C:C,""),
_xlfn.IFS(_xlpm.MyAuditVal&lt;&gt;"",_xlpm.MyAuditVal,_xlpm.MacVal&lt;&gt;"",_xlpm.MacVal,_xlpm.CSVVal&lt;&gt;"",_xlpm.CSVVal
)),"")</f>
        <v/>
      </c>
      <c r="E168" s="2" t="e">
        <f>IF(_xlfn.XLOOKUP(A168,My_Audit!A:A,My_Audit!D:D),_xlfn.XLOOKUP(A168,My_Audit!A:A,My_Audit!D:D),"")</f>
        <v>#N/A</v>
      </c>
      <c r="F168" s="2" t="str" cm="1">
        <f t="array" ref="F168">IFERROR(_xlfn.LET(
_xlpm.CSVVal,_xlfn.XLOOKUP($A168,CSV!$A:$A,CSV!F:F,""),
_xlpm.MacVal,_xlfn.XLOOKUP($A168,Output_Mac!$A:$A,Output_Mac!E:E,""),
_xlpm.MyAuditVal,_xlfn.XLOOKUP($A168,My_Audit!$A:$A,My_Audit!E:E,""),
_xlfn.IFS(_xlpm.MyAuditVal&lt;&gt;"",_xlpm.MyAuditVal,_xlpm.MacVal&lt;&gt;"",_xlpm.MacVal,_xlpm.CSVVal&lt;&gt;"",_xlpm.CSVVal
)),"")</f>
        <v/>
      </c>
      <c r="G168" s="2" t="str" cm="1">
        <f t="array" ref="G168">IFERROR(_xlfn.LET(
_xlpm.CSVVal,_xlfn.XLOOKUP($A168,CSV!$A:$A,CSV!G:G,""),
_xlpm.MacVal,_xlfn.XLOOKUP($A168,Output_Mac!$A:$A,Output_Mac!F:F,""),
_xlpm.MyAuditVal,_xlfn.XLOOKUP($A168,My_Audit!$A:$A,My_Audit!F:F,""),
_xlfn.IFS(_xlpm.MyAuditVal&lt;&gt;"",_xlpm.MyAuditVal,_xlpm.MacVal&lt;&gt;"",_xlpm.MacVal,_xlpm.CSVVal&lt;&gt;"",PROPER(_xlpm.CSVVal)
)),"")</f>
        <v/>
      </c>
      <c r="H168" s="2" t="str" cm="1">
        <f t="array" ref="H168">IFERROR(_xlfn.LET(
_xlpm.CSVVal,_xlfn.XLOOKUP($A168,CSV!$A:$A,CSV!G:G,""),
_xlpm.MacVal,_xlfn.XLOOKUP($A168,Output_Mac!$A:$A,Output_Mac!H:H,""),
_xlpm.MyAuditVal,_xlfn.XLOOKUP($A168,My_Audit!$A:$A,My_Audit!G:G,""),
_xlfn.IFS(_xlpm.MyAuditVal&lt;&gt;"",_xlpm.MyAuditVal,_xlpm.MacVal&lt;&gt;"",_xlpm.MacVal,_xlpm.CSVVal&lt;&gt;"",_xlpm.CSVVal
)),"")</f>
        <v/>
      </c>
      <c r="I168" s="2" t="str">
        <f>_xlfn.XLOOKUP(A168,Output_Mac!A:A,Output_Mac!I:I,"")</f>
        <v/>
      </c>
      <c r="J168" s="2" t="str" cm="1">
        <f t="array" ref="J168">IFERROR(_xlfn.LET(
_xlpm.CSVVal,_xlfn.XLOOKUP($A168,CSV!$A:$A,CSV!I:I,""),
_xlpm.MacVal,_xlfn.XLOOKUP($A168,Output_Mac!$A:$A,Output_Mac!J:J,""),
_xlpm.MyAuditVal,_xlfn.XLOOKUP($A168,My_Audit!$A:$A,My_Audit!I:I,""),
_xlfn.IFS(_xlpm.MyAuditVal&lt;&gt;"",UPPER(_xlpm.MyAuditVal),_xlpm.MacVal&lt;&gt;"",_xlpm.MacVal,_xlpm.CSVVal&lt;&gt;"",_xlpm.CSVVal
)),"")</f>
        <v/>
      </c>
      <c r="K168" s="2" t="str" cm="1">
        <f t="array" ref="K168">IFERROR(_xlfn.LET(
_xlpm.CSVVal,_xlfn.XLOOKUP($A168,CSV!$A:$A,CSV!K:K,""),
_xlpm.MacVal,_xlfn.XLOOKUP($A168,Output_Mac!$A:$A,Output_Mac!K:K,""),
_xlpm.MyAuditVal,_xlfn.XLOOKUP($A168,My_Audit!$A:$A,My_Audit!J:J,""),
_xlfn.IFS(_xlpm.MyAuditVal&lt;&gt;"",UPPER(_xlpm.MyAuditVal),_xlpm.MacVal&lt;&gt;"",_xlpm.MacVal,_xlpm.CSVVal&lt;&gt;"",_xlpm.CSVVal
)),"")</f>
        <v/>
      </c>
      <c r="L168" s="2" t="str" cm="1">
        <f t="array" ref="L168">IFERROR(_xlfn.LET(
_xlpm.CSVVal,_xlfn.XLOOKUP($A168,CSV!$A:$A,CSV!P:P,""),
_xlpm.MacVal,_xlfn.XLOOKUP($A168,Output_Mac!$A:$A,Output_Mac!L:L,""),
_xlpm.MyAuditVal,_xlfn.XLOOKUP($A168,My_Audit!$A:$A,My_Audit!K:K,""),
_xlfn.IFS(_xlpm.MyAuditVal&lt;&gt;"",UPPER(_xlpm.MyAuditVal),_xlpm.MacVal&lt;&gt;"",_xlpm.MacVal,_xlpm.CSVVal&lt;&gt;"",_xlpm.CSVVal
)),"")</f>
        <v/>
      </c>
      <c r="M168" s="2" t="str" cm="1">
        <f t="array" ref="M168">IFERROR(_xlfn.LET(
_xlpm.CSVVal,_xlfn.XLOOKUP($A168,CSV!$A:$A,CSV!Q:Q,""),
_xlpm.MacVal,_xlfn.XLOOKUP($A168,Output_Mac!$A:$A,Output_Mac!M:M,""),
_xlpm.MyAuditVal,_xlfn.XLOOKUP($A168,My_Audit!$A:$A,My_Audit!L:L,""),
_xlfn.IFS(_xlpm.MyAuditVal&lt;&gt;"",UPPER(_xlpm.MyAuditVal),_xlpm.MacVal&lt;&gt;"",_xlpm.MacVal,_xlpm.CSVVal&lt;&gt;"",_xlpm.CSVVal
)),"")</f>
        <v/>
      </c>
      <c r="N168" s="2" t="str" cm="1">
        <f t="array" ref="N168">IFERROR(_xlfn.LET(
_xlpm.CSVVal,_xlfn.XLOOKUP($A168,CSV!$A:$A,CSV!M:M,""),
_xlpm.MacVal,_xlfn.XLOOKUP($A168,Output_Mac!$A:$A,Output_Mac!N:N,""),
_xlpm.MyAuditVal,_xlfn.XLOOKUP($A168,My_Audit!$A:$A,My_Audit!M:M,""),
_xlfn.IFS(_xlpm.MyAuditVal&lt;&gt;"",UPPER(_xlpm.MyAuditVal),_xlpm.MacVal&lt;&gt;"",_xlpm.MacVal,_xlpm.CSVVal&lt;&gt;"",_xlpm.CSVVal
)),"")</f>
        <v/>
      </c>
      <c r="O168" s="2" t="str">
        <f>_xlfn.LET(
    _xlpm.CSVVal, _xlfn.XLOOKUP($A168, CSV!$A:$A, CSV!AA:AA, ""),
    _xlpm.MacVal, _xlfn.XLOOKUP($A168, Output_Mac!$A:$A, Output_Mac!S:S, ""),
    _xlpm.MyAuditVal, _xlfn.XLOOKUP($A168, My_Audit!$A:$A, My_Audit!O:O, ""),
    _xlfn.TEXTJOIN(", ", TRUE, _xlpm.MyAuditVal, _xlpm.MacVal, _xlpm.CSVVal)
)</f>
        <v/>
      </c>
      <c r="P168" s="2" t="str" cm="1">
        <f t="array" ref="P168">IFERROR(_xlfn.LET(
_xlpm.CSVVal,_xlfn.XLOOKUP($A168,CSV!$A:$A,CSV!AB:AB,""),
_xlpm.MacVal,_xlfn.XLOOKUP($A168,Output_Mac!$A:$A,Output_Mac!T:T,""),
_xlpm.MyAuditVal,_xlfn.XLOOKUP($A168,My_Audit!$A:$A,My_Audit!Q:Q,""),
_xlfn.IFS(_xlpm.MyAuditVal&lt;&gt;"",UPPER(_xlpm.MyAuditVal),_xlpm.MacVal&lt;&gt;"",_xlpm.MacVal,_xlpm.CSVVal&lt;&gt;"",_xlpm.CSVVal
)),"No")</f>
        <v>No</v>
      </c>
      <c r="Q168" s="2" t="str" cm="1">
        <f t="array" ref="Q168">IFERROR(_xlfn.LET(
_xlpm.CSVVal,_xlfn.XLOOKUP($A168,CSV!$A:$A,CSV!AC:AC,""),
_xlpm.MacVal,_xlfn.XLOOKUP($A168,Output_Mac!$A:$A,Output_Mac!U:U,""),
_xlpm.MyAuditVal,_xlfn.XLOOKUP($A168,My_Audit!$A:$A,My_Audit!R:R,""),
_xlfn.IFS(_xlpm.MyAuditVal&lt;&gt;"",UPPER(_xlpm.MyAuditVal),_xlpm.MacVal&lt;&gt;"",_xlpm.MacVal,_xlpm.CSVVal&lt;&gt;"",_xlpm.CSVVal
)),"")</f>
        <v/>
      </c>
    </row>
    <row r="169" spans="1:24">
      <c r="A169" s="2" t="str">
        <f>_xlfn.TEXTJOIN("",TRUE,Input!$B$2,ROW(My_Audit!A168))</f>
        <v>X168</v>
      </c>
      <c r="C169" s="2" t="str" cm="1">
        <f t="array" ref="C169">IFERROR(_xlfn.LET(
_xlpm.CSVVal,_xlfn.XLOOKUP($A169,CSV!$A:$A,CSV!B:B,""),
_xlpm.MacVal,_xlfn.XLOOKUP($A169,Output_Mac!$A:$A,Output_Mac!B:B,""),
_xlpm.MyAuditVal,_xlfn.XLOOKUP($A169,My_Audit!$A:$A,My_Audit!B:B,""),
_xlfn.IFS(_xlpm.MyAuditVal&lt;&gt;"",UPPER(_xlpm.MyAuditVal),_xlpm.MacVal&lt;&gt;"",_xlpm.MacVal,_xlpm.CSVVal&lt;&gt;"",_xlpm.CSVVal
)),"")</f>
        <v/>
      </c>
      <c r="D169" s="2" t="str" cm="1">
        <f t="array" ref="D169">IFERROR(_xlfn.LET(
_xlpm.CSVVal,_xlfn.XLOOKUP($A169,CSV!$A:$A,CSV!D:D,""),
_xlpm.MacVal,_xlfn.XLOOKUP($A169,Output_Mac!$A:$A,Output_Mac!C:C,""),
_xlpm.MyAuditVal,_xlfn.XLOOKUP($A169,My_Audit!$A:$A,My_Audit!C:C,""),
_xlfn.IFS(_xlpm.MyAuditVal&lt;&gt;"",_xlpm.MyAuditVal,_xlpm.MacVal&lt;&gt;"",_xlpm.MacVal,_xlpm.CSVVal&lt;&gt;"",_xlpm.CSVVal
)),"")</f>
        <v/>
      </c>
      <c r="E169" s="2" t="e">
        <f>IF(_xlfn.XLOOKUP(A169,My_Audit!A:A,My_Audit!D:D),_xlfn.XLOOKUP(A169,My_Audit!A:A,My_Audit!D:D),"")</f>
        <v>#N/A</v>
      </c>
      <c r="F169" s="2" t="str" cm="1">
        <f t="array" ref="F169">IFERROR(_xlfn.LET(
_xlpm.CSVVal,_xlfn.XLOOKUP($A169,CSV!$A:$A,CSV!F:F,""),
_xlpm.MacVal,_xlfn.XLOOKUP($A169,Output_Mac!$A:$A,Output_Mac!E:E,""),
_xlpm.MyAuditVal,_xlfn.XLOOKUP($A169,My_Audit!$A:$A,My_Audit!E:E,""),
_xlfn.IFS(_xlpm.MyAuditVal&lt;&gt;"",_xlpm.MyAuditVal,_xlpm.MacVal&lt;&gt;"",_xlpm.MacVal,_xlpm.CSVVal&lt;&gt;"",_xlpm.CSVVal
)),"")</f>
        <v/>
      </c>
      <c r="G169" s="2" t="str" cm="1">
        <f t="array" ref="G169">IFERROR(_xlfn.LET(
_xlpm.CSVVal,_xlfn.XLOOKUP($A169,CSV!$A:$A,CSV!G:G,""),
_xlpm.MacVal,_xlfn.XLOOKUP($A169,Output_Mac!$A:$A,Output_Mac!F:F,""),
_xlpm.MyAuditVal,_xlfn.XLOOKUP($A169,My_Audit!$A:$A,My_Audit!F:F,""),
_xlfn.IFS(_xlpm.MyAuditVal&lt;&gt;"",_xlpm.MyAuditVal,_xlpm.MacVal&lt;&gt;"",_xlpm.MacVal,_xlpm.CSVVal&lt;&gt;"",PROPER(_xlpm.CSVVal)
)),"")</f>
        <v/>
      </c>
      <c r="H169" s="2" t="str" cm="1">
        <f t="array" ref="H169">IFERROR(_xlfn.LET(
_xlpm.CSVVal,_xlfn.XLOOKUP($A169,CSV!$A:$A,CSV!G:G,""),
_xlpm.MacVal,_xlfn.XLOOKUP($A169,Output_Mac!$A:$A,Output_Mac!H:H,""),
_xlpm.MyAuditVal,_xlfn.XLOOKUP($A169,My_Audit!$A:$A,My_Audit!G:G,""),
_xlfn.IFS(_xlpm.MyAuditVal&lt;&gt;"",_xlpm.MyAuditVal,_xlpm.MacVal&lt;&gt;"",_xlpm.MacVal,_xlpm.CSVVal&lt;&gt;"",_xlpm.CSVVal
)),"")</f>
        <v/>
      </c>
      <c r="I169" s="2" t="str">
        <f>_xlfn.XLOOKUP(A169,Output_Mac!A:A,Output_Mac!I:I,"")</f>
        <v/>
      </c>
      <c r="J169" s="2" t="str" cm="1">
        <f t="array" ref="J169">IFERROR(_xlfn.LET(
_xlpm.CSVVal,_xlfn.XLOOKUP($A169,CSV!$A:$A,CSV!I:I,""),
_xlpm.MacVal,_xlfn.XLOOKUP($A169,Output_Mac!$A:$A,Output_Mac!J:J,""),
_xlpm.MyAuditVal,_xlfn.XLOOKUP($A169,My_Audit!$A:$A,My_Audit!I:I,""),
_xlfn.IFS(_xlpm.MyAuditVal&lt;&gt;"",UPPER(_xlpm.MyAuditVal),_xlpm.MacVal&lt;&gt;"",_xlpm.MacVal,_xlpm.CSVVal&lt;&gt;"",_xlpm.CSVVal
)),"")</f>
        <v/>
      </c>
      <c r="K169" s="2" t="str" cm="1">
        <f t="array" ref="K169">IFERROR(_xlfn.LET(
_xlpm.CSVVal,_xlfn.XLOOKUP($A169,CSV!$A:$A,CSV!K:K,""),
_xlpm.MacVal,_xlfn.XLOOKUP($A169,Output_Mac!$A:$A,Output_Mac!K:K,""),
_xlpm.MyAuditVal,_xlfn.XLOOKUP($A169,My_Audit!$A:$A,My_Audit!J:J,""),
_xlfn.IFS(_xlpm.MyAuditVal&lt;&gt;"",UPPER(_xlpm.MyAuditVal),_xlpm.MacVal&lt;&gt;"",_xlpm.MacVal,_xlpm.CSVVal&lt;&gt;"",_xlpm.CSVVal
)),"")</f>
        <v/>
      </c>
      <c r="L169" s="2" t="str" cm="1">
        <f t="array" ref="L169">IFERROR(_xlfn.LET(
_xlpm.CSVVal,_xlfn.XLOOKUP($A169,CSV!$A:$A,CSV!P:P,""),
_xlpm.MacVal,_xlfn.XLOOKUP($A169,Output_Mac!$A:$A,Output_Mac!L:L,""),
_xlpm.MyAuditVal,_xlfn.XLOOKUP($A169,My_Audit!$A:$A,My_Audit!K:K,""),
_xlfn.IFS(_xlpm.MyAuditVal&lt;&gt;"",UPPER(_xlpm.MyAuditVal),_xlpm.MacVal&lt;&gt;"",_xlpm.MacVal,_xlpm.CSVVal&lt;&gt;"",_xlpm.CSVVal
)),"")</f>
        <v/>
      </c>
      <c r="M169" s="2" t="str" cm="1">
        <f t="array" ref="M169">IFERROR(_xlfn.LET(
_xlpm.CSVVal,_xlfn.XLOOKUP($A169,CSV!$A:$A,CSV!Q:Q,""),
_xlpm.MacVal,_xlfn.XLOOKUP($A169,Output_Mac!$A:$A,Output_Mac!M:M,""),
_xlpm.MyAuditVal,_xlfn.XLOOKUP($A169,My_Audit!$A:$A,My_Audit!L:L,""),
_xlfn.IFS(_xlpm.MyAuditVal&lt;&gt;"",UPPER(_xlpm.MyAuditVal),_xlpm.MacVal&lt;&gt;"",_xlpm.MacVal,_xlpm.CSVVal&lt;&gt;"",_xlpm.CSVVal
)),"")</f>
        <v/>
      </c>
      <c r="N169" s="2" t="str" cm="1">
        <f t="array" ref="N169">IFERROR(_xlfn.LET(
_xlpm.CSVVal,_xlfn.XLOOKUP($A169,CSV!$A:$A,CSV!M:M,""),
_xlpm.MacVal,_xlfn.XLOOKUP($A169,Output_Mac!$A:$A,Output_Mac!N:N,""),
_xlpm.MyAuditVal,_xlfn.XLOOKUP($A169,My_Audit!$A:$A,My_Audit!M:M,""),
_xlfn.IFS(_xlpm.MyAuditVal&lt;&gt;"",UPPER(_xlpm.MyAuditVal),_xlpm.MacVal&lt;&gt;"",_xlpm.MacVal,_xlpm.CSVVal&lt;&gt;"",_xlpm.CSVVal
)),"")</f>
        <v/>
      </c>
      <c r="O169" s="2" t="str">
        <f>_xlfn.LET(
    _xlpm.CSVVal, _xlfn.XLOOKUP($A169, CSV!$A:$A, CSV!N:N, ""),
    _xlpm.MacVal, _xlfn.XLOOKUP($A169, Output_Mac!$A:$A, Output_Mac!S:S, ""),
    _xlpm.MyAuditVal, _xlfn.XLOOKUP($A169, My_Audit!$A:$A, My_Audit!O:O, ""),
    _xlfn.TEXTJOIN(", ", TRUE, _xlpm.MyAuditVal, _xlpm.MacVal, _xlpm.CSVVal)
)</f>
        <v/>
      </c>
      <c r="P169" s="2" t="str" cm="1">
        <f t="array" ref="P169">IFERROR(_xlfn.LET(
_xlpm.CSVVal,_xlfn.XLOOKUP($A169,CSV!$A:$A,CSV!O:O,""),
_xlpm.MacVal,_xlfn.XLOOKUP($A169,Output_Mac!$A:$A,Output_Mac!T:T,""),
_xlpm.MyAuditVal,_xlfn.XLOOKUP($A169,My_Audit!$A:$A,My_Audit!Q:Q,""),
_xlfn.IFS(_xlpm.MyAuditVal&lt;&gt;"",UPPER(_xlpm.MyAuditVal),_xlpm.MacVal&lt;&gt;"",_xlpm.MacVal,_xlpm.CSVVal&lt;&gt;"",_xlpm.CSVVal
)),"")</f>
        <v/>
      </c>
      <c r="Q169" s="2" t="str" cm="1">
        <f t="array" ref="Q169">IFERROR(_xlfn.LET(
_xlpm.CSVVal,_xlfn.XLOOKUP($A169,CSV!$A:$A,CSV!P:P,""),
_xlpm.MacVal,_xlfn.XLOOKUP($A169,Output_Mac!$A:$A,Output_Mac!U:U,""),
_xlpm.MyAuditVal,_xlfn.XLOOKUP($A169,My_Audit!$A:$A,My_Audit!R:R,""),
_xlfn.IFS(_xlpm.MyAuditVal&lt;&gt;"",UPPER(_xlpm.MyAuditVal),_xlpm.MacVal&lt;&gt;"",_xlpm.MacVal,_xlpm.CSVVal&lt;&gt;"",_xlpm.CSVVal
)),"")</f>
        <v/>
      </c>
    </row>
    <row r="170" spans="1:24">
      <c r="G170" s="2" t="str" cm="1">
        <f t="array" ref="G170">IFERROR(_xlfn.LET(
_xlpm.CSVVal,_xlfn.XLOOKUP($A170,CSV!$A:$A,CSV!G:G,""),
_xlpm.MacVal,_xlfn.XLOOKUP($A170,Output_Mac!$A:$A,Output_Mac!F:F,""),
_xlpm.MyAuditVal,_xlfn.XLOOKUP($A170,My_Audit!$A:$A,My_Audit!F:F,""),
_xlfn.IFS(_xlpm.MyAuditVal&lt;&gt;"",_xlpm.MyAuditVal,_xlpm.MacVal&lt;&gt;"",_xlpm.MacVal,_xlpm.CSVVal&lt;&gt;"",PROPER(_xlpm.CSVVal)
)),"")</f>
        <v/>
      </c>
      <c r="I170" s="2" t="str">
        <f>_xlfn.XLOOKUP(A170,Output_Mac!A:A,Output_Mac!I:I,"")</f>
        <v/>
      </c>
      <c r="K170" s="2" t="str" cm="1">
        <f t="array" ref="K170">IFERROR(_xlfn.LET(
_xlpm.CSVVal,_xlfn.XLOOKUP($A170,CSV!$A:$A,CSV!K:K,""),
_xlpm.MacVal,_xlfn.XLOOKUP($A170,Output_Mac!$A:$A,Output_Mac!K:K,""),
_xlpm.MyAuditVal,_xlfn.XLOOKUP($A170,My_Audit!$A:$A,My_Audit!J:J,""),
_xlfn.IFS(_xlpm.MyAuditVal&lt;&gt;"",UPPER(_xlpm.MyAuditVal),_xlpm.MacVal&lt;&gt;"",_xlpm.MacVal,_xlpm.CSVVal&lt;&gt;"",_xlpm.CSVVal
)),"")</f>
        <v/>
      </c>
      <c r="L170" s="2" t="str" cm="1">
        <f t="array" ref="L170">IFERROR(_xlfn.LET(
_xlpm.CSVVal,_xlfn.XLOOKUP($A170,CSV!$A:$A,CSV!P:P,""),
_xlpm.MacVal,_xlfn.XLOOKUP($A170,Output_Mac!$A:$A,Output_Mac!L:L,""),
_xlpm.MyAuditVal,_xlfn.XLOOKUP($A170,My_Audit!$A:$A,My_Audit!K:K,""),
_xlfn.IFS(_xlpm.MyAuditVal&lt;&gt;"",UPPER(_xlpm.MyAuditVal),_xlpm.MacVal&lt;&gt;"",_xlpm.MacVal,_xlpm.CSVVal&lt;&gt;"",_xlpm.CSVVal
)),"")</f>
        <v/>
      </c>
      <c r="M170" s="2" t="str" cm="1">
        <f t="array" ref="M170">IFERROR(_xlfn.LET(
_xlpm.CSVVal,_xlfn.XLOOKUP($A170,CSV!$A:$A,CSV!Q:Q,""),
_xlpm.MacVal,_xlfn.XLOOKUP($A170,Output_Mac!$A:$A,Output_Mac!M:M,""),
_xlpm.MyAuditVal,_xlfn.XLOOKUP($A170,My_Audit!$A:$A,My_Audit!L:L,""),
_xlfn.IFS(_xlpm.MyAuditVal&lt;&gt;"",UPPER(_xlpm.MyAuditVal),_xlpm.MacVal&lt;&gt;"",_xlpm.MacVal,_xlpm.CSVVal&lt;&gt;"",_xlpm.CSVVal
)),"")</f>
        <v/>
      </c>
      <c r="O170" s="2" t="e">
        <f>_xlfn.LET(
    _xlpm.CSVVal, _xlfn.XLOOKUP($A170, CSV!$A:$A, CSV!N:N, ""),
    _xlpm.MacVal, _xlfn.XLOOKUP($A170, Output_Mac!$A:$A, Output_Mac!S:S, ""),
    _xlpm.MyAuditVal, _xlfn.XLOOKUP($A170, My_Audit!$A:$A, My_Audit!O:O, ""),
    _xlfn.TEXTJOIN(", ", TRUE, _xlpm.MyAuditVal, _xlpm.MacVal, _xlpm.CSVVal)
)</f>
        <v>#N/A</v>
      </c>
    </row>
  </sheetData>
  <pageMargins left="0.7" right="0.7" top="0.75" bottom="0.75" header="0.3" footer="0.3"/>
  <pageSetup paperSize="385" orientation="portrait" horizontalDpi="300" verticalDpi="300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B26C16A-5E81-4B85-9894-E76E2461C7F7}">
  <sheetPr>
    <tabColor theme="9"/>
  </sheetPr>
  <dimension ref="A1:F82"/>
  <sheetViews>
    <sheetView workbookViewId="0">
      <selection activeCell="A2" sqref="A2"/>
    </sheetView>
  </sheetViews>
  <sheetFormatPr defaultRowHeight="15"/>
  <cols>
    <col min="1" max="1" width="17.140625" customWidth="1"/>
    <col min="5" max="5" width="18.5703125" customWidth="1"/>
  </cols>
  <sheetData>
    <row r="1" spans="1:6" ht="18" customHeight="1" thickBot="1">
      <c r="A1" s="37" t="s">
        <v>1</v>
      </c>
      <c r="B1" s="38" t="s">
        <v>2</v>
      </c>
      <c r="C1" s="38" t="s">
        <v>5</v>
      </c>
      <c r="D1" s="38" t="s">
        <v>6</v>
      </c>
      <c r="E1" s="38" t="s">
        <v>562</v>
      </c>
      <c r="F1" s="38" t="s">
        <v>563</v>
      </c>
    </row>
    <row r="2" spans="1:6">
      <c r="A2" t="e" cm="1" vm="1">
        <f t="array" ref="A2">_xlfn._xlws.FILTER('Audit Report'!C2:C500,'Audit Report'!X2:X500&lt;&gt;"")</f>
        <v>#VALUE!</v>
      </c>
      <c r="B2" t="e" vm="2">
        <f>_xlfn.XLOOKUP($A2,'Audit Report'!$C:$C,'Audit Report'!D:D)</f>
        <v>#VALUE!</v>
      </c>
      <c r="C2" t="e" vm="2">
        <f>_xlfn.XLOOKUP($A2,'Audit Report'!$C:$C,'Audit Report'!G:G)</f>
        <v>#VALUE!</v>
      </c>
      <c r="D2" t="e" vm="2">
        <f>_xlfn.XLOOKUP($A2,'Audit Report'!$C:$C,'Audit Report'!H:H)</f>
        <v>#VALUE!</v>
      </c>
      <c r="E2" t="e" vm="2">
        <f>_xlfn.XLOOKUP($A2,'Audit Report'!$C:$C,'Audit Report'!X:X)</f>
        <v>#VALUE!</v>
      </c>
      <c r="F2" t="e" vm="2">
        <f>_xlfn.XLOOKUP($A2,'Audit Report'!$C:$C,'Audit Report'!P:P)</f>
        <v>#VALUE!</v>
      </c>
    </row>
    <row r="3" spans="1:6">
      <c r="B3">
        <f>_xlfn.XLOOKUP($A3,'Audit Report'!$C:$C,'Audit Report'!D:D)</f>
        <v>0</v>
      </c>
      <c r="C3" t="str">
        <f>_xlfn.XLOOKUP($A3,'Audit Report'!$C:$C,'Audit Report'!G:G)</f>
        <v/>
      </c>
      <c r="D3">
        <f>_xlfn.XLOOKUP($A3,'Audit Report'!$C:$C,'Audit Report'!H:H)</f>
        <v>0</v>
      </c>
      <c r="E3">
        <f>_xlfn.XLOOKUP($A3,'Audit Report'!$C:$C,'Audit Report'!X:X)</f>
        <v>0</v>
      </c>
      <c r="F3">
        <f>_xlfn.XLOOKUP($A3,'Audit Report'!$C:$C,'Audit Report'!P:P)</f>
        <v>0</v>
      </c>
    </row>
    <row r="4" spans="1:6">
      <c r="B4">
        <f>_xlfn.XLOOKUP($A4,'Audit Report'!$C:$C,'Audit Report'!D:D)</f>
        <v>0</v>
      </c>
      <c r="C4" t="str">
        <f>_xlfn.XLOOKUP($A4,'Audit Report'!$C:$C,'Audit Report'!G:G)</f>
        <v/>
      </c>
      <c r="D4">
        <f>_xlfn.XLOOKUP($A4,'Audit Report'!$C:$C,'Audit Report'!H:H)</f>
        <v>0</v>
      </c>
      <c r="E4">
        <f>_xlfn.XLOOKUP($A4,'Audit Report'!$C:$C,'Audit Report'!X:X)</f>
        <v>0</v>
      </c>
      <c r="F4">
        <f>_xlfn.XLOOKUP($A4,'Audit Report'!$C:$C,'Audit Report'!P:P)</f>
        <v>0</v>
      </c>
    </row>
    <row r="5" spans="1:6">
      <c r="B5">
        <f>_xlfn.XLOOKUP($A5,'Audit Report'!$C:$C,'Audit Report'!D:D)</f>
        <v>0</v>
      </c>
      <c r="C5" t="str">
        <f>_xlfn.XLOOKUP($A5,'Audit Report'!$C:$C,'Audit Report'!G:G)</f>
        <v/>
      </c>
      <c r="D5">
        <f>_xlfn.XLOOKUP($A5,'Audit Report'!$C:$C,'Audit Report'!H:H)</f>
        <v>0</v>
      </c>
      <c r="E5">
        <f>_xlfn.XLOOKUP($A5,'Audit Report'!$C:$C,'Audit Report'!X:X)</f>
        <v>0</v>
      </c>
      <c r="F5">
        <f>_xlfn.XLOOKUP($A5,'Audit Report'!$C:$C,'Audit Report'!P:P)</f>
        <v>0</v>
      </c>
    </row>
    <row r="6" spans="1:6">
      <c r="B6">
        <f>_xlfn.XLOOKUP($A6,'Audit Report'!$C:$C,'Audit Report'!D:D)</f>
        <v>0</v>
      </c>
      <c r="C6" t="str">
        <f>_xlfn.XLOOKUP($A6,'Audit Report'!$C:$C,'Audit Report'!G:G)</f>
        <v/>
      </c>
      <c r="D6">
        <f>_xlfn.XLOOKUP($A6,'Audit Report'!$C:$C,'Audit Report'!H:H)</f>
        <v>0</v>
      </c>
      <c r="E6">
        <f>_xlfn.XLOOKUP($A6,'Audit Report'!$C:$C,'Audit Report'!X:X)</f>
        <v>0</v>
      </c>
      <c r="F6">
        <f>_xlfn.XLOOKUP($A6,'Audit Report'!$C:$C,'Audit Report'!P:P)</f>
        <v>0</v>
      </c>
    </row>
    <row r="7" spans="1:6">
      <c r="B7">
        <f>_xlfn.XLOOKUP($A7,'Audit Report'!$C:$C,'Audit Report'!D:D)</f>
        <v>0</v>
      </c>
      <c r="C7" t="str">
        <f>_xlfn.XLOOKUP($A7,'Audit Report'!$C:$C,'Audit Report'!G:G)</f>
        <v/>
      </c>
      <c r="D7">
        <f>_xlfn.XLOOKUP($A7,'Audit Report'!$C:$C,'Audit Report'!H:H)</f>
        <v>0</v>
      </c>
      <c r="E7">
        <f>_xlfn.XLOOKUP($A7,'Audit Report'!$C:$C,'Audit Report'!X:X)</f>
        <v>0</v>
      </c>
      <c r="F7">
        <f>_xlfn.XLOOKUP($A7,'Audit Report'!$C:$C,'Audit Report'!P:P)</f>
        <v>0</v>
      </c>
    </row>
    <row r="8" spans="1:6">
      <c r="B8">
        <f>_xlfn.XLOOKUP($A8,'Audit Report'!$C:$C,'Audit Report'!D:D)</f>
        <v>0</v>
      </c>
      <c r="C8" t="str">
        <f>_xlfn.XLOOKUP($A8,'Audit Report'!$C:$C,'Audit Report'!G:G)</f>
        <v/>
      </c>
      <c r="D8">
        <f>_xlfn.XLOOKUP($A8,'Audit Report'!$C:$C,'Audit Report'!H:H)</f>
        <v>0</v>
      </c>
      <c r="E8">
        <f>_xlfn.XLOOKUP($A8,'Audit Report'!$C:$C,'Audit Report'!X:X)</f>
        <v>0</v>
      </c>
      <c r="F8">
        <f>_xlfn.XLOOKUP($A8,'Audit Report'!$C:$C,'Audit Report'!P:P)</f>
        <v>0</v>
      </c>
    </row>
    <row r="9" spans="1:6">
      <c r="B9">
        <f>_xlfn.XLOOKUP($A9,'Audit Report'!$C:$C,'Audit Report'!D:D)</f>
        <v>0</v>
      </c>
      <c r="C9" t="str">
        <f>_xlfn.XLOOKUP($A9,'Audit Report'!$C:$C,'Audit Report'!G:G)</f>
        <v/>
      </c>
      <c r="D9">
        <f>_xlfn.XLOOKUP($A9,'Audit Report'!$C:$C,'Audit Report'!H:H)</f>
        <v>0</v>
      </c>
      <c r="E9">
        <f>_xlfn.XLOOKUP($A9,'Audit Report'!$C:$C,'Audit Report'!X:X)</f>
        <v>0</v>
      </c>
      <c r="F9">
        <f>_xlfn.XLOOKUP($A9,'Audit Report'!$C:$C,'Audit Report'!P:P)</f>
        <v>0</v>
      </c>
    </row>
    <row r="10" spans="1:6">
      <c r="B10">
        <f>_xlfn.XLOOKUP($A10,'Audit Report'!$C:$C,'Audit Report'!D:D)</f>
        <v>0</v>
      </c>
      <c r="C10" t="str">
        <f>_xlfn.XLOOKUP($A10,'Audit Report'!$C:$C,'Audit Report'!G:G)</f>
        <v/>
      </c>
      <c r="D10">
        <f>_xlfn.XLOOKUP($A10,'Audit Report'!$C:$C,'Audit Report'!H:H)</f>
        <v>0</v>
      </c>
      <c r="E10">
        <f>_xlfn.XLOOKUP($A10,'Audit Report'!$C:$C,'Audit Report'!X:X)</f>
        <v>0</v>
      </c>
      <c r="F10">
        <f>_xlfn.XLOOKUP($A10,'Audit Report'!$C:$C,'Audit Report'!P:P)</f>
        <v>0</v>
      </c>
    </row>
    <row r="11" spans="1:6">
      <c r="B11">
        <f>_xlfn.XLOOKUP($A11,'Audit Report'!$C:$C,'Audit Report'!D:D)</f>
        <v>0</v>
      </c>
      <c r="C11" t="str">
        <f>_xlfn.XLOOKUP($A11,'Audit Report'!$C:$C,'Audit Report'!G:G)</f>
        <v/>
      </c>
      <c r="D11">
        <f>_xlfn.XLOOKUP($A11,'Audit Report'!$C:$C,'Audit Report'!H:H)</f>
        <v>0</v>
      </c>
      <c r="E11">
        <f>_xlfn.XLOOKUP($A11,'Audit Report'!$C:$C,'Audit Report'!X:X)</f>
        <v>0</v>
      </c>
      <c r="F11">
        <f>_xlfn.XLOOKUP($A11,'Audit Report'!$C:$C,'Audit Report'!P:P)</f>
        <v>0</v>
      </c>
    </row>
    <row r="12" spans="1:6">
      <c r="B12">
        <f>_xlfn.XLOOKUP($A12,'Audit Report'!$C:$C,'Audit Report'!D:D)</f>
        <v>0</v>
      </c>
      <c r="C12" t="str">
        <f>_xlfn.XLOOKUP($A12,'Audit Report'!$C:$C,'Audit Report'!G:G)</f>
        <v/>
      </c>
      <c r="D12">
        <f>_xlfn.XLOOKUP($A12,'Audit Report'!$C:$C,'Audit Report'!H:H)</f>
        <v>0</v>
      </c>
      <c r="E12">
        <f>_xlfn.XLOOKUP($A12,'Audit Report'!$C:$C,'Audit Report'!X:X)</f>
        <v>0</v>
      </c>
      <c r="F12">
        <f>_xlfn.XLOOKUP($A12,'Audit Report'!$C:$C,'Audit Report'!P:P)</f>
        <v>0</v>
      </c>
    </row>
    <row r="13" spans="1:6">
      <c r="B13">
        <f>_xlfn.XLOOKUP($A13,'Audit Report'!$C:$C,'Audit Report'!D:D)</f>
        <v>0</v>
      </c>
      <c r="C13" t="str">
        <f>_xlfn.XLOOKUP($A13,'Audit Report'!$C:$C,'Audit Report'!G:G)</f>
        <v/>
      </c>
      <c r="D13">
        <f>_xlfn.XLOOKUP($A13,'Audit Report'!$C:$C,'Audit Report'!H:H)</f>
        <v>0</v>
      </c>
      <c r="E13">
        <f>_xlfn.XLOOKUP($A13,'Audit Report'!$C:$C,'Audit Report'!X:X)</f>
        <v>0</v>
      </c>
      <c r="F13">
        <f>_xlfn.XLOOKUP($A13,'Audit Report'!$C:$C,'Audit Report'!P:P)</f>
        <v>0</v>
      </c>
    </row>
    <row r="14" spans="1:6">
      <c r="B14">
        <f>_xlfn.XLOOKUP($A14,'Audit Report'!$C:$C,'Audit Report'!D:D)</f>
        <v>0</v>
      </c>
      <c r="C14" t="str">
        <f>_xlfn.XLOOKUP($A14,'Audit Report'!$C:$C,'Audit Report'!G:G)</f>
        <v/>
      </c>
      <c r="D14">
        <f>_xlfn.XLOOKUP($A14,'Audit Report'!$C:$C,'Audit Report'!H:H)</f>
        <v>0</v>
      </c>
      <c r="E14">
        <f>_xlfn.XLOOKUP($A14,'Audit Report'!$C:$C,'Audit Report'!X:X)</f>
        <v>0</v>
      </c>
      <c r="F14">
        <f>_xlfn.XLOOKUP($A14,'Audit Report'!$C:$C,'Audit Report'!P:P)</f>
        <v>0</v>
      </c>
    </row>
    <row r="15" spans="1:6">
      <c r="B15">
        <f>_xlfn.XLOOKUP($A15,'Audit Report'!$C:$C,'Audit Report'!D:D)</f>
        <v>0</v>
      </c>
      <c r="C15" t="str">
        <f>_xlfn.XLOOKUP($A15,'Audit Report'!$C:$C,'Audit Report'!G:G)</f>
        <v/>
      </c>
      <c r="D15">
        <f>_xlfn.XLOOKUP($A15,'Audit Report'!$C:$C,'Audit Report'!H:H)</f>
        <v>0</v>
      </c>
      <c r="E15">
        <f>_xlfn.XLOOKUP($A15,'Audit Report'!$C:$C,'Audit Report'!X:X)</f>
        <v>0</v>
      </c>
      <c r="F15">
        <f>_xlfn.XLOOKUP($A15,'Audit Report'!$C:$C,'Audit Report'!P:P)</f>
        <v>0</v>
      </c>
    </row>
    <row r="16" spans="1:6">
      <c r="B16">
        <f>_xlfn.XLOOKUP($A16,'Audit Report'!$C:$C,'Audit Report'!D:D)</f>
        <v>0</v>
      </c>
      <c r="C16" t="str">
        <f>_xlfn.XLOOKUP($A16,'Audit Report'!$C:$C,'Audit Report'!G:G)</f>
        <v/>
      </c>
      <c r="D16">
        <f>_xlfn.XLOOKUP($A16,'Audit Report'!$C:$C,'Audit Report'!H:H)</f>
        <v>0</v>
      </c>
      <c r="E16">
        <f>_xlfn.XLOOKUP($A16,'Audit Report'!$C:$C,'Audit Report'!X:X)</f>
        <v>0</v>
      </c>
      <c r="F16">
        <f>_xlfn.XLOOKUP($A16,'Audit Report'!$C:$C,'Audit Report'!P:P)</f>
        <v>0</v>
      </c>
    </row>
    <row r="17" spans="2:6">
      <c r="B17">
        <f>_xlfn.XLOOKUP($A17,'Audit Report'!$C:$C,'Audit Report'!D:D)</f>
        <v>0</v>
      </c>
      <c r="C17" t="str">
        <f>_xlfn.XLOOKUP($A17,'Audit Report'!$C:$C,'Audit Report'!G:G)</f>
        <v/>
      </c>
      <c r="D17">
        <f>_xlfn.XLOOKUP($A17,'Audit Report'!$C:$C,'Audit Report'!H:H)</f>
        <v>0</v>
      </c>
      <c r="E17">
        <f>_xlfn.XLOOKUP($A17,'Audit Report'!$C:$C,'Audit Report'!X:X)</f>
        <v>0</v>
      </c>
      <c r="F17">
        <f>_xlfn.XLOOKUP($A17,'Audit Report'!$C:$C,'Audit Report'!P:P)</f>
        <v>0</v>
      </c>
    </row>
    <row r="18" spans="2:6">
      <c r="B18">
        <f>_xlfn.XLOOKUP($A18,'Audit Report'!$C:$C,'Audit Report'!D:D)</f>
        <v>0</v>
      </c>
      <c r="C18" t="str">
        <f>_xlfn.XLOOKUP($A18,'Audit Report'!$C:$C,'Audit Report'!G:G)</f>
        <v/>
      </c>
      <c r="D18">
        <f>_xlfn.XLOOKUP($A18,'Audit Report'!$C:$C,'Audit Report'!H:H)</f>
        <v>0</v>
      </c>
      <c r="E18">
        <f>_xlfn.XLOOKUP($A18,'Audit Report'!$C:$C,'Audit Report'!X:X)</f>
        <v>0</v>
      </c>
      <c r="F18">
        <f>_xlfn.XLOOKUP($A18,'Audit Report'!$C:$C,'Audit Report'!P:P)</f>
        <v>0</v>
      </c>
    </row>
    <row r="19" spans="2:6">
      <c r="B19">
        <f>_xlfn.XLOOKUP($A19,'Audit Report'!$C:$C,'Audit Report'!D:D)</f>
        <v>0</v>
      </c>
      <c r="C19" t="str">
        <f>_xlfn.XLOOKUP($A19,'Audit Report'!$C:$C,'Audit Report'!G:G)</f>
        <v/>
      </c>
      <c r="D19">
        <f>_xlfn.XLOOKUP($A19,'Audit Report'!$C:$C,'Audit Report'!H:H)</f>
        <v>0</v>
      </c>
      <c r="E19">
        <f>_xlfn.XLOOKUP($A19,'Audit Report'!$C:$C,'Audit Report'!X:X)</f>
        <v>0</v>
      </c>
      <c r="F19">
        <f>_xlfn.XLOOKUP($A19,'Audit Report'!$C:$C,'Audit Report'!P:P)</f>
        <v>0</v>
      </c>
    </row>
    <row r="20" spans="2:6">
      <c r="B20">
        <f>_xlfn.XLOOKUP($A20,'Audit Report'!$C:$C,'Audit Report'!D:D)</f>
        <v>0</v>
      </c>
      <c r="C20" t="str">
        <f>_xlfn.XLOOKUP($A20,'Audit Report'!$C:$C,'Audit Report'!G:G)</f>
        <v/>
      </c>
      <c r="D20">
        <f>_xlfn.XLOOKUP($A20,'Audit Report'!$C:$C,'Audit Report'!H:H)</f>
        <v>0</v>
      </c>
      <c r="E20">
        <f>_xlfn.XLOOKUP($A20,'Audit Report'!$C:$C,'Audit Report'!X:X)</f>
        <v>0</v>
      </c>
      <c r="F20">
        <f>_xlfn.XLOOKUP($A20,'Audit Report'!$C:$C,'Audit Report'!P:P)</f>
        <v>0</v>
      </c>
    </row>
    <row r="21" spans="2:6">
      <c r="B21">
        <f>_xlfn.XLOOKUP($A21,'Audit Report'!$C:$C,'Audit Report'!D:D)</f>
        <v>0</v>
      </c>
      <c r="C21" t="str">
        <f>_xlfn.XLOOKUP($A21,'Audit Report'!$C:$C,'Audit Report'!G:G)</f>
        <v/>
      </c>
      <c r="D21">
        <f>_xlfn.XLOOKUP($A21,'Audit Report'!$C:$C,'Audit Report'!H:H)</f>
        <v>0</v>
      </c>
      <c r="E21">
        <f>_xlfn.XLOOKUP($A21,'Audit Report'!$C:$C,'Audit Report'!X:X)</f>
        <v>0</v>
      </c>
      <c r="F21">
        <f>_xlfn.XLOOKUP($A21,'Audit Report'!$C:$C,'Audit Report'!P:P)</f>
        <v>0</v>
      </c>
    </row>
    <row r="22" spans="2:6">
      <c r="B22">
        <f>_xlfn.XLOOKUP($A22,'Audit Report'!$C:$C,'Audit Report'!D:D)</f>
        <v>0</v>
      </c>
      <c r="C22" t="str">
        <f>_xlfn.XLOOKUP($A22,'Audit Report'!$C:$C,'Audit Report'!G:G)</f>
        <v/>
      </c>
      <c r="D22">
        <f>_xlfn.XLOOKUP($A22,'Audit Report'!$C:$C,'Audit Report'!H:H)</f>
        <v>0</v>
      </c>
      <c r="E22">
        <f>_xlfn.XLOOKUP($A22,'Audit Report'!$C:$C,'Audit Report'!X:X)</f>
        <v>0</v>
      </c>
      <c r="F22">
        <f>_xlfn.XLOOKUP($A22,'Audit Report'!$C:$C,'Audit Report'!P:P)</f>
        <v>0</v>
      </c>
    </row>
    <row r="23" spans="2:6">
      <c r="B23">
        <f>_xlfn.XLOOKUP($A23,'Audit Report'!$C:$C,'Audit Report'!D:D)</f>
        <v>0</v>
      </c>
      <c r="C23" t="str">
        <f>_xlfn.XLOOKUP($A23,'Audit Report'!$C:$C,'Audit Report'!G:G)</f>
        <v/>
      </c>
      <c r="D23">
        <f>_xlfn.XLOOKUP($A23,'Audit Report'!$C:$C,'Audit Report'!H:H)</f>
        <v>0</v>
      </c>
      <c r="E23">
        <f>_xlfn.XLOOKUP($A23,'Audit Report'!$C:$C,'Audit Report'!X:X)</f>
        <v>0</v>
      </c>
      <c r="F23">
        <f>_xlfn.XLOOKUP($A23,'Audit Report'!$C:$C,'Audit Report'!P:P)</f>
        <v>0</v>
      </c>
    </row>
    <row r="24" spans="2:6">
      <c r="B24">
        <f>_xlfn.XLOOKUP($A24,'Audit Report'!$C:$C,'Audit Report'!D:D)</f>
        <v>0</v>
      </c>
      <c r="C24" t="str">
        <f>_xlfn.XLOOKUP($A24,'Audit Report'!$C:$C,'Audit Report'!G:G)</f>
        <v/>
      </c>
      <c r="D24">
        <f>_xlfn.XLOOKUP($A24,'Audit Report'!$C:$C,'Audit Report'!H:H)</f>
        <v>0</v>
      </c>
      <c r="E24">
        <f>_xlfn.XLOOKUP($A24,'Audit Report'!$C:$C,'Audit Report'!X:X)</f>
        <v>0</v>
      </c>
      <c r="F24">
        <f>_xlfn.XLOOKUP($A24,'Audit Report'!$C:$C,'Audit Report'!P:P)</f>
        <v>0</v>
      </c>
    </row>
    <row r="25" spans="2:6">
      <c r="B25">
        <f>_xlfn.XLOOKUP($A25,'Audit Report'!$C:$C,'Audit Report'!D:D)</f>
        <v>0</v>
      </c>
      <c r="C25" t="str">
        <f>_xlfn.XLOOKUP($A25,'Audit Report'!$C:$C,'Audit Report'!G:G)</f>
        <v/>
      </c>
      <c r="D25">
        <f>_xlfn.XLOOKUP($A25,'Audit Report'!$C:$C,'Audit Report'!H:H)</f>
        <v>0</v>
      </c>
      <c r="E25">
        <f>_xlfn.XLOOKUP($A25,'Audit Report'!$C:$C,'Audit Report'!X:X)</f>
        <v>0</v>
      </c>
      <c r="F25">
        <f>_xlfn.XLOOKUP($A25,'Audit Report'!$C:$C,'Audit Report'!P:P)</f>
        <v>0</v>
      </c>
    </row>
    <row r="26" spans="2:6">
      <c r="B26">
        <f>_xlfn.XLOOKUP($A26,'Audit Report'!$C:$C,'Audit Report'!D:D)</f>
        <v>0</v>
      </c>
      <c r="C26" t="str">
        <f>_xlfn.XLOOKUP($A26,'Audit Report'!$C:$C,'Audit Report'!G:G)</f>
        <v/>
      </c>
      <c r="D26">
        <f>_xlfn.XLOOKUP($A26,'Audit Report'!$C:$C,'Audit Report'!H:H)</f>
        <v>0</v>
      </c>
      <c r="E26">
        <f>_xlfn.XLOOKUP($A26,'Audit Report'!$C:$C,'Audit Report'!X:X)</f>
        <v>0</v>
      </c>
      <c r="F26">
        <f>_xlfn.XLOOKUP($A26,'Audit Report'!$C:$C,'Audit Report'!P:P)</f>
        <v>0</v>
      </c>
    </row>
    <row r="27" spans="2:6">
      <c r="B27">
        <f>_xlfn.XLOOKUP($A27,'Audit Report'!$C:$C,'Audit Report'!D:D)</f>
        <v>0</v>
      </c>
      <c r="C27" t="str">
        <f>_xlfn.XLOOKUP($A27,'Audit Report'!$C:$C,'Audit Report'!G:G)</f>
        <v/>
      </c>
      <c r="D27">
        <f>_xlfn.XLOOKUP($A27,'Audit Report'!$C:$C,'Audit Report'!H:H)</f>
        <v>0</v>
      </c>
      <c r="E27">
        <f>_xlfn.XLOOKUP($A27,'Audit Report'!$C:$C,'Audit Report'!X:X)</f>
        <v>0</v>
      </c>
      <c r="F27">
        <f>_xlfn.XLOOKUP($A27,'Audit Report'!$C:$C,'Audit Report'!P:P)</f>
        <v>0</v>
      </c>
    </row>
    <row r="28" spans="2:6">
      <c r="B28">
        <f>_xlfn.XLOOKUP($A28,'Audit Report'!$C:$C,'Audit Report'!D:D)</f>
        <v>0</v>
      </c>
      <c r="C28" t="str">
        <f>_xlfn.XLOOKUP($A28,'Audit Report'!$C:$C,'Audit Report'!G:G)</f>
        <v/>
      </c>
      <c r="D28">
        <f>_xlfn.XLOOKUP($A28,'Audit Report'!$C:$C,'Audit Report'!H:H)</f>
        <v>0</v>
      </c>
      <c r="E28">
        <f>_xlfn.XLOOKUP($A28,'Audit Report'!$C:$C,'Audit Report'!X:X)</f>
        <v>0</v>
      </c>
      <c r="F28">
        <f>_xlfn.XLOOKUP($A28,'Audit Report'!$C:$C,'Audit Report'!P:P)</f>
        <v>0</v>
      </c>
    </row>
    <row r="29" spans="2:6">
      <c r="B29">
        <f>_xlfn.XLOOKUP($A29,'Audit Report'!$C:$C,'Audit Report'!D:D)</f>
        <v>0</v>
      </c>
      <c r="C29" t="str">
        <f>_xlfn.XLOOKUP($A29,'Audit Report'!$C:$C,'Audit Report'!G:G)</f>
        <v/>
      </c>
      <c r="D29">
        <f>_xlfn.XLOOKUP($A29,'Audit Report'!$C:$C,'Audit Report'!H:H)</f>
        <v>0</v>
      </c>
      <c r="E29">
        <f>_xlfn.XLOOKUP($A29,'Audit Report'!$C:$C,'Audit Report'!X:X)</f>
        <v>0</v>
      </c>
      <c r="F29">
        <f>_xlfn.XLOOKUP($A29,'Audit Report'!$C:$C,'Audit Report'!P:P)</f>
        <v>0</v>
      </c>
    </row>
    <row r="30" spans="2:6">
      <c r="B30">
        <f>_xlfn.XLOOKUP($A30,'Audit Report'!$C:$C,'Audit Report'!D:D)</f>
        <v>0</v>
      </c>
      <c r="C30" t="str">
        <f>_xlfn.XLOOKUP($A30,'Audit Report'!$C:$C,'Audit Report'!G:G)</f>
        <v/>
      </c>
      <c r="D30">
        <f>_xlfn.XLOOKUP($A30,'Audit Report'!$C:$C,'Audit Report'!H:H)</f>
        <v>0</v>
      </c>
      <c r="E30">
        <f>_xlfn.XLOOKUP($A30,'Audit Report'!$C:$C,'Audit Report'!X:X)</f>
        <v>0</v>
      </c>
      <c r="F30">
        <f>_xlfn.XLOOKUP($A30,'Audit Report'!$C:$C,'Audit Report'!P:P)</f>
        <v>0</v>
      </c>
    </row>
    <row r="31" spans="2:6">
      <c r="B31">
        <f>_xlfn.XLOOKUP($A31,'Audit Report'!$C:$C,'Audit Report'!D:D)</f>
        <v>0</v>
      </c>
      <c r="C31" t="str">
        <f>_xlfn.XLOOKUP($A31,'Audit Report'!$C:$C,'Audit Report'!G:G)</f>
        <v/>
      </c>
      <c r="D31">
        <f>_xlfn.XLOOKUP($A31,'Audit Report'!$C:$C,'Audit Report'!H:H)</f>
        <v>0</v>
      </c>
      <c r="E31">
        <f>_xlfn.XLOOKUP($A31,'Audit Report'!$C:$C,'Audit Report'!X:X)</f>
        <v>0</v>
      </c>
      <c r="F31">
        <f>_xlfn.XLOOKUP($A31,'Audit Report'!$C:$C,'Audit Report'!P:P)</f>
        <v>0</v>
      </c>
    </row>
    <row r="32" spans="2:6">
      <c r="B32">
        <f>_xlfn.XLOOKUP($A32,'Audit Report'!$C:$C,'Audit Report'!D:D)</f>
        <v>0</v>
      </c>
      <c r="C32" t="str">
        <f>_xlfn.XLOOKUP($A32,'Audit Report'!$C:$C,'Audit Report'!G:G)</f>
        <v/>
      </c>
      <c r="D32">
        <f>_xlfn.XLOOKUP($A32,'Audit Report'!$C:$C,'Audit Report'!H:H)</f>
        <v>0</v>
      </c>
      <c r="E32">
        <f>_xlfn.XLOOKUP($A32,'Audit Report'!$C:$C,'Audit Report'!X:X)</f>
        <v>0</v>
      </c>
      <c r="F32">
        <f>_xlfn.XLOOKUP($A32,'Audit Report'!$C:$C,'Audit Report'!P:P)</f>
        <v>0</v>
      </c>
    </row>
    <row r="33" spans="2:6">
      <c r="B33">
        <f>_xlfn.XLOOKUP($A33,'Audit Report'!$C:$C,'Audit Report'!D:D)</f>
        <v>0</v>
      </c>
      <c r="C33" t="str">
        <f>_xlfn.XLOOKUP($A33,'Audit Report'!$C:$C,'Audit Report'!G:G)</f>
        <v/>
      </c>
      <c r="D33">
        <f>_xlfn.XLOOKUP($A33,'Audit Report'!$C:$C,'Audit Report'!H:H)</f>
        <v>0</v>
      </c>
      <c r="E33">
        <f>_xlfn.XLOOKUP($A33,'Audit Report'!$C:$C,'Audit Report'!X:X)</f>
        <v>0</v>
      </c>
      <c r="F33">
        <f>_xlfn.XLOOKUP($A33,'Audit Report'!$C:$C,'Audit Report'!P:P)</f>
        <v>0</v>
      </c>
    </row>
    <row r="34" spans="2:6">
      <c r="B34">
        <f>_xlfn.XLOOKUP($A34,'Audit Report'!$C:$C,'Audit Report'!D:D)</f>
        <v>0</v>
      </c>
      <c r="C34" t="str">
        <f>_xlfn.XLOOKUP($A34,'Audit Report'!$C:$C,'Audit Report'!G:G)</f>
        <v/>
      </c>
      <c r="D34">
        <f>_xlfn.XLOOKUP($A34,'Audit Report'!$C:$C,'Audit Report'!H:H)</f>
        <v>0</v>
      </c>
      <c r="E34">
        <f>_xlfn.XLOOKUP($A34,'Audit Report'!$C:$C,'Audit Report'!X:X)</f>
        <v>0</v>
      </c>
      <c r="F34">
        <f>_xlfn.XLOOKUP($A34,'Audit Report'!$C:$C,'Audit Report'!P:P)</f>
        <v>0</v>
      </c>
    </row>
    <row r="35" spans="2:6">
      <c r="B35">
        <f>_xlfn.XLOOKUP($A35,'Audit Report'!$C:$C,'Audit Report'!D:D)</f>
        <v>0</v>
      </c>
      <c r="C35" t="str">
        <f>_xlfn.XLOOKUP($A35,'Audit Report'!$C:$C,'Audit Report'!G:G)</f>
        <v/>
      </c>
      <c r="D35">
        <f>_xlfn.XLOOKUP($A35,'Audit Report'!$C:$C,'Audit Report'!H:H)</f>
        <v>0</v>
      </c>
      <c r="E35">
        <f>_xlfn.XLOOKUP($A35,'Audit Report'!$C:$C,'Audit Report'!X:X)</f>
        <v>0</v>
      </c>
      <c r="F35">
        <f>_xlfn.XLOOKUP($A35,'Audit Report'!$C:$C,'Audit Report'!P:P)</f>
        <v>0</v>
      </c>
    </row>
    <row r="36" spans="2:6">
      <c r="B36">
        <f>_xlfn.XLOOKUP($A36,'Audit Report'!$C:$C,'Audit Report'!D:D)</f>
        <v>0</v>
      </c>
      <c r="C36" t="str">
        <f>_xlfn.XLOOKUP($A36,'Audit Report'!$C:$C,'Audit Report'!G:G)</f>
        <v/>
      </c>
      <c r="D36">
        <f>_xlfn.XLOOKUP($A36,'Audit Report'!$C:$C,'Audit Report'!H:H)</f>
        <v>0</v>
      </c>
      <c r="E36">
        <f>_xlfn.XLOOKUP($A36,'Audit Report'!$C:$C,'Audit Report'!X:X)</f>
        <v>0</v>
      </c>
      <c r="F36">
        <f>_xlfn.XLOOKUP($A36,'Audit Report'!$C:$C,'Audit Report'!P:P)</f>
        <v>0</v>
      </c>
    </row>
    <row r="37" spans="2:6">
      <c r="B37">
        <f>_xlfn.XLOOKUP($A37,'Audit Report'!$C:$C,'Audit Report'!D:D)</f>
        <v>0</v>
      </c>
      <c r="C37" t="str">
        <f>_xlfn.XLOOKUP($A37,'Audit Report'!$C:$C,'Audit Report'!G:G)</f>
        <v/>
      </c>
      <c r="D37">
        <f>_xlfn.XLOOKUP($A37,'Audit Report'!$C:$C,'Audit Report'!H:H)</f>
        <v>0</v>
      </c>
      <c r="E37">
        <f>_xlfn.XLOOKUP($A37,'Audit Report'!$C:$C,'Audit Report'!X:X)</f>
        <v>0</v>
      </c>
      <c r="F37">
        <f>_xlfn.XLOOKUP($A37,'Audit Report'!$C:$C,'Audit Report'!P:P)</f>
        <v>0</v>
      </c>
    </row>
    <row r="38" spans="2:6">
      <c r="B38">
        <f>_xlfn.XLOOKUP($A38,'Audit Report'!$C:$C,'Audit Report'!D:D)</f>
        <v>0</v>
      </c>
      <c r="C38" t="str">
        <f>_xlfn.XLOOKUP($A38,'Audit Report'!$C:$C,'Audit Report'!G:G)</f>
        <v/>
      </c>
      <c r="D38">
        <f>_xlfn.XLOOKUP($A38,'Audit Report'!$C:$C,'Audit Report'!H:H)</f>
        <v>0</v>
      </c>
      <c r="E38">
        <f>_xlfn.XLOOKUP($A38,'Audit Report'!$C:$C,'Audit Report'!X:X)</f>
        <v>0</v>
      </c>
      <c r="F38">
        <f>_xlfn.XLOOKUP($A38,'Audit Report'!$C:$C,'Audit Report'!P:P)</f>
        <v>0</v>
      </c>
    </row>
    <row r="39" spans="2:6">
      <c r="B39">
        <f>_xlfn.XLOOKUP($A39,'Audit Report'!$C:$C,'Audit Report'!D:D)</f>
        <v>0</v>
      </c>
      <c r="C39" t="str">
        <f>_xlfn.XLOOKUP($A39,'Audit Report'!$C:$C,'Audit Report'!G:G)</f>
        <v/>
      </c>
      <c r="D39">
        <f>_xlfn.XLOOKUP($A39,'Audit Report'!$C:$C,'Audit Report'!H:H)</f>
        <v>0</v>
      </c>
      <c r="E39">
        <f>_xlfn.XLOOKUP($A39,'Audit Report'!$C:$C,'Audit Report'!X:X)</f>
        <v>0</v>
      </c>
      <c r="F39">
        <f>_xlfn.XLOOKUP($A39,'Audit Report'!$C:$C,'Audit Report'!P:P)</f>
        <v>0</v>
      </c>
    </row>
    <row r="40" spans="2:6">
      <c r="B40">
        <f>_xlfn.XLOOKUP($A40,'Audit Report'!$C:$C,'Audit Report'!D:D)</f>
        <v>0</v>
      </c>
      <c r="C40" t="str">
        <f>_xlfn.XLOOKUP($A40,'Audit Report'!$C:$C,'Audit Report'!G:G)</f>
        <v/>
      </c>
      <c r="D40">
        <f>_xlfn.XLOOKUP($A40,'Audit Report'!$C:$C,'Audit Report'!H:H)</f>
        <v>0</v>
      </c>
      <c r="E40">
        <f>_xlfn.XLOOKUP($A40,'Audit Report'!$C:$C,'Audit Report'!X:X)</f>
        <v>0</v>
      </c>
      <c r="F40">
        <f>_xlfn.XLOOKUP($A40,'Audit Report'!$C:$C,'Audit Report'!P:P)</f>
        <v>0</v>
      </c>
    </row>
    <row r="41" spans="2:6">
      <c r="B41">
        <f>_xlfn.XLOOKUP($A41,'Audit Report'!$C:$C,'Audit Report'!D:D)</f>
        <v>0</v>
      </c>
      <c r="C41" t="str">
        <f>_xlfn.XLOOKUP($A41,'Audit Report'!$C:$C,'Audit Report'!G:G)</f>
        <v/>
      </c>
      <c r="D41">
        <f>_xlfn.XLOOKUP($A41,'Audit Report'!$C:$C,'Audit Report'!H:H)</f>
        <v>0</v>
      </c>
      <c r="E41">
        <f>_xlfn.XLOOKUP($A41,'Audit Report'!$C:$C,'Audit Report'!X:X)</f>
        <v>0</v>
      </c>
      <c r="F41">
        <f>_xlfn.XLOOKUP($A41,'Audit Report'!$C:$C,'Audit Report'!P:P)</f>
        <v>0</v>
      </c>
    </row>
    <row r="42" spans="2:6">
      <c r="B42">
        <f>_xlfn.XLOOKUP($A42,'Audit Report'!$C:$C,'Audit Report'!D:D)</f>
        <v>0</v>
      </c>
      <c r="C42" t="str">
        <f>_xlfn.XLOOKUP($A42,'Audit Report'!$C:$C,'Audit Report'!G:G)</f>
        <v/>
      </c>
      <c r="D42">
        <f>_xlfn.XLOOKUP($A42,'Audit Report'!$C:$C,'Audit Report'!H:H)</f>
        <v>0</v>
      </c>
      <c r="E42">
        <f>_xlfn.XLOOKUP($A42,'Audit Report'!$C:$C,'Audit Report'!X:X)</f>
        <v>0</v>
      </c>
      <c r="F42">
        <f>_xlfn.XLOOKUP($A42,'Audit Report'!$C:$C,'Audit Report'!P:P)</f>
        <v>0</v>
      </c>
    </row>
    <row r="43" spans="2:6">
      <c r="B43">
        <f>_xlfn.XLOOKUP($A43,'Audit Report'!$C:$C,'Audit Report'!D:D)</f>
        <v>0</v>
      </c>
      <c r="C43" t="str">
        <f>_xlfn.XLOOKUP($A43,'Audit Report'!$C:$C,'Audit Report'!G:G)</f>
        <v/>
      </c>
      <c r="D43">
        <f>_xlfn.XLOOKUP($A43,'Audit Report'!$C:$C,'Audit Report'!H:H)</f>
        <v>0</v>
      </c>
      <c r="E43">
        <f>_xlfn.XLOOKUP($A43,'Audit Report'!$C:$C,'Audit Report'!X:X)</f>
        <v>0</v>
      </c>
      <c r="F43">
        <f>_xlfn.XLOOKUP($A43,'Audit Report'!$C:$C,'Audit Report'!P:P)</f>
        <v>0</v>
      </c>
    </row>
    <row r="44" spans="2:6">
      <c r="B44">
        <f>_xlfn.XLOOKUP($A44,'Audit Report'!$C:$C,'Audit Report'!D:D)</f>
        <v>0</v>
      </c>
      <c r="C44" t="str">
        <f>_xlfn.XLOOKUP($A44,'Audit Report'!$C:$C,'Audit Report'!G:G)</f>
        <v/>
      </c>
      <c r="D44">
        <f>_xlfn.XLOOKUP($A44,'Audit Report'!$C:$C,'Audit Report'!H:H)</f>
        <v>0</v>
      </c>
      <c r="E44">
        <f>_xlfn.XLOOKUP($A44,'Audit Report'!$C:$C,'Audit Report'!X:X)</f>
        <v>0</v>
      </c>
      <c r="F44">
        <f>_xlfn.XLOOKUP($A44,'Audit Report'!$C:$C,'Audit Report'!P:P)</f>
        <v>0</v>
      </c>
    </row>
    <row r="45" spans="2:6">
      <c r="B45">
        <f>_xlfn.XLOOKUP($A45,'Audit Report'!$C:$C,'Audit Report'!D:D)</f>
        <v>0</v>
      </c>
      <c r="C45" t="str">
        <f>_xlfn.XLOOKUP($A45,'Audit Report'!$C:$C,'Audit Report'!G:G)</f>
        <v/>
      </c>
      <c r="D45">
        <f>_xlfn.XLOOKUP($A45,'Audit Report'!$C:$C,'Audit Report'!H:H)</f>
        <v>0</v>
      </c>
      <c r="E45">
        <f>_xlfn.XLOOKUP($A45,'Audit Report'!$C:$C,'Audit Report'!X:X)</f>
        <v>0</v>
      </c>
      <c r="F45">
        <f>_xlfn.XLOOKUP($A45,'Audit Report'!$C:$C,'Audit Report'!P:P)</f>
        <v>0</v>
      </c>
    </row>
    <row r="46" spans="2:6">
      <c r="B46">
        <f>_xlfn.XLOOKUP($A46,'Audit Report'!$C:$C,'Audit Report'!D:D)</f>
        <v>0</v>
      </c>
      <c r="C46" t="str">
        <f>_xlfn.XLOOKUP($A46,'Audit Report'!$C:$C,'Audit Report'!G:G)</f>
        <v/>
      </c>
      <c r="D46">
        <f>_xlfn.XLOOKUP($A46,'Audit Report'!$C:$C,'Audit Report'!H:H)</f>
        <v>0</v>
      </c>
      <c r="E46">
        <f>_xlfn.XLOOKUP($A46,'Audit Report'!$C:$C,'Audit Report'!X:X)</f>
        <v>0</v>
      </c>
      <c r="F46">
        <f>_xlfn.XLOOKUP($A46,'Audit Report'!$C:$C,'Audit Report'!P:P)</f>
        <v>0</v>
      </c>
    </row>
    <row r="47" spans="2:6">
      <c r="B47">
        <f>_xlfn.XLOOKUP($A47,'Audit Report'!$C:$C,'Audit Report'!D:D)</f>
        <v>0</v>
      </c>
      <c r="C47" t="str">
        <f>_xlfn.XLOOKUP($A47,'Audit Report'!$C:$C,'Audit Report'!G:G)</f>
        <v/>
      </c>
      <c r="D47">
        <f>_xlfn.XLOOKUP($A47,'Audit Report'!$C:$C,'Audit Report'!H:H)</f>
        <v>0</v>
      </c>
      <c r="E47">
        <f>_xlfn.XLOOKUP($A47,'Audit Report'!$C:$C,'Audit Report'!X:X)</f>
        <v>0</v>
      </c>
      <c r="F47">
        <f>_xlfn.XLOOKUP($A47,'Audit Report'!$C:$C,'Audit Report'!P:P)</f>
        <v>0</v>
      </c>
    </row>
    <row r="48" spans="2:6">
      <c r="B48">
        <f>_xlfn.XLOOKUP($A48,'Audit Report'!$C:$C,'Audit Report'!D:D)</f>
        <v>0</v>
      </c>
      <c r="C48" t="str">
        <f>_xlfn.XLOOKUP($A48,'Audit Report'!$C:$C,'Audit Report'!G:G)</f>
        <v/>
      </c>
      <c r="D48">
        <f>_xlfn.XLOOKUP($A48,'Audit Report'!$C:$C,'Audit Report'!H:H)</f>
        <v>0</v>
      </c>
      <c r="E48">
        <f>_xlfn.XLOOKUP($A48,'Audit Report'!$C:$C,'Audit Report'!X:X)</f>
        <v>0</v>
      </c>
      <c r="F48">
        <f>_xlfn.XLOOKUP($A48,'Audit Report'!$C:$C,'Audit Report'!P:P)</f>
        <v>0</v>
      </c>
    </row>
    <row r="49" spans="2:6">
      <c r="B49">
        <f>_xlfn.XLOOKUP($A49,'Audit Report'!$C:$C,'Audit Report'!D:D)</f>
        <v>0</v>
      </c>
      <c r="C49" t="str">
        <f>_xlfn.XLOOKUP($A49,'Audit Report'!$C:$C,'Audit Report'!G:G)</f>
        <v/>
      </c>
      <c r="D49">
        <f>_xlfn.XLOOKUP($A49,'Audit Report'!$C:$C,'Audit Report'!H:H)</f>
        <v>0</v>
      </c>
      <c r="E49">
        <f>_xlfn.XLOOKUP($A49,'Audit Report'!$C:$C,'Audit Report'!X:X)</f>
        <v>0</v>
      </c>
      <c r="F49">
        <f>_xlfn.XLOOKUP($A49,'Audit Report'!$C:$C,'Audit Report'!P:P)</f>
        <v>0</v>
      </c>
    </row>
    <row r="50" spans="2:6">
      <c r="B50">
        <f>_xlfn.XLOOKUP($A50,'Audit Report'!$C:$C,'Audit Report'!D:D)</f>
        <v>0</v>
      </c>
      <c r="C50" t="str">
        <f>_xlfn.XLOOKUP($A50,'Audit Report'!$C:$C,'Audit Report'!G:G)</f>
        <v/>
      </c>
      <c r="D50">
        <f>_xlfn.XLOOKUP($A50,'Audit Report'!$C:$C,'Audit Report'!H:H)</f>
        <v>0</v>
      </c>
      <c r="E50">
        <f>_xlfn.XLOOKUP($A50,'Audit Report'!$C:$C,'Audit Report'!X:X)</f>
        <v>0</v>
      </c>
      <c r="F50">
        <f>_xlfn.XLOOKUP($A50,'Audit Report'!$C:$C,'Audit Report'!P:P)</f>
        <v>0</v>
      </c>
    </row>
    <row r="51" spans="2:6">
      <c r="B51">
        <f>_xlfn.XLOOKUP($A51,'Audit Report'!$C:$C,'Audit Report'!D:D)</f>
        <v>0</v>
      </c>
      <c r="C51" t="str">
        <f>_xlfn.XLOOKUP($A51,'Audit Report'!$C:$C,'Audit Report'!G:G)</f>
        <v/>
      </c>
      <c r="D51">
        <f>_xlfn.XLOOKUP($A51,'Audit Report'!$C:$C,'Audit Report'!H:H)</f>
        <v>0</v>
      </c>
      <c r="E51">
        <f>_xlfn.XLOOKUP($A51,'Audit Report'!$C:$C,'Audit Report'!X:X)</f>
        <v>0</v>
      </c>
      <c r="F51">
        <f>_xlfn.XLOOKUP($A51,'Audit Report'!$C:$C,'Audit Report'!P:P)</f>
        <v>0</v>
      </c>
    </row>
    <row r="52" spans="2:6">
      <c r="B52">
        <f>_xlfn.XLOOKUP($A52,'Audit Report'!$C:$C,'Audit Report'!D:D)</f>
        <v>0</v>
      </c>
      <c r="C52" t="str">
        <f>_xlfn.XLOOKUP($A52,'Audit Report'!$C:$C,'Audit Report'!G:G)</f>
        <v/>
      </c>
      <c r="D52">
        <f>_xlfn.XLOOKUP($A52,'Audit Report'!$C:$C,'Audit Report'!H:H)</f>
        <v>0</v>
      </c>
      <c r="E52">
        <f>_xlfn.XLOOKUP($A52,'Audit Report'!$C:$C,'Audit Report'!X:X)</f>
        <v>0</v>
      </c>
      <c r="F52">
        <f>_xlfn.XLOOKUP($A52,'Audit Report'!$C:$C,'Audit Report'!P:P)</f>
        <v>0</v>
      </c>
    </row>
    <row r="53" spans="2:6">
      <c r="B53">
        <f>_xlfn.XLOOKUP($A53,'Audit Report'!$C:$C,'Audit Report'!D:D)</f>
        <v>0</v>
      </c>
      <c r="C53" t="str">
        <f>_xlfn.XLOOKUP($A53,'Audit Report'!$C:$C,'Audit Report'!G:G)</f>
        <v/>
      </c>
      <c r="D53">
        <f>_xlfn.XLOOKUP($A53,'Audit Report'!$C:$C,'Audit Report'!H:H)</f>
        <v>0</v>
      </c>
      <c r="E53">
        <f>_xlfn.XLOOKUP($A53,'Audit Report'!$C:$C,'Audit Report'!X:X)</f>
        <v>0</v>
      </c>
      <c r="F53">
        <f>_xlfn.XLOOKUP($A53,'Audit Report'!$C:$C,'Audit Report'!P:P)</f>
        <v>0</v>
      </c>
    </row>
    <row r="54" spans="2:6">
      <c r="B54">
        <f>_xlfn.XLOOKUP($A54,'Audit Report'!$C:$C,'Audit Report'!D:D)</f>
        <v>0</v>
      </c>
      <c r="C54" t="str">
        <f>_xlfn.XLOOKUP($A54,'Audit Report'!$C:$C,'Audit Report'!G:G)</f>
        <v/>
      </c>
      <c r="D54">
        <f>_xlfn.XLOOKUP($A54,'Audit Report'!$C:$C,'Audit Report'!H:H)</f>
        <v>0</v>
      </c>
      <c r="E54">
        <f>_xlfn.XLOOKUP($A54,'Audit Report'!$C:$C,'Audit Report'!X:X)</f>
        <v>0</v>
      </c>
      <c r="F54">
        <f>_xlfn.XLOOKUP($A54,'Audit Report'!$C:$C,'Audit Report'!P:P)</f>
        <v>0</v>
      </c>
    </row>
    <row r="55" spans="2:6">
      <c r="B55">
        <f>_xlfn.XLOOKUP($A55,'Audit Report'!$C:$C,'Audit Report'!D:D)</f>
        <v>0</v>
      </c>
      <c r="C55" t="str">
        <f>_xlfn.XLOOKUP($A55,'Audit Report'!$C:$C,'Audit Report'!G:G)</f>
        <v/>
      </c>
      <c r="D55">
        <f>_xlfn.XLOOKUP($A55,'Audit Report'!$C:$C,'Audit Report'!H:H)</f>
        <v>0</v>
      </c>
      <c r="E55">
        <f>_xlfn.XLOOKUP($A55,'Audit Report'!$C:$C,'Audit Report'!X:X)</f>
        <v>0</v>
      </c>
      <c r="F55">
        <f>_xlfn.XLOOKUP($A55,'Audit Report'!$C:$C,'Audit Report'!P:P)</f>
        <v>0</v>
      </c>
    </row>
    <row r="56" spans="2:6">
      <c r="B56">
        <f>_xlfn.XLOOKUP($A56,'Audit Report'!$C:$C,'Audit Report'!D:D)</f>
        <v>0</v>
      </c>
      <c r="C56" t="str">
        <f>_xlfn.XLOOKUP($A56,'Audit Report'!$C:$C,'Audit Report'!G:G)</f>
        <v/>
      </c>
      <c r="D56">
        <f>_xlfn.XLOOKUP($A56,'Audit Report'!$C:$C,'Audit Report'!H:H)</f>
        <v>0</v>
      </c>
      <c r="E56">
        <f>_xlfn.XLOOKUP($A56,'Audit Report'!$C:$C,'Audit Report'!X:X)</f>
        <v>0</v>
      </c>
      <c r="F56">
        <f>_xlfn.XLOOKUP($A56,'Audit Report'!$C:$C,'Audit Report'!P:P)</f>
        <v>0</v>
      </c>
    </row>
    <row r="57" spans="2:6">
      <c r="B57">
        <f>_xlfn.XLOOKUP($A57,'Audit Report'!$C:$C,'Audit Report'!D:D)</f>
        <v>0</v>
      </c>
      <c r="C57" t="str">
        <f>_xlfn.XLOOKUP($A57,'Audit Report'!$C:$C,'Audit Report'!G:G)</f>
        <v/>
      </c>
      <c r="D57">
        <f>_xlfn.XLOOKUP($A57,'Audit Report'!$C:$C,'Audit Report'!H:H)</f>
        <v>0</v>
      </c>
      <c r="E57">
        <f>_xlfn.XLOOKUP($A57,'Audit Report'!$C:$C,'Audit Report'!X:X)</f>
        <v>0</v>
      </c>
      <c r="F57">
        <f>_xlfn.XLOOKUP($A57,'Audit Report'!$C:$C,'Audit Report'!P:P)</f>
        <v>0</v>
      </c>
    </row>
    <row r="58" spans="2:6">
      <c r="B58">
        <f>_xlfn.XLOOKUP($A58,'Audit Report'!$C:$C,'Audit Report'!D:D)</f>
        <v>0</v>
      </c>
      <c r="C58" t="str">
        <f>_xlfn.XLOOKUP($A58,'Audit Report'!$C:$C,'Audit Report'!G:G)</f>
        <v/>
      </c>
      <c r="D58">
        <f>_xlfn.XLOOKUP($A58,'Audit Report'!$C:$C,'Audit Report'!H:H)</f>
        <v>0</v>
      </c>
      <c r="E58">
        <f>_xlfn.XLOOKUP($A58,'Audit Report'!$C:$C,'Audit Report'!X:X)</f>
        <v>0</v>
      </c>
      <c r="F58">
        <f>_xlfn.XLOOKUP($A58,'Audit Report'!$C:$C,'Audit Report'!P:P)</f>
        <v>0</v>
      </c>
    </row>
    <row r="59" spans="2:6">
      <c r="B59">
        <f>_xlfn.XLOOKUP($A59,'Audit Report'!$C:$C,'Audit Report'!D:D)</f>
        <v>0</v>
      </c>
      <c r="C59" t="str">
        <f>_xlfn.XLOOKUP($A59,'Audit Report'!$C:$C,'Audit Report'!G:G)</f>
        <v/>
      </c>
      <c r="D59">
        <f>_xlfn.XLOOKUP($A59,'Audit Report'!$C:$C,'Audit Report'!H:H)</f>
        <v>0</v>
      </c>
      <c r="E59">
        <f>_xlfn.XLOOKUP($A59,'Audit Report'!$C:$C,'Audit Report'!X:X)</f>
        <v>0</v>
      </c>
      <c r="F59">
        <f>_xlfn.XLOOKUP($A59,'Audit Report'!$C:$C,'Audit Report'!P:P)</f>
        <v>0</v>
      </c>
    </row>
    <row r="60" spans="2:6">
      <c r="B60">
        <f>_xlfn.XLOOKUP($A60,'Audit Report'!$C:$C,'Audit Report'!D:D)</f>
        <v>0</v>
      </c>
      <c r="C60" t="str">
        <f>_xlfn.XLOOKUP($A60,'Audit Report'!$C:$C,'Audit Report'!G:G)</f>
        <v/>
      </c>
      <c r="D60">
        <f>_xlfn.XLOOKUP($A60,'Audit Report'!$C:$C,'Audit Report'!H:H)</f>
        <v>0</v>
      </c>
      <c r="E60">
        <f>_xlfn.XLOOKUP($A60,'Audit Report'!$C:$C,'Audit Report'!X:X)</f>
        <v>0</v>
      </c>
      <c r="F60">
        <f>_xlfn.XLOOKUP($A60,'Audit Report'!$C:$C,'Audit Report'!P:P)</f>
        <v>0</v>
      </c>
    </row>
    <row r="61" spans="2:6">
      <c r="B61">
        <f>_xlfn.XLOOKUP($A61,'Audit Report'!$C:$C,'Audit Report'!D:D)</f>
        <v>0</v>
      </c>
      <c r="C61" t="str">
        <f>_xlfn.XLOOKUP($A61,'Audit Report'!$C:$C,'Audit Report'!G:G)</f>
        <v/>
      </c>
      <c r="D61">
        <f>_xlfn.XLOOKUP($A61,'Audit Report'!$C:$C,'Audit Report'!H:H)</f>
        <v>0</v>
      </c>
      <c r="E61">
        <f>_xlfn.XLOOKUP($A61,'Audit Report'!$C:$C,'Audit Report'!X:X)</f>
        <v>0</v>
      </c>
      <c r="F61">
        <f>_xlfn.XLOOKUP($A61,'Audit Report'!$C:$C,'Audit Report'!P:P)</f>
        <v>0</v>
      </c>
    </row>
    <row r="62" spans="2:6">
      <c r="B62">
        <f>_xlfn.XLOOKUP($A62,'Audit Report'!$C:$C,'Audit Report'!D:D)</f>
        <v>0</v>
      </c>
      <c r="C62" t="str">
        <f>_xlfn.XLOOKUP($A62,'Audit Report'!$C:$C,'Audit Report'!G:G)</f>
        <v/>
      </c>
      <c r="D62">
        <f>_xlfn.XLOOKUP($A62,'Audit Report'!$C:$C,'Audit Report'!H:H)</f>
        <v>0</v>
      </c>
      <c r="E62">
        <f>_xlfn.XLOOKUP($A62,'Audit Report'!$C:$C,'Audit Report'!X:X)</f>
        <v>0</v>
      </c>
      <c r="F62">
        <f>_xlfn.XLOOKUP($A62,'Audit Report'!$C:$C,'Audit Report'!P:P)</f>
        <v>0</v>
      </c>
    </row>
    <row r="63" spans="2:6">
      <c r="B63">
        <f>_xlfn.XLOOKUP($A63,'Audit Report'!$C:$C,'Audit Report'!D:D)</f>
        <v>0</v>
      </c>
      <c r="C63" t="str">
        <f>_xlfn.XLOOKUP($A63,'Audit Report'!$C:$C,'Audit Report'!G:G)</f>
        <v/>
      </c>
      <c r="D63">
        <f>_xlfn.XLOOKUP($A63,'Audit Report'!$C:$C,'Audit Report'!H:H)</f>
        <v>0</v>
      </c>
      <c r="E63">
        <f>_xlfn.XLOOKUP($A63,'Audit Report'!$C:$C,'Audit Report'!X:X)</f>
        <v>0</v>
      </c>
      <c r="F63">
        <f>_xlfn.XLOOKUP($A63,'Audit Report'!$C:$C,'Audit Report'!P:P)</f>
        <v>0</v>
      </c>
    </row>
    <row r="64" spans="2:6">
      <c r="B64">
        <f>_xlfn.XLOOKUP($A64,'Audit Report'!$C:$C,'Audit Report'!D:D)</f>
        <v>0</v>
      </c>
      <c r="C64" t="str">
        <f>_xlfn.XLOOKUP($A64,'Audit Report'!$C:$C,'Audit Report'!G:G)</f>
        <v/>
      </c>
      <c r="D64">
        <f>_xlfn.XLOOKUP($A64,'Audit Report'!$C:$C,'Audit Report'!H:H)</f>
        <v>0</v>
      </c>
      <c r="E64">
        <f>_xlfn.XLOOKUP($A64,'Audit Report'!$C:$C,'Audit Report'!X:X)</f>
        <v>0</v>
      </c>
      <c r="F64">
        <f>_xlfn.XLOOKUP($A64,'Audit Report'!$C:$C,'Audit Report'!P:P)</f>
        <v>0</v>
      </c>
    </row>
    <row r="65" spans="2:6">
      <c r="B65">
        <f>_xlfn.XLOOKUP($A65,'Audit Report'!$C:$C,'Audit Report'!D:D)</f>
        <v>0</v>
      </c>
      <c r="C65" t="str">
        <f>_xlfn.XLOOKUP($A65,'Audit Report'!$C:$C,'Audit Report'!G:G)</f>
        <v/>
      </c>
      <c r="D65">
        <f>_xlfn.XLOOKUP($A65,'Audit Report'!$C:$C,'Audit Report'!H:H)</f>
        <v>0</v>
      </c>
      <c r="E65">
        <f>_xlfn.XLOOKUP($A65,'Audit Report'!$C:$C,'Audit Report'!X:X)</f>
        <v>0</v>
      </c>
      <c r="F65">
        <f>_xlfn.XLOOKUP($A65,'Audit Report'!$C:$C,'Audit Report'!P:P)</f>
        <v>0</v>
      </c>
    </row>
    <row r="66" spans="2:6">
      <c r="B66">
        <f>_xlfn.XLOOKUP($A66,'Audit Report'!$C:$C,'Audit Report'!D:D)</f>
        <v>0</v>
      </c>
      <c r="C66" t="str">
        <f>_xlfn.XLOOKUP($A66,'Audit Report'!$C:$C,'Audit Report'!G:G)</f>
        <v/>
      </c>
      <c r="D66">
        <f>_xlfn.XLOOKUP($A66,'Audit Report'!$C:$C,'Audit Report'!H:H)</f>
        <v>0</v>
      </c>
      <c r="E66">
        <f>_xlfn.XLOOKUP($A66,'Audit Report'!$C:$C,'Audit Report'!X:X)</f>
        <v>0</v>
      </c>
      <c r="F66">
        <f>_xlfn.XLOOKUP($A66,'Audit Report'!$C:$C,'Audit Report'!P:P)</f>
        <v>0</v>
      </c>
    </row>
    <row r="67" spans="2:6">
      <c r="B67">
        <f>_xlfn.XLOOKUP($A67,'Audit Report'!$C:$C,'Audit Report'!D:D)</f>
        <v>0</v>
      </c>
      <c r="C67" t="str">
        <f>_xlfn.XLOOKUP($A67,'Audit Report'!$C:$C,'Audit Report'!G:G)</f>
        <v/>
      </c>
      <c r="D67">
        <f>_xlfn.XLOOKUP($A67,'Audit Report'!$C:$C,'Audit Report'!H:H)</f>
        <v>0</v>
      </c>
      <c r="E67">
        <f>_xlfn.XLOOKUP($A67,'Audit Report'!$C:$C,'Audit Report'!X:X)</f>
        <v>0</v>
      </c>
      <c r="F67">
        <f>_xlfn.XLOOKUP($A67,'Audit Report'!$C:$C,'Audit Report'!P:P)</f>
        <v>0</v>
      </c>
    </row>
    <row r="68" spans="2:6">
      <c r="B68">
        <f>_xlfn.XLOOKUP($A68,'Audit Report'!$C:$C,'Audit Report'!D:D)</f>
        <v>0</v>
      </c>
      <c r="C68" t="str">
        <f>_xlfn.XLOOKUP($A68,'Audit Report'!$C:$C,'Audit Report'!G:G)</f>
        <v/>
      </c>
      <c r="D68">
        <f>_xlfn.XLOOKUP($A68,'Audit Report'!$C:$C,'Audit Report'!H:H)</f>
        <v>0</v>
      </c>
      <c r="E68">
        <f>_xlfn.XLOOKUP($A68,'Audit Report'!$C:$C,'Audit Report'!X:X)</f>
        <v>0</v>
      </c>
      <c r="F68">
        <f>_xlfn.XLOOKUP($A68,'Audit Report'!$C:$C,'Audit Report'!P:P)</f>
        <v>0</v>
      </c>
    </row>
    <row r="69" spans="2:6">
      <c r="B69">
        <f>_xlfn.XLOOKUP($A69,'Audit Report'!$C:$C,'Audit Report'!D:D)</f>
        <v>0</v>
      </c>
      <c r="C69" t="str">
        <f>_xlfn.XLOOKUP($A69,'Audit Report'!$C:$C,'Audit Report'!G:G)</f>
        <v/>
      </c>
      <c r="D69">
        <f>_xlfn.XLOOKUP($A69,'Audit Report'!$C:$C,'Audit Report'!H:H)</f>
        <v>0</v>
      </c>
      <c r="E69">
        <f>_xlfn.XLOOKUP($A69,'Audit Report'!$C:$C,'Audit Report'!X:X)</f>
        <v>0</v>
      </c>
      <c r="F69">
        <f>_xlfn.XLOOKUP($A69,'Audit Report'!$C:$C,'Audit Report'!P:P)</f>
        <v>0</v>
      </c>
    </row>
    <row r="70" spans="2:6">
      <c r="B70">
        <f>_xlfn.XLOOKUP($A70,'Audit Report'!$C:$C,'Audit Report'!D:D)</f>
        <v>0</v>
      </c>
      <c r="C70" t="str">
        <f>_xlfn.XLOOKUP($A70,'Audit Report'!$C:$C,'Audit Report'!G:G)</f>
        <v/>
      </c>
      <c r="D70">
        <f>_xlfn.XLOOKUP($A70,'Audit Report'!$C:$C,'Audit Report'!H:H)</f>
        <v>0</v>
      </c>
      <c r="E70">
        <f>_xlfn.XLOOKUP($A70,'Audit Report'!$C:$C,'Audit Report'!X:X)</f>
        <v>0</v>
      </c>
      <c r="F70">
        <f>_xlfn.XLOOKUP($A70,'Audit Report'!$C:$C,'Audit Report'!P:P)</f>
        <v>0</v>
      </c>
    </row>
    <row r="71" spans="2:6">
      <c r="B71">
        <f>_xlfn.XLOOKUP($A71,'Audit Report'!$C:$C,'Audit Report'!D:D)</f>
        <v>0</v>
      </c>
      <c r="C71" t="str">
        <f>_xlfn.XLOOKUP($A71,'Audit Report'!$C:$C,'Audit Report'!G:G)</f>
        <v/>
      </c>
      <c r="D71">
        <f>_xlfn.XLOOKUP($A71,'Audit Report'!$C:$C,'Audit Report'!H:H)</f>
        <v>0</v>
      </c>
      <c r="E71">
        <f>_xlfn.XLOOKUP($A71,'Audit Report'!$C:$C,'Audit Report'!X:X)</f>
        <v>0</v>
      </c>
      <c r="F71">
        <f>_xlfn.XLOOKUP($A71,'Audit Report'!$C:$C,'Audit Report'!P:P)</f>
        <v>0</v>
      </c>
    </row>
    <row r="72" spans="2:6">
      <c r="B72">
        <f>_xlfn.XLOOKUP($A72,'Audit Report'!$C:$C,'Audit Report'!D:D)</f>
        <v>0</v>
      </c>
      <c r="C72" t="str">
        <f>_xlfn.XLOOKUP($A72,'Audit Report'!$C:$C,'Audit Report'!G:G)</f>
        <v/>
      </c>
      <c r="D72">
        <f>_xlfn.XLOOKUP($A72,'Audit Report'!$C:$C,'Audit Report'!H:H)</f>
        <v>0</v>
      </c>
      <c r="E72">
        <f>_xlfn.XLOOKUP($A72,'Audit Report'!$C:$C,'Audit Report'!X:X)</f>
        <v>0</v>
      </c>
      <c r="F72">
        <f>_xlfn.XLOOKUP($A72,'Audit Report'!$C:$C,'Audit Report'!P:P)</f>
        <v>0</v>
      </c>
    </row>
    <row r="73" spans="2:6">
      <c r="B73">
        <f>_xlfn.XLOOKUP($A73,'Audit Report'!$C:$C,'Audit Report'!D:D)</f>
        <v>0</v>
      </c>
      <c r="C73" t="str">
        <f>_xlfn.XLOOKUP($A73,'Audit Report'!$C:$C,'Audit Report'!G:G)</f>
        <v/>
      </c>
      <c r="D73">
        <f>_xlfn.XLOOKUP($A73,'Audit Report'!$C:$C,'Audit Report'!H:H)</f>
        <v>0</v>
      </c>
      <c r="E73">
        <f>_xlfn.XLOOKUP($A73,'Audit Report'!$C:$C,'Audit Report'!X:X)</f>
        <v>0</v>
      </c>
      <c r="F73">
        <f>_xlfn.XLOOKUP($A73,'Audit Report'!$C:$C,'Audit Report'!P:P)</f>
        <v>0</v>
      </c>
    </row>
    <row r="74" spans="2:6">
      <c r="B74">
        <f>_xlfn.XLOOKUP($A74,'Audit Report'!$C:$C,'Audit Report'!D:D)</f>
        <v>0</v>
      </c>
      <c r="C74" t="str">
        <f>_xlfn.XLOOKUP($A74,'Audit Report'!$C:$C,'Audit Report'!G:G)</f>
        <v/>
      </c>
      <c r="D74">
        <f>_xlfn.XLOOKUP($A74,'Audit Report'!$C:$C,'Audit Report'!H:H)</f>
        <v>0</v>
      </c>
      <c r="E74">
        <f>_xlfn.XLOOKUP($A74,'Audit Report'!$C:$C,'Audit Report'!X:X)</f>
        <v>0</v>
      </c>
      <c r="F74">
        <f>_xlfn.XLOOKUP($A74,'Audit Report'!$C:$C,'Audit Report'!P:P)</f>
        <v>0</v>
      </c>
    </row>
    <row r="75" spans="2:6">
      <c r="B75">
        <f>_xlfn.XLOOKUP($A75,'Audit Report'!$C:$C,'Audit Report'!D:D)</f>
        <v>0</v>
      </c>
      <c r="C75" t="str">
        <f>_xlfn.XLOOKUP($A75,'Audit Report'!$C:$C,'Audit Report'!G:G)</f>
        <v/>
      </c>
      <c r="D75">
        <f>_xlfn.XLOOKUP($A75,'Audit Report'!$C:$C,'Audit Report'!H:H)</f>
        <v>0</v>
      </c>
      <c r="E75">
        <f>_xlfn.XLOOKUP($A75,'Audit Report'!$C:$C,'Audit Report'!X:X)</f>
        <v>0</v>
      </c>
      <c r="F75">
        <f>_xlfn.XLOOKUP($A75,'Audit Report'!$C:$C,'Audit Report'!P:P)</f>
        <v>0</v>
      </c>
    </row>
    <row r="76" spans="2:6">
      <c r="B76">
        <f>_xlfn.XLOOKUP($A76,'Audit Report'!$C:$C,'Audit Report'!D:D)</f>
        <v>0</v>
      </c>
      <c r="C76" t="str">
        <f>_xlfn.XLOOKUP($A76,'Audit Report'!$C:$C,'Audit Report'!G:G)</f>
        <v/>
      </c>
      <c r="D76">
        <f>_xlfn.XLOOKUP($A76,'Audit Report'!$C:$C,'Audit Report'!H:H)</f>
        <v>0</v>
      </c>
      <c r="E76">
        <f>_xlfn.XLOOKUP($A76,'Audit Report'!$C:$C,'Audit Report'!X:X)</f>
        <v>0</v>
      </c>
      <c r="F76">
        <f>_xlfn.XLOOKUP($A76,'Audit Report'!$C:$C,'Audit Report'!P:P)</f>
        <v>0</v>
      </c>
    </row>
    <row r="77" spans="2:6">
      <c r="B77">
        <f>_xlfn.XLOOKUP($A77,'Audit Report'!$C:$C,'Audit Report'!D:D)</f>
        <v>0</v>
      </c>
      <c r="C77" t="str">
        <f>_xlfn.XLOOKUP($A77,'Audit Report'!$C:$C,'Audit Report'!G:G)</f>
        <v/>
      </c>
      <c r="D77">
        <f>_xlfn.XLOOKUP($A77,'Audit Report'!$C:$C,'Audit Report'!H:H)</f>
        <v>0</v>
      </c>
      <c r="E77">
        <f>_xlfn.XLOOKUP($A77,'Audit Report'!$C:$C,'Audit Report'!X:X)</f>
        <v>0</v>
      </c>
      <c r="F77">
        <f>_xlfn.XLOOKUP($A77,'Audit Report'!$C:$C,'Audit Report'!P:P)</f>
        <v>0</v>
      </c>
    </row>
    <row r="78" spans="2:6">
      <c r="B78">
        <f>_xlfn.XLOOKUP($A78,'Audit Report'!$C:$C,'Audit Report'!D:D)</f>
        <v>0</v>
      </c>
      <c r="C78" t="str">
        <f>_xlfn.XLOOKUP($A78,'Audit Report'!$C:$C,'Audit Report'!G:G)</f>
        <v/>
      </c>
      <c r="D78">
        <f>_xlfn.XLOOKUP($A78,'Audit Report'!$C:$C,'Audit Report'!H:H)</f>
        <v>0</v>
      </c>
      <c r="E78">
        <f>_xlfn.XLOOKUP($A78,'Audit Report'!$C:$C,'Audit Report'!X:X)</f>
        <v>0</v>
      </c>
      <c r="F78">
        <f>_xlfn.XLOOKUP($A78,'Audit Report'!$C:$C,'Audit Report'!P:P)</f>
        <v>0</v>
      </c>
    </row>
    <row r="79" spans="2:6">
      <c r="B79">
        <f>_xlfn.XLOOKUP($A79,'Audit Report'!$C:$C,'Audit Report'!D:D)</f>
        <v>0</v>
      </c>
      <c r="C79" t="str">
        <f>_xlfn.XLOOKUP($A79,'Audit Report'!$C:$C,'Audit Report'!G:G)</f>
        <v/>
      </c>
      <c r="D79">
        <f>_xlfn.XLOOKUP($A79,'Audit Report'!$C:$C,'Audit Report'!H:H)</f>
        <v>0</v>
      </c>
      <c r="E79">
        <f>_xlfn.XLOOKUP($A79,'Audit Report'!$C:$C,'Audit Report'!X:X)</f>
        <v>0</v>
      </c>
      <c r="F79">
        <f>_xlfn.XLOOKUP($A79,'Audit Report'!$C:$C,'Audit Report'!P:P)</f>
        <v>0</v>
      </c>
    </row>
    <row r="80" spans="2:6">
      <c r="B80">
        <f>_xlfn.XLOOKUP($A80,'Audit Report'!$C:$C,'Audit Report'!D:D)</f>
        <v>0</v>
      </c>
      <c r="C80" t="str">
        <f>_xlfn.XLOOKUP($A80,'Audit Report'!$C:$C,'Audit Report'!G:G)</f>
        <v/>
      </c>
      <c r="D80">
        <f>_xlfn.XLOOKUP($A80,'Audit Report'!$C:$C,'Audit Report'!H:H)</f>
        <v>0</v>
      </c>
      <c r="E80">
        <f>_xlfn.XLOOKUP($A80,'Audit Report'!$C:$C,'Audit Report'!X:X)</f>
        <v>0</v>
      </c>
      <c r="F80">
        <f>_xlfn.XLOOKUP($A80,'Audit Report'!$C:$C,'Audit Report'!P:P)</f>
        <v>0</v>
      </c>
    </row>
    <row r="81" spans="2:6">
      <c r="B81">
        <f>_xlfn.XLOOKUP($A81,'Audit Report'!$C:$C,'Audit Report'!D:D)</f>
        <v>0</v>
      </c>
      <c r="C81" t="str">
        <f>_xlfn.XLOOKUP($A81,'Audit Report'!$C:$C,'Audit Report'!G:G)</f>
        <v/>
      </c>
      <c r="D81">
        <f>_xlfn.XLOOKUP($A81,'Audit Report'!$C:$C,'Audit Report'!H:H)</f>
        <v>0</v>
      </c>
      <c r="E81">
        <f>_xlfn.XLOOKUP($A81,'Audit Report'!$C:$C,'Audit Report'!X:X)</f>
        <v>0</v>
      </c>
      <c r="F81">
        <f>_xlfn.XLOOKUP($A81,'Audit Report'!$C:$C,'Audit Report'!P:P)</f>
        <v>0</v>
      </c>
    </row>
    <row r="82" spans="2:6">
      <c r="B82">
        <f>_xlfn.XLOOKUP($A82,'Audit Report'!$C:$C,'Audit Report'!D:D)</f>
        <v>0</v>
      </c>
      <c r="C82" t="str">
        <f>_xlfn.XLOOKUP($A82,'Audit Report'!$C:$C,'Audit Report'!G:G)</f>
        <v/>
      </c>
      <c r="D82">
        <f>_xlfn.XLOOKUP($A82,'Audit Report'!$C:$C,'Audit Report'!H:H)</f>
        <v>0</v>
      </c>
      <c r="E82">
        <f>_xlfn.XLOOKUP($A82,'Audit Report'!$C:$C,'Audit Report'!X:X)</f>
        <v>0</v>
      </c>
      <c r="F82">
        <f>_xlfn.XLOOKUP($A82,'Audit Report'!$C:$C,'Audit Report'!P:P)</f>
        <v>0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F35AC6B-4532-43EA-9431-E69B2A6A0A8F}">
  <sheetPr codeName="Sheet2">
    <tabColor theme="3" tint="0.499984740745262"/>
  </sheetPr>
  <dimension ref="A1:X455"/>
  <sheetViews>
    <sheetView tabSelected="1" workbookViewId="0">
      <selection sqref="A1:X1"/>
    </sheetView>
  </sheetViews>
  <sheetFormatPr defaultRowHeight="15"/>
  <cols>
    <col min="1" max="1" width="7" bestFit="1" customWidth="1"/>
    <col min="2" max="2" width="12.42578125" bestFit="1" customWidth="1"/>
    <col min="3" max="3" width="14.28515625" bestFit="1" customWidth="1"/>
    <col min="4" max="4" width="10.7109375" bestFit="1" customWidth="1"/>
    <col min="5" max="5" width="8.28515625" bestFit="1" customWidth="1"/>
    <col min="6" max="6" width="6.85546875" bestFit="1" customWidth="1"/>
    <col min="7" max="7" width="13.28515625" bestFit="1" customWidth="1"/>
    <col min="8" max="8" width="8.42578125" bestFit="1" customWidth="1"/>
    <col min="9" max="9" width="5.85546875" bestFit="1" customWidth="1"/>
    <col min="10" max="10" width="9.85546875" bestFit="1" customWidth="1"/>
    <col min="11" max="11" width="10.28515625" bestFit="1" customWidth="1"/>
    <col min="12" max="12" width="15" bestFit="1" customWidth="1"/>
    <col min="13" max="13" width="15.140625" bestFit="1" customWidth="1"/>
    <col min="14" max="14" width="19.42578125" customWidth="1"/>
    <col min="15" max="15" width="36.42578125" bestFit="1" customWidth="1"/>
    <col min="16" max="16" width="36.42578125" customWidth="1"/>
    <col min="17" max="17" width="16.140625" bestFit="1" customWidth="1"/>
    <col min="18" max="18" width="14.7109375" bestFit="1" customWidth="1"/>
    <col min="19" max="19" width="27.28515625" bestFit="1" customWidth="1"/>
    <col min="20" max="20" width="17.140625" bestFit="1" customWidth="1"/>
    <col min="21" max="21" width="26.7109375" bestFit="1" customWidth="1"/>
    <col min="22" max="23" width="12.5703125" bestFit="1" customWidth="1"/>
    <col min="24" max="24" width="11.28515625" bestFit="1" customWidth="1"/>
  </cols>
  <sheetData>
    <row r="1" spans="1:24" ht="18" thickBot="1">
      <c r="A1" s="45" t="s">
        <v>0</v>
      </c>
      <c r="B1" s="45" t="s">
        <v>1</v>
      </c>
      <c r="C1" s="45" t="s">
        <v>2</v>
      </c>
      <c r="D1" s="45" t="s">
        <v>523</v>
      </c>
      <c r="E1" s="45" t="s">
        <v>4</v>
      </c>
      <c r="F1" s="45" t="s">
        <v>5</v>
      </c>
      <c r="G1" s="45" t="s">
        <v>6</v>
      </c>
      <c r="H1" s="45" t="s">
        <v>7</v>
      </c>
      <c r="I1" s="45" t="s">
        <v>8</v>
      </c>
      <c r="J1" s="45" t="s">
        <v>9</v>
      </c>
      <c r="K1" s="45" t="s">
        <v>10</v>
      </c>
      <c r="L1" s="45" t="s">
        <v>524</v>
      </c>
      <c r="M1" s="45" t="s">
        <v>12</v>
      </c>
      <c r="N1" s="45" t="s">
        <v>565</v>
      </c>
      <c r="O1" s="45" t="s">
        <v>13</v>
      </c>
      <c r="P1" s="45"/>
      <c r="Q1" s="45" t="s">
        <v>525</v>
      </c>
      <c r="R1" s="45" t="s">
        <v>526</v>
      </c>
      <c r="S1" s="45" t="s">
        <v>16</v>
      </c>
      <c r="T1" s="45" t="s">
        <v>17</v>
      </c>
      <c r="U1" s="45" t="s">
        <v>18</v>
      </c>
      <c r="V1" s="45" t="s">
        <v>19</v>
      </c>
      <c r="W1" s="45" t="s">
        <v>20</v>
      </c>
      <c r="X1" s="45" t="s">
        <v>21</v>
      </c>
    </row>
    <row r="2" spans="1:24" ht="15.75" thickTop="1">
      <c r="A2" t="str">
        <f>_xlfn.TEXTJOIN("",TRUE,Input!$B$2,"0",ROW(My_Audit!A1))</f>
        <v>X01</v>
      </c>
      <c r="D2" s="34"/>
    </row>
    <row r="3" spans="1:24">
      <c r="A3" t="str">
        <f>_xlfn.TEXTJOIN("",TRUE,Input!$B$2,"0",ROW(My_Audit!A2))</f>
        <v>X02</v>
      </c>
    </row>
    <row r="4" spans="1:24">
      <c r="A4" t="str">
        <f>_xlfn.TEXTJOIN("",TRUE,Input!$B$2,"0",ROW(My_Audit!A3))</f>
        <v>X03</v>
      </c>
    </row>
    <row r="5" spans="1:24">
      <c r="A5" t="str">
        <f>_xlfn.TEXTJOIN("",TRUE,Input!$B$2,"0",ROW(My_Audit!A4))</f>
        <v>X04</v>
      </c>
    </row>
    <row r="6" spans="1:24">
      <c r="A6" t="str">
        <f>_xlfn.TEXTJOIN("",TRUE,Input!$B$2,"0",ROW(My_Audit!A5))</f>
        <v>X05</v>
      </c>
    </row>
    <row r="7" spans="1:24">
      <c r="A7" t="str">
        <f>_xlfn.TEXTJOIN("",TRUE,Input!$B$2,"0",ROW(My_Audit!A6))</f>
        <v>X06</v>
      </c>
    </row>
    <row r="8" spans="1:24">
      <c r="A8" t="str">
        <f>_xlfn.TEXTJOIN("",TRUE,Input!$B$2,"0",ROW(My_Audit!A7))</f>
        <v>X07</v>
      </c>
    </row>
    <row r="9" spans="1:24">
      <c r="A9" t="str">
        <f>_xlfn.TEXTJOIN("",TRUE,Input!$B$2,"0",ROW(My_Audit!A8))</f>
        <v>X08</v>
      </c>
    </row>
    <row r="10" spans="1:24">
      <c r="A10" t="str">
        <f>_xlfn.TEXTJOIN("",TRUE,Input!$B$2,"0",ROW(My_Audit!A9))</f>
        <v>X09</v>
      </c>
    </row>
    <row r="11" spans="1:24">
      <c r="A11" t="str">
        <f>_xlfn.TEXTJOIN("",TRUE,Input!$B$2,ROW(My_Audit!A10))</f>
        <v>X10</v>
      </c>
    </row>
    <row r="12" spans="1:24">
      <c r="A12" t="str">
        <f>_xlfn.TEXTJOIN("",TRUE,Input!$B$2,ROW(My_Audit!A11))</f>
        <v>X11</v>
      </c>
    </row>
    <row r="13" spans="1:24">
      <c r="A13" t="str">
        <f>_xlfn.TEXTJOIN("",TRUE,Input!$B$2,ROW(My_Audit!A12))</f>
        <v>X12</v>
      </c>
    </row>
    <row r="14" spans="1:24">
      <c r="A14" t="str">
        <f>_xlfn.TEXTJOIN("",TRUE,Input!$B$2,ROW(My_Audit!A13))</f>
        <v>X13</v>
      </c>
    </row>
    <row r="15" spans="1:24">
      <c r="A15" t="str">
        <f>_xlfn.TEXTJOIN("",TRUE,Input!$B$2,ROW(My_Audit!A14))</f>
        <v>X14</v>
      </c>
    </row>
    <row r="16" spans="1:24">
      <c r="A16" t="str">
        <f>_xlfn.TEXTJOIN("",TRUE,Input!$B$2,ROW(My_Audit!A15))</f>
        <v>X15</v>
      </c>
    </row>
    <row r="17" spans="1:1">
      <c r="A17" t="str">
        <f>_xlfn.TEXTJOIN("",TRUE,Input!$B$2,ROW(My_Audit!A16))</f>
        <v>X16</v>
      </c>
    </row>
    <row r="18" spans="1:1">
      <c r="A18" t="str">
        <f>_xlfn.TEXTJOIN("",TRUE,Input!$B$2,ROW(My_Audit!A17))</f>
        <v>X17</v>
      </c>
    </row>
    <row r="19" spans="1:1">
      <c r="A19" t="str">
        <f>_xlfn.TEXTJOIN("",TRUE,Input!$B$2,ROW(My_Audit!A18))</f>
        <v>X18</v>
      </c>
    </row>
    <row r="20" spans="1:1">
      <c r="A20" t="str">
        <f>_xlfn.TEXTJOIN("",TRUE,Input!$B$2,ROW(My_Audit!A19))</f>
        <v>X19</v>
      </c>
    </row>
    <row r="21" spans="1:1">
      <c r="A21" t="str">
        <f>_xlfn.TEXTJOIN("",TRUE,Input!$B$2,ROW(My_Audit!A20))</f>
        <v>X20</v>
      </c>
    </row>
    <row r="22" spans="1:1">
      <c r="A22" t="str">
        <f>_xlfn.TEXTJOIN("",TRUE,Input!$B$2,ROW(My_Audit!A21))</f>
        <v>X21</v>
      </c>
    </row>
    <row r="23" spans="1:1">
      <c r="A23" t="str">
        <f>_xlfn.TEXTJOIN("",TRUE,Input!$B$2,ROW(My_Audit!A22))</f>
        <v>X22</v>
      </c>
    </row>
    <row r="24" spans="1:1">
      <c r="A24" t="str">
        <f>_xlfn.TEXTJOIN("",TRUE,Input!$B$2,ROW(My_Audit!A23))</f>
        <v>X23</v>
      </c>
    </row>
    <row r="25" spans="1:1">
      <c r="A25" t="str">
        <f>_xlfn.TEXTJOIN("",TRUE,Input!$B$2,ROW(My_Audit!A24))</f>
        <v>X24</v>
      </c>
    </row>
    <row r="26" spans="1:1">
      <c r="A26" t="str">
        <f>_xlfn.TEXTJOIN("",TRUE,Input!$B$2,ROW(My_Audit!A25))</f>
        <v>X25</v>
      </c>
    </row>
    <row r="27" spans="1:1">
      <c r="A27" t="str">
        <f>_xlfn.TEXTJOIN("",TRUE,Input!$B$2,ROW(My_Audit!A26))</f>
        <v>X26</v>
      </c>
    </row>
    <row r="28" spans="1:1">
      <c r="A28" t="str">
        <f>_xlfn.TEXTJOIN("",TRUE,Input!$B$2,ROW(My_Audit!A27))</f>
        <v>X27</v>
      </c>
    </row>
    <row r="29" spans="1:1">
      <c r="A29" t="str">
        <f>_xlfn.TEXTJOIN("",TRUE,Input!$B$2,ROW(My_Audit!A28))</f>
        <v>X28</v>
      </c>
    </row>
    <row r="30" spans="1:1">
      <c r="A30" t="str">
        <f>_xlfn.TEXTJOIN("",TRUE,Input!$B$2,ROW(My_Audit!A29))</f>
        <v>X29</v>
      </c>
    </row>
    <row r="31" spans="1:1">
      <c r="A31" t="str">
        <f>_xlfn.TEXTJOIN("",TRUE,Input!$B$2,ROW(My_Audit!A30))</f>
        <v>X30</v>
      </c>
    </row>
    <row r="32" spans="1:1">
      <c r="A32" t="str">
        <f>_xlfn.TEXTJOIN("",TRUE,Input!$B$2,ROW(My_Audit!A31))</f>
        <v>X31</v>
      </c>
    </row>
    <row r="33" spans="1:16">
      <c r="A33" t="str">
        <f>_xlfn.TEXTJOIN("",TRUE,Input!$B$2,ROW(My_Audit!A32))</f>
        <v>X32</v>
      </c>
    </row>
    <row r="34" spans="1:16">
      <c r="A34" t="str">
        <f>_xlfn.TEXTJOIN("",TRUE,Input!$B$2,ROW(My_Audit!A33))</f>
        <v>X33</v>
      </c>
    </row>
    <row r="35" spans="1:16">
      <c r="A35" t="str">
        <f>_xlfn.TEXTJOIN("",TRUE,Input!$B$2,ROW(My_Audit!A34))</f>
        <v>X34</v>
      </c>
    </row>
    <row r="36" spans="1:16">
      <c r="A36" t="str">
        <f>_xlfn.TEXTJOIN("",TRUE,Input!$B$2,ROW(My_Audit!A35))</f>
        <v>X35</v>
      </c>
    </row>
    <row r="37" spans="1:16">
      <c r="A37" t="str">
        <f>_xlfn.TEXTJOIN("",TRUE,Input!$B$2,ROW(My_Audit!A36))</f>
        <v>X36</v>
      </c>
    </row>
    <row r="38" spans="1:16">
      <c r="A38" t="str">
        <f>_xlfn.TEXTJOIN("",TRUE,Input!$B$2,ROW(My_Audit!A37))</f>
        <v>X37</v>
      </c>
    </row>
    <row r="39" spans="1:16">
      <c r="A39" t="str">
        <f>_xlfn.TEXTJOIN("",TRUE,Input!$B$2,ROW(My_Audit!A38))</f>
        <v>X38</v>
      </c>
    </row>
    <row r="40" spans="1:16">
      <c r="A40" t="str">
        <f>_xlfn.TEXTJOIN("",TRUE,Input!$B$2,ROW(My_Audit!A39))</f>
        <v>X39</v>
      </c>
    </row>
    <row r="41" spans="1:16">
      <c r="A41" t="str">
        <f>_xlfn.TEXTJOIN("",TRUE,Input!$B$2,ROW(My_Audit!A40))</f>
        <v>X40</v>
      </c>
    </row>
    <row r="42" spans="1:16">
      <c r="A42" t="str">
        <f>_xlfn.TEXTJOIN("",TRUE,Input!$B$2,ROW(My_Audit!A41))</f>
        <v>X41</v>
      </c>
    </row>
    <row r="43" spans="1:16">
      <c r="A43" t="str">
        <f>_xlfn.TEXTJOIN("",TRUE,Input!$B$2,ROW(My_Audit!A42))</f>
        <v>X42</v>
      </c>
    </row>
    <row r="44" spans="1:16">
      <c r="A44" t="str">
        <f>_xlfn.TEXTJOIN("",TRUE,Input!$B$2,ROW(My_Audit!A43))</f>
        <v>X43</v>
      </c>
      <c r="P44" t="str">
        <f t="shared" ref="P44:P66" si="0">_xlfn.TEXTJOIN(", ",TRUE,N44,O44)</f>
        <v/>
      </c>
    </row>
    <row r="45" spans="1:16">
      <c r="A45" t="str">
        <f>_xlfn.TEXTJOIN("",TRUE,Input!$B$2,ROW(My_Audit!A44))</f>
        <v>X44</v>
      </c>
      <c r="P45" t="str">
        <f t="shared" si="0"/>
        <v/>
      </c>
    </row>
    <row r="46" spans="1:16" ht="15.75" thickBot="1">
      <c r="A46" t="str">
        <f>_xlfn.TEXTJOIN("",TRUE,Input!$B$2,ROW(My_Audit!A45))</f>
        <v>X45</v>
      </c>
      <c r="P46" t="str">
        <f t="shared" si="0"/>
        <v/>
      </c>
    </row>
    <row r="47" spans="1:16" ht="15.75" thickBot="1">
      <c r="A47" t="str">
        <f>_xlfn.TEXTJOIN("",TRUE,Input!$B$2,ROW(My_Audit!A46))</f>
        <v>X46</v>
      </c>
      <c r="B47" s="35"/>
      <c r="C47" s="35"/>
      <c r="D47" s="35"/>
      <c r="E47" s="35"/>
      <c r="F47" s="35"/>
      <c r="G47" s="35"/>
      <c r="P47" t="str">
        <f t="shared" si="0"/>
        <v/>
      </c>
    </row>
    <row r="48" spans="1:16">
      <c r="A48" t="str">
        <f>_xlfn.TEXTJOIN("",TRUE,Input!$B$2,ROW(My_Audit!A47))</f>
        <v>X47</v>
      </c>
      <c r="P48" t="str">
        <f t="shared" si="0"/>
        <v/>
      </c>
    </row>
    <row r="49" spans="1:16">
      <c r="A49" t="str">
        <f>_xlfn.TEXTJOIN("",TRUE,Input!$B$2,ROW(My_Audit!A48))</f>
        <v>X48</v>
      </c>
      <c r="P49" t="str">
        <f t="shared" si="0"/>
        <v/>
      </c>
    </row>
    <row r="50" spans="1:16">
      <c r="A50" t="str">
        <f>_xlfn.TEXTJOIN("",TRUE,Input!$B$2,ROW(My_Audit!A49))</f>
        <v>X49</v>
      </c>
      <c r="P50" t="str">
        <f t="shared" si="0"/>
        <v/>
      </c>
    </row>
    <row r="51" spans="1:16">
      <c r="A51" t="str">
        <f>_xlfn.TEXTJOIN("",TRUE,Input!$B$2,ROW(My_Audit!A50))</f>
        <v>X50</v>
      </c>
      <c r="P51" t="str">
        <f t="shared" si="0"/>
        <v/>
      </c>
    </row>
    <row r="52" spans="1:16">
      <c r="A52" t="str">
        <f>_xlfn.TEXTJOIN("",TRUE,Input!$B$2,ROW(My_Audit!A51))</f>
        <v>X51</v>
      </c>
      <c r="P52" t="str">
        <f t="shared" si="0"/>
        <v/>
      </c>
    </row>
    <row r="53" spans="1:16">
      <c r="A53" t="str">
        <f>_xlfn.TEXTJOIN("",TRUE,Input!$B$2,ROW(My_Audit!A52))</f>
        <v>X52</v>
      </c>
      <c r="P53" t="str">
        <f t="shared" si="0"/>
        <v/>
      </c>
    </row>
    <row r="54" spans="1:16">
      <c r="A54" t="str">
        <f>_xlfn.TEXTJOIN("",TRUE,Input!$B$2,ROW(My_Audit!A53))</f>
        <v>X53</v>
      </c>
      <c r="P54" t="str">
        <f t="shared" si="0"/>
        <v/>
      </c>
    </row>
    <row r="55" spans="1:16">
      <c r="A55" t="str">
        <f>_xlfn.TEXTJOIN("",TRUE,Input!$B$2,ROW(My_Audit!A54))</f>
        <v>X54</v>
      </c>
      <c r="P55" t="str">
        <f t="shared" si="0"/>
        <v/>
      </c>
    </row>
    <row r="56" spans="1:16">
      <c r="A56" t="str">
        <f>_xlfn.TEXTJOIN("",TRUE,Input!$B$2,ROW(My_Audit!A55))</f>
        <v>X55</v>
      </c>
      <c r="P56" t="str">
        <f t="shared" si="0"/>
        <v/>
      </c>
    </row>
    <row r="57" spans="1:16">
      <c r="A57" t="str">
        <f>_xlfn.TEXTJOIN("",TRUE,Input!$B$2,ROW(My_Audit!A56))</f>
        <v>X56</v>
      </c>
      <c r="P57" t="str">
        <f t="shared" si="0"/>
        <v/>
      </c>
    </row>
    <row r="58" spans="1:16">
      <c r="A58" t="str">
        <f>_xlfn.TEXTJOIN("",TRUE,Input!$B$2,ROW(My_Audit!A57))</f>
        <v>X57</v>
      </c>
      <c r="P58" t="str">
        <f t="shared" si="0"/>
        <v/>
      </c>
    </row>
    <row r="59" spans="1:16">
      <c r="A59" t="str">
        <f>_xlfn.TEXTJOIN("",TRUE,Input!$B$2,ROW(My_Audit!A58))</f>
        <v>X58</v>
      </c>
      <c r="P59" t="str">
        <f t="shared" si="0"/>
        <v/>
      </c>
    </row>
    <row r="60" spans="1:16">
      <c r="A60" t="str">
        <f>_xlfn.TEXTJOIN("",TRUE,Input!$B$2,ROW(My_Audit!A59))</f>
        <v>X59</v>
      </c>
      <c r="P60" t="str">
        <f t="shared" si="0"/>
        <v/>
      </c>
    </row>
    <row r="61" spans="1:16">
      <c r="A61" t="str">
        <f>_xlfn.TEXTJOIN("",TRUE,Input!$B$2,ROW(My_Audit!A60))</f>
        <v>X60</v>
      </c>
      <c r="P61" t="str">
        <f t="shared" si="0"/>
        <v/>
      </c>
    </row>
    <row r="62" spans="1:16">
      <c r="A62" t="str">
        <f>_xlfn.TEXTJOIN("",TRUE,Input!$B$2,ROW(My_Audit!A61))</f>
        <v>X61</v>
      </c>
      <c r="P62" t="str">
        <f t="shared" si="0"/>
        <v/>
      </c>
    </row>
    <row r="63" spans="1:16">
      <c r="A63" t="str">
        <f>_xlfn.TEXTJOIN("",TRUE,Input!$B$2,ROW(My_Audit!A62))</f>
        <v>X62</v>
      </c>
      <c r="P63" t="str">
        <f t="shared" si="0"/>
        <v/>
      </c>
    </row>
    <row r="64" spans="1:16">
      <c r="A64" t="str">
        <f>_xlfn.TEXTJOIN("",TRUE,Input!$B$2,ROW(My_Audit!A63))</f>
        <v>X63</v>
      </c>
      <c r="P64" t="str">
        <f t="shared" si="0"/>
        <v/>
      </c>
    </row>
    <row r="65" spans="1:16">
      <c r="A65" t="str">
        <f>_xlfn.TEXTJOIN("",TRUE,Input!$B$2,ROW(My_Audit!A64))</f>
        <v>X64</v>
      </c>
      <c r="P65" t="str">
        <f t="shared" si="0"/>
        <v/>
      </c>
    </row>
    <row r="66" spans="1:16">
      <c r="A66" t="str">
        <f>_xlfn.TEXTJOIN("",TRUE,Input!$B$2,ROW(My_Audit!A65))</f>
        <v>X65</v>
      </c>
      <c r="P66" t="str">
        <f t="shared" si="0"/>
        <v/>
      </c>
    </row>
    <row r="67" spans="1:16">
      <c r="P67" t="str">
        <f t="shared" ref="P67:P130" si="1">_xlfn.TEXTJOIN(", ",TRUE,N67,O67)</f>
        <v/>
      </c>
    </row>
    <row r="68" spans="1:16">
      <c r="P68" t="str">
        <f t="shared" si="1"/>
        <v/>
      </c>
    </row>
    <row r="69" spans="1:16">
      <c r="P69" t="str">
        <f t="shared" si="1"/>
        <v/>
      </c>
    </row>
    <row r="70" spans="1:16">
      <c r="P70" t="str">
        <f t="shared" si="1"/>
        <v/>
      </c>
    </row>
    <row r="71" spans="1:16">
      <c r="P71" t="str">
        <f t="shared" si="1"/>
        <v/>
      </c>
    </row>
    <row r="72" spans="1:16">
      <c r="P72" t="str">
        <f t="shared" si="1"/>
        <v/>
      </c>
    </row>
    <row r="73" spans="1:16">
      <c r="P73" t="str">
        <f t="shared" si="1"/>
        <v/>
      </c>
    </row>
    <row r="74" spans="1:16">
      <c r="P74" t="str">
        <f t="shared" si="1"/>
        <v/>
      </c>
    </row>
    <row r="75" spans="1:16">
      <c r="P75" t="str">
        <f t="shared" si="1"/>
        <v/>
      </c>
    </row>
    <row r="76" spans="1:16">
      <c r="P76" t="str">
        <f t="shared" si="1"/>
        <v/>
      </c>
    </row>
    <row r="77" spans="1:16">
      <c r="P77" t="str">
        <f t="shared" si="1"/>
        <v/>
      </c>
    </row>
    <row r="78" spans="1:16">
      <c r="P78" t="str">
        <f t="shared" si="1"/>
        <v/>
      </c>
    </row>
    <row r="79" spans="1:16">
      <c r="P79" t="str">
        <f t="shared" si="1"/>
        <v/>
      </c>
    </row>
    <row r="80" spans="1:16">
      <c r="P80" t="str">
        <f t="shared" si="1"/>
        <v/>
      </c>
    </row>
    <row r="81" spans="16:16">
      <c r="P81" t="str">
        <f t="shared" si="1"/>
        <v/>
      </c>
    </row>
    <row r="82" spans="16:16">
      <c r="P82" t="str">
        <f t="shared" si="1"/>
        <v/>
      </c>
    </row>
    <row r="83" spans="16:16">
      <c r="P83" t="str">
        <f t="shared" si="1"/>
        <v/>
      </c>
    </row>
    <row r="84" spans="16:16">
      <c r="P84" t="str">
        <f t="shared" si="1"/>
        <v/>
      </c>
    </row>
    <row r="85" spans="16:16">
      <c r="P85" t="str">
        <f t="shared" si="1"/>
        <v/>
      </c>
    </row>
    <row r="86" spans="16:16">
      <c r="P86" t="str">
        <f t="shared" si="1"/>
        <v/>
      </c>
    </row>
    <row r="87" spans="16:16">
      <c r="P87" t="str">
        <f t="shared" si="1"/>
        <v/>
      </c>
    </row>
    <row r="88" spans="16:16">
      <c r="P88" t="str">
        <f t="shared" si="1"/>
        <v/>
      </c>
    </row>
    <row r="89" spans="16:16">
      <c r="P89" t="str">
        <f t="shared" si="1"/>
        <v/>
      </c>
    </row>
    <row r="90" spans="16:16">
      <c r="P90" t="str">
        <f t="shared" si="1"/>
        <v/>
      </c>
    </row>
    <row r="91" spans="16:16">
      <c r="P91" t="str">
        <f t="shared" si="1"/>
        <v/>
      </c>
    </row>
    <row r="92" spans="16:16">
      <c r="P92" t="str">
        <f t="shared" si="1"/>
        <v/>
      </c>
    </row>
    <row r="93" spans="16:16">
      <c r="P93" t="str">
        <f t="shared" si="1"/>
        <v/>
      </c>
    </row>
    <row r="94" spans="16:16">
      <c r="P94" t="str">
        <f t="shared" si="1"/>
        <v/>
      </c>
    </row>
    <row r="95" spans="16:16">
      <c r="P95" t="str">
        <f t="shared" si="1"/>
        <v/>
      </c>
    </row>
    <row r="96" spans="16:16">
      <c r="P96" t="str">
        <f t="shared" si="1"/>
        <v/>
      </c>
    </row>
    <row r="97" spans="16:16">
      <c r="P97" t="str">
        <f t="shared" si="1"/>
        <v/>
      </c>
    </row>
    <row r="98" spans="16:16">
      <c r="P98" t="str">
        <f t="shared" si="1"/>
        <v/>
      </c>
    </row>
    <row r="99" spans="16:16">
      <c r="P99" t="str">
        <f t="shared" si="1"/>
        <v/>
      </c>
    </row>
    <row r="100" spans="16:16">
      <c r="P100" t="str">
        <f t="shared" si="1"/>
        <v/>
      </c>
    </row>
    <row r="101" spans="16:16">
      <c r="P101" t="str">
        <f t="shared" si="1"/>
        <v/>
      </c>
    </row>
    <row r="102" spans="16:16">
      <c r="P102" t="str">
        <f t="shared" si="1"/>
        <v/>
      </c>
    </row>
    <row r="103" spans="16:16">
      <c r="P103" t="str">
        <f t="shared" si="1"/>
        <v/>
      </c>
    </row>
    <row r="104" spans="16:16">
      <c r="P104" t="str">
        <f t="shared" si="1"/>
        <v/>
      </c>
    </row>
    <row r="105" spans="16:16">
      <c r="P105" t="str">
        <f t="shared" si="1"/>
        <v/>
      </c>
    </row>
    <row r="106" spans="16:16">
      <c r="P106" t="str">
        <f t="shared" si="1"/>
        <v/>
      </c>
    </row>
    <row r="107" spans="16:16">
      <c r="P107" t="str">
        <f t="shared" si="1"/>
        <v/>
      </c>
    </row>
    <row r="108" spans="16:16">
      <c r="P108" t="str">
        <f t="shared" si="1"/>
        <v/>
      </c>
    </row>
    <row r="109" spans="16:16">
      <c r="P109" t="str">
        <f t="shared" si="1"/>
        <v/>
      </c>
    </row>
    <row r="110" spans="16:16">
      <c r="P110" t="str">
        <f t="shared" si="1"/>
        <v/>
      </c>
    </row>
    <row r="111" spans="16:16">
      <c r="P111" t="str">
        <f t="shared" si="1"/>
        <v/>
      </c>
    </row>
    <row r="112" spans="16:16">
      <c r="P112" t="str">
        <f t="shared" si="1"/>
        <v/>
      </c>
    </row>
    <row r="113" spans="16:16">
      <c r="P113" t="str">
        <f t="shared" si="1"/>
        <v/>
      </c>
    </row>
    <row r="114" spans="16:16">
      <c r="P114" t="str">
        <f t="shared" si="1"/>
        <v/>
      </c>
    </row>
    <row r="115" spans="16:16">
      <c r="P115" t="str">
        <f t="shared" si="1"/>
        <v/>
      </c>
    </row>
    <row r="116" spans="16:16">
      <c r="P116" t="str">
        <f t="shared" si="1"/>
        <v/>
      </c>
    </row>
    <row r="117" spans="16:16">
      <c r="P117" t="str">
        <f t="shared" si="1"/>
        <v/>
      </c>
    </row>
    <row r="118" spans="16:16">
      <c r="P118" t="str">
        <f t="shared" si="1"/>
        <v/>
      </c>
    </row>
    <row r="119" spans="16:16">
      <c r="P119" t="str">
        <f t="shared" si="1"/>
        <v/>
      </c>
    </row>
    <row r="120" spans="16:16">
      <c r="P120" t="str">
        <f t="shared" si="1"/>
        <v/>
      </c>
    </row>
    <row r="121" spans="16:16">
      <c r="P121" t="str">
        <f t="shared" si="1"/>
        <v/>
      </c>
    </row>
    <row r="122" spans="16:16">
      <c r="P122" t="str">
        <f t="shared" si="1"/>
        <v/>
      </c>
    </row>
    <row r="123" spans="16:16">
      <c r="P123" t="str">
        <f t="shared" si="1"/>
        <v/>
      </c>
    </row>
    <row r="124" spans="16:16">
      <c r="P124" t="str">
        <f t="shared" si="1"/>
        <v/>
      </c>
    </row>
    <row r="125" spans="16:16">
      <c r="P125" t="str">
        <f t="shared" si="1"/>
        <v/>
      </c>
    </row>
    <row r="126" spans="16:16">
      <c r="P126" t="str">
        <f t="shared" si="1"/>
        <v/>
      </c>
    </row>
    <row r="127" spans="16:16">
      <c r="P127" t="str">
        <f t="shared" si="1"/>
        <v/>
      </c>
    </row>
    <row r="128" spans="16:16">
      <c r="P128" t="str">
        <f t="shared" si="1"/>
        <v/>
      </c>
    </row>
    <row r="129" spans="16:16">
      <c r="P129" t="str">
        <f t="shared" si="1"/>
        <v/>
      </c>
    </row>
    <row r="130" spans="16:16">
      <c r="P130" t="str">
        <f t="shared" si="1"/>
        <v/>
      </c>
    </row>
    <row r="131" spans="16:16">
      <c r="P131" t="str">
        <f t="shared" ref="P131:P194" si="2">_xlfn.TEXTJOIN(", ",TRUE,N131,O131)</f>
        <v/>
      </c>
    </row>
    <row r="132" spans="16:16">
      <c r="P132" t="str">
        <f t="shared" si="2"/>
        <v/>
      </c>
    </row>
    <row r="133" spans="16:16">
      <c r="P133" t="str">
        <f t="shared" si="2"/>
        <v/>
      </c>
    </row>
    <row r="134" spans="16:16">
      <c r="P134" t="str">
        <f t="shared" si="2"/>
        <v/>
      </c>
    </row>
    <row r="135" spans="16:16">
      <c r="P135" t="str">
        <f t="shared" si="2"/>
        <v/>
      </c>
    </row>
    <row r="136" spans="16:16">
      <c r="P136" t="str">
        <f t="shared" si="2"/>
        <v/>
      </c>
    </row>
    <row r="137" spans="16:16">
      <c r="P137" t="str">
        <f t="shared" si="2"/>
        <v/>
      </c>
    </row>
    <row r="138" spans="16:16">
      <c r="P138" t="str">
        <f t="shared" si="2"/>
        <v/>
      </c>
    </row>
    <row r="139" spans="16:16">
      <c r="P139" t="str">
        <f t="shared" si="2"/>
        <v/>
      </c>
    </row>
    <row r="140" spans="16:16">
      <c r="P140" t="str">
        <f t="shared" si="2"/>
        <v/>
      </c>
    </row>
    <row r="141" spans="16:16">
      <c r="P141" t="str">
        <f t="shared" si="2"/>
        <v/>
      </c>
    </row>
    <row r="142" spans="16:16">
      <c r="P142" t="str">
        <f t="shared" si="2"/>
        <v/>
      </c>
    </row>
    <row r="143" spans="16:16">
      <c r="P143" t="str">
        <f t="shared" si="2"/>
        <v/>
      </c>
    </row>
    <row r="144" spans="16:16">
      <c r="P144" t="str">
        <f t="shared" si="2"/>
        <v/>
      </c>
    </row>
    <row r="145" spans="16:16">
      <c r="P145" t="str">
        <f t="shared" si="2"/>
        <v/>
      </c>
    </row>
    <row r="146" spans="16:16">
      <c r="P146" t="str">
        <f t="shared" si="2"/>
        <v/>
      </c>
    </row>
    <row r="147" spans="16:16">
      <c r="P147" t="str">
        <f t="shared" si="2"/>
        <v/>
      </c>
    </row>
    <row r="148" spans="16:16">
      <c r="P148" t="str">
        <f t="shared" si="2"/>
        <v/>
      </c>
    </row>
    <row r="149" spans="16:16">
      <c r="P149" t="str">
        <f t="shared" si="2"/>
        <v/>
      </c>
    </row>
    <row r="150" spans="16:16">
      <c r="P150" t="str">
        <f t="shared" si="2"/>
        <v/>
      </c>
    </row>
    <row r="151" spans="16:16">
      <c r="P151" t="str">
        <f t="shared" si="2"/>
        <v/>
      </c>
    </row>
    <row r="152" spans="16:16">
      <c r="P152" t="str">
        <f t="shared" si="2"/>
        <v/>
      </c>
    </row>
    <row r="153" spans="16:16">
      <c r="P153" t="str">
        <f t="shared" si="2"/>
        <v/>
      </c>
    </row>
    <row r="154" spans="16:16">
      <c r="P154" t="str">
        <f t="shared" si="2"/>
        <v/>
      </c>
    </row>
    <row r="155" spans="16:16">
      <c r="P155" t="str">
        <f t="shared" si="2"/>
        <v/>
      </c>
    </row>
    <row r="156" spans="16:16">
      <c r="P156" t="str">
        <f t="shared" si="2"/>
        <v/>
      </c>
    </row>
    <row r="157" spans="16:16">
      <c r="P157" t="str">
        <f t="shared" si="2"/>
        <v/>
      </c>
    </row>
    <row r="158" spans="16:16">
      <c r="P158" t="str">
        <f t="shared" si="2"/>
        <v/>
      </c>
    </row>
    <row r="159" spans="16:16">
      <c r="P159" t="str">
        <f t="shared" si="2"/>
        <v/>
      </c>
    </row>
    <row r="160" spans="16:16">
      <c r="P160" t="str">
        <f t="shared" si="2"/>
        <v/>
      </c>
    </row>
    <row r="161" spans="16:16">
      <c r="P161" t="str">
        <f t="shared" si="2"/>
        <v/>
      </c>
    </row>
    <row r="162" spans="16:16">
      <c r="P162" t="str">
        <f t="shared" si="2"/>
        <v/>
      </c>
    </row>
    <row r="163" spans="16:16">
      <c r="P163" t="str">
        <f t="shared" si="2"/>
        <v/>
      </c>
    </row>
    <row r="164" spans="16:16">
      <c r="P164" t="str">
        <f t="shared" si="2"/>
        <v/>
      </c>
    </row>
    <row r="165" spans="16:16">
      <c r="P165" t="str">
        <f t="shared" si="2"/>
        <v/>
      </c>
    </row>
    <row r="166" spans="16:16">
      <c r="P166" t="str">
        <f t="shared" si="2"/>
        <v/>
      </c>
    </row>
    <row r="167" spans="16:16">
      <c r="P167" t="str">
        <f t="shared" si="2"/>
        <v/>
      </c>
    </row>
    <row r="168" spans="16:16">
      <c r="P168" t="str">
        <f t="shared" si="2"/>
        <v/>
      </c>
    </row>
    <row r="169" spans="16:16">
      <c r="P169" t="str">
        <f t="shared" si="2"/>
        <v/>
      </c>
    </row>
    <row r="170" spans="16:16">
      <c r="P170" t="str">
        <f t="shared" si="2"/>
        <v/>
      </c>
    </row>
    <row r="171" spans="16:16">
      <c r="P171" t="str">
        <f t="shared" si="2"/>
        <v/>
      </c>
    </row>
    <row r="172" spans="16:16">
      <c r="P172" t="str">
        <f t="shared" si="2"/>
        <v/>
      </c>
    </row>
    <row r="173" spans="16:16">
      <c r="P173" t="str">
        <f t="shared" si="2"/>
        <v/>
      </c>
    </row>
    <row r="174" spans="16:16">
      <c r="P174" t="str">
        <f t="shared" si="2"/>
        <v/>
      </c>
    </row>
    <row r="175" spans="16:16">
      <c r="P175" t="str">
        <f t="shared" si="2"/>
        <v/>
      </c>
    </row>
    <row r="176" spans="16:16">
      <c r="P176" t="str">
        <f t="shared" si="2"/>
        <v/>
      </c>
    </row>
    <row r="177" spans="16:16">
      <c r="P177" t="str">
        <f t="shared" si="2"/>
        <v/>
      </c>
    </row>
    <row r="178" spans="16:16">
      <c r="P178" t="str">
        <f t="shared" si="2"/>
        <v/>
      </c>
    </row>
    <row r="179" spans="16:16">
      <c r="P179" t="str">
        <f t="shared" si="2"/>
        <v/>
      </c>
    </row>
    <row r="180" spans="16:16">
      <c r="P180" t="str">
        <f t="shared" si="2"/>
        <v/>
      </c>
    </row>
    <row r="181" spans="16:16">
      <c r="P181" t="str">
        <f t="shared" si="2"/>
        <v/>
      </c>
    </row>
    <row r="182" spans="16:16">
      <c r="P182" t="str">
        <f t="shared" si="2"/>
        <v/>
      </c>
    </row>
    <row r="183" spans="16:16">
      <c r="P183" t="str">
        <f t="shared" si="2"/>
        <v/>
      </c>
    </row>
    <row r="184" spans="16:16">
      <c r="P184" t="str">
        <f t="shared" si="2"/>
        <v/>
      </c>
    </row>
    <row r="185" spans="16:16">
      <c r="P185" t="str">
        <f t="shared" si="2"/>
        <v/>
      </c>
    </row>
    <row r="186" spans="16:16">
      <c r="P186" t="str">
        <f t="shared" si="2"/>
        <v/>
      </c>
    </row>
    <row r="187" spans="16:16">
      <c r="P187" t="str">
        <f t="shared" si="2"/>
        <v/>
      </c>
    </row>
    <row r="188" spans="16:16">
      <c r="P188" t="str">
        <f t="shared" si="2"/>
        <v/>
      </c>
    </row>
    <row r="189" spans="16:16">
      <c r="P189" t="str">
        <f t="shared" si="2"/>
        <v/>
      </c>
    </row>
    <row r="190" spans="16:16">
      <c r="P190" t="str">
        <f t="shared" si="2"/>
        <v/>
      </c>
    </row>
    <row r="191" spans="16:16">
      <c r="P191" t="str">
        <f t="shared" si="2"/>
        <v/>
      </c>
    </row>
    <row r="192" spans="16:16">
      <c r="P192" t="str">
        <f t="shared" si="2"/>
        <v/>
      </c>
    </row>
    <row r="193" spans="16:16">
      <c r="P193" t="str">
        <f t="shared" si="2"/>
        <v/>
      </c>
    </row>
    <row r="194" spans="16:16">
      <c r="P194" t="str">
        <f t="shared" si="2"/>
        <v/>
      </c>
    </row>
    <row r="195" spans="16:16">
      <c r="P195" t="str">
        <f t="shared" ref="P195:P258" si="3">_xlfn.TEXTJOIN(", ",TRUE,N195,O195)</f>
        <v/>
      </c>
    </row>
    <row r="196" spans="16:16">
      <c r="P196" t="str">
        <f t="shared" si="3"/>
        <v/>
      </c>
    </row>
    <row r="197" spans="16:16">
      <c r="P197" t="str">
        <f t="shared" si="3"/>
        <v/>
      </c>
    </row>
    <row r="198" spans="16:16">
      <c r="P198" t="str">
        <f t="shared" si="3"/>
        <v/>
      </c>
    </row>
    <row r="199" spans="16:16">
      <c r="P199" t="str">
        <f t="shared" si="3"/>
        <v/>
      </c>
    </row>
    <row r="200" spans="16:16">
      <c r="P200" t="str">
        <f t="shared" si="3"/>
        <v/>
      </c>
    </row>
    <row r="201" spans="16:16">
      <c r="P201" t="str">
        <f t="shared" si="3"/>
        <v/>
      </c>
    </row>
    <row r="202" spans="16:16">
      <c r="P202" t="str">
        <f t="shared" si="3"/>
        <v/>
      </c>
    </row>
    <row r="203" spans="16:16">
      <c r="P203" t="str">
        <f t="shared" si="3"/>
        <v/>
      </c>
    </row>
    <row r="204" spans="16:16">
      <c r="P204" t="str">
        <f t="shared" si="3"/>
        <v/>
      </c>
    </row>
    <row r="205" spans="16:16">
      <c r="P205" t="str">
        <f t="shared" si="3"/>
        <v/>
      </c>
    </row>
    <row r="206" spans="16:16">
      <c r="P206" t="str">
        <f t="shared" si="3"/>
        <v/>
      </c>
    </row>
    <row r="207" spans="16:16">
      <c r="P207" t="str">
        <f t="shared" si="3"/>
        <v/>
      </c>
    </row>
    <row r="208" spans="16:16">
      <c r="P208" t="str">
        <f t="shared" si="3"/>
        <v/>
      </c>
    </row>
    <row r="209" spans="16:16">
      <c r="P209" t="str">
        <f t="shared" si="3"/>
        <v/>
      </c>
    </row>
    <row r="210" spans="16:16">
      <c r="P210" t="str">
        <f t="shared" si="3"/>
        <v/>
      </c>
    </row>
    <row r="211" spans="16:16">
      <c r="P211" t="str">
        <f t="shared" si="3"/>
        <v/>
      </c>
    </row>
    <row r="212" spans="16:16">
      <c r="P212" t="str">
        <f t="shared" si="3"/>
        <v/>
      </c>
    </row>
    <row r="213" spans="16:16">
      <c r="P213" t="str">
        <f t="shared" si="3"/>
        <v/>
      </c>
    </row>
    <row r="214" spans="16:16">
      <c r="P214" t="str">
        <f t="shared" si="3"/>
        <v/>
      </c>
    </row>
    <row r="215" spans="16:16">
      <c r="P215" t="str">
        <f t="shared" si="3"/>
        <v/>
      </c>
    </row>
    <row r="216" spans="16:16">
      <c r="P216" t="str">
        <f t="shared" si="3"/>
        <v/>
      </c>
    </row>
    <row r="217" spans="16:16">
      <c r="P217" t="str">
        <f t="shared" si="3"/>
        <v/>
      </c>
    </row>
    <row r="218" spans="16:16">
      <c r="P218" t="str">
        <f t="shared" si="3"/>
        <v/>
      </c>
    </row>
    <row r="219" spans="16:16">
      <c r="P219" t="str">
        <f t="shared" si="3"/>
        <v/>
      </c>
    </row>
    <row r="220" spans="16:16">
      <c r="P220" t="str">
        <f t="shared" si="3"/>
        <v/>
      </c>
    </row>
    <row r="221" spans="16:16">
      <c r="P221" t="str">
        <f t="shared" si="3"/>
        <v/>
      </c>
    </row>
    <row r="222" spans="16:16">
      <c r="P222" t="str">
        <f t="shared" si="3"/>
        <v/>
      </c>
    </row>
    <row r="223" spans="16:16">
      <c r="P223" t="str">
        <f t="shared" si="3"/>
        <v/>
      </c>
    </row>
    <row r="224" spans="16:16">
      <c r="P224" t="str">
        <f t="shared" si="3"/>
        <v/>
      </c>
    </row>
    <row r="225" spans="16:16">
      <c r="P225" t="str">
        <f t="shared" si="3"/>
        <v/>
      </c>
    </row>
    <row r="226" spans="16:16">
      <c r="P226" t="str">
        <f t="shared" si="3"/>
        <v/>
      </c>
    </row>
    <row r="227" spans="16:16">
      <c r="P227" t="str">
        <f t="shared" si="3"/>
        <v/>
      </c>
    </row>
    <row r="228" spans="16:16">
      <c r="P228" t="str">
        <f t="shared" si="3"/>
        <v/>
      </c>
    </row>
    <row r="229" spans="16:16">
      <c r="P229" t="str">
        <f t="shared" si="3"/>
        <v/>
      </c>
    </row>
    <row r="230" spans="16:16">
      <c r="P230" t="str">
        <f t="shared" si="3"/>
        <v/>
      </c>
    </row>
    <row r="231" spans="16:16">
      <c r="P231" t="str">
        <f t="shared" si="3"/>
        <v/>
      </c>
    </row>
    <row r="232" spans="16:16">
      <c r="P232" t="str">
        <f t="shared" si="3"/>
        <v/>
      </c>
    </row>
    <row r="233" spans="16:16">
      <c r="P233" t="str">
        <f t="shared" si="3"/>
        <v/>
      </c>
    </row>
    <row r="234" spans="16:16">
      <c r="P234" t="str">
        <f t="shared" si="3"/>
        <v/>
      </c>
    </row>
    <row r="235" spans="16:16">
      <c r="P235" t="str">
        <f t="shared" si="3"/>
        <v/>
      </c>
    </row>
    <row r="236" spans="16:16">
      <c r="P236" t="str">
        <f t="shared" si="3"/>
        <v/>
      </c>
    </row>
    <row r="237" spans="16:16">
      <c r="P237" t="str">
        <f t="shared" si="3"/>
        <v/>
      </c>
    </row>
    <row r="238" spans="16:16">
      <c r="P238" t="str">
        <f t="shared" si="3"/>
        <v/>
      </c>
    </row>
    <row r="239" spans="16:16">
      <c r="P239" t="str">
        <f t="shared" si="3"/>
        <v/>
      </c>
    </row>
    <row r="240" spans="16:16">
      <c r="P240" t="str">
        <f t="shared" si="3"/>
        <v/>
      </c>
    </row>
    <row r="241" spans="16:16">
      <c r="P241" t="str">
        <f t="shared" si="3"/>
        <v/>
      </c>
    </row>
    <row r="242" spans="16:16">
      <c r="P242" t="str">
        <f t="shared" si="3"/>
        <v/>
      </c>
    </row>
    <row r="243" spans="16:16">
      <c r="P243" t="str">
        <f t="shared" si="3"/>
        <v/>
      </c>
    </row>
    <row r="244" spans="16:16">
      <c r="P244" t="str">
        <f t="shared" si="3"/>
        <v/>
      </c>
    </row>
    <row r="245" spans="16:16">
      <c r="P245" t="str">
        <f t="shared" si="3"/>
        <v/>
      </c>
    </row>
    <row r="246" spans="16:16">
      <c r="P246" t="str">
        <f t="shared" si="3"/>
        <v/>
      </c>
    </row>
    <row r="247" spans="16:16">
      <c r="P247" t="str">
        <f t="shared" si="3"/>
        <v/>
      </c>
    </row>
    <row r="248" spans="16:16">
      <c r="P248" t="str">
        <f t="shared" si="3"/>
        <v/>
      </c>
    </row>
    <row r="249" spans="16:16">
      <c r="P249" t="str">
        <f t="shared" si="3"/>
        <v/>
      </c>
    </row>
    <row r="250" spans="16:16">
      <c r="P250" t="str">
        <f t="shared" si="3"/>
        <v/>
      </c>
    </row>
    <row r="251" spans="16:16">
      <c r="P251" t="str">
        <f t="shared" si="3"/>
        <v/>
      </c>
    </row>
    <row r="252" spans="16:16">
      <c r="P252" t="str">
        <f t="shared" si="3"/>
        <v/>
      </c>
    </row>
    <row r="253" spans="16:16">
      <c r="P253" t="str">
        <f t="shared" si="3"/>
        <v/>
      </c>
    </row>
    <row r="254" spans="16:16">
      <c r="P254" t="str">
        <f t="shared" si="3"/>
        <v/>
      </c>
    </row>
    <row r="255" spans="16:16">
      <c r="P255" t="str">
        <f t="shared" si="3"/>
        <v/>
      </c>
    </row>
    <row r="256" spans="16:16">
      <c r="P256" t="str">
        <f t="shared" si="3"/>
        <v/>
      </c>
    </row>
    <row r="257" spans="16:16">
      <c r="P257" t="str">
        <f t="shared" si="3"/>
        <v/>
      </c>
    </row>
    <row r="258" spans="16:16">
      <c r="P258" t="str">
        <f t="shared" si="3"/>
        <v/>
      </c>
    </row>
    <row r="259" spans="16:16">
      <c r="P259" t="str">
        <f t="shared" ref="P259:P322" si="4">_xlfn.TEXTJOIN(", ",TRUE,N259,O259)</f>
        <v/>
      </c>
    </row>
    <row r="260" spans="16:16">
      <c r="P260" t="str">
        <f t="shared" si="4"/>
        <v/>
      </c>
    </row>
    <row r="261" spans="16:16">
      <c r="P261" t="str">
        <f t="shared" si="4"/>
        <v/>
      </c>
    </row>
    <row r="262" spans="16:16">
      <c r="P262" t="str">
        <f t="shared" si="4"/>
        <v/>
      </c>
    </row>
    <row r="263" spans="16:16">
      <c r="P263" t="str">
        <f t="shared" si="4"/>
        <v/>
      </c>
    </row>
    <row r="264" spans="16:16">
      <c r="P264" t="str">
        <f t="shared" si="4"/>
        <v/>
      </c>
    </row>
    <row r="265" spans="16:16">
      <c r="P265" t="str">
        <f t="shared" si="4"/>
        <v/>
      </c>
    </row>
    <row r="266" spans="16:16">
      <c r="P266" t="str">
        <f t="shared" si="4"/>
        <v/>
      </c>
    </row>
    <row r="267" spans="16:16">
      <c r="P267" t="str">
        <f t="shared" si="4"/>
        <v/>
      </c>
    </row>
    <row r="268" spans="16:16">
      <c r="P268" t="str">
        <f t="shared" si="4"/>
        <v/>
      </c>
    </row>
    <row r="269" spans="16:16">
      <c r="P269" t="str">
        <f t="shared" si="4"/>
        <v/>
      </c>
    </row>
    <row r="270" spans="16:16">
      <c r="P270" t="str">
        <f t="shared" si="4"/>
        <v/>
      </c>
    </row>
    <row r="271" spans="16:16">
      <c r="P271" t="str">
        <f t="shared" si="4"/>
        <v/>
      </c>
    </row>
    <row r="272" spans="16:16">
      <c r="P272" t="str">
        <f t="shared" si="4"/>
        <v/>
      </c>
    </row>
    <row r="273" spans="16:16">
      <c r="P273" t="str">
        <f t="shared" si="4"/>
        <v/>
      </c>
    </row>
    <row r="274" spans="16:16">
      <c r="P274" t="str">
        <f t="shared" si="4"/>
        <v/>
      </c>
    </row>
    <row r="275" spans="16:16">
      <c r="P275" t="str">
        <f t="shared" si="4"/>
        <v/>
      </c>
    </row>
    <row r="276" spans="16:16">
      <c r="P276" t="str">
        <f t="shared" si="4"/>
        <v/>
      </c>
    </row>
    <row r="277" spans="16:16">
      <c r="P277" t="str">
        <f t="shared" si="4"/>
        <v/>
      </c>
    </row>
    <row r="278" spans="16:16">
      <c r="P278" t="str">
        <f t="shared" si="4"/>
        <v/>
      </c>
    </row>
    <row r="279" spans="16:16">
      <c r="P279" t="str">
        <f t="shared" si="4"/>
        <v/>
      </c>
    </row>
    <row r="280" spans="16:16">
      <c r="P280" t="str">
        <f t="shared" si="4"/>
        <v/>
      </c>
    </row>
    <row r="281" spans="16:16">
      <c r="P281" t="str">
        <f t="shared" si="4"/>
        <v/>
      </c>
    </row>
    <row r="282" spans="16:16">
      <c r="P282" t="str">
        <f t="shared" si="4"/>
        <v/>
      </c>
    </row>
    <row r="283" spans="16:16">
      <c r="P283" t="str">
        <f t="shared" si="4"/>
        <v/>
      </c>
    </row>
    <row r="284" spans="16:16">
      <c r="P284" t="str">
        <f t="shared" si="4"/>
        <v/>
      </c>
    </row>
    <row r="285" spans="16:16">
      <c r="P285" t="str">
        <f t="shared" si="4"/>
        <v/>
      </c>
    </row>
    <row r="286" spans="16:16">
      <c r="P286" t="str">
        <f t="shared" si="4"/>
        <v/>
      </c>
    </row>
    <row r="287" spans="16:16">
      <c r="P287" t="str">
        <f t="shared" si="4"/>
        <v/>
      </c>
    </row>
    <row r="288" spans="16:16">
      <c r="P288" t="str">
        <f t="shared" si="4"/>
        <v/>
      </c>
    </row>
    <row r="289" spans="16:16">
      <c r="P289" t="str">
        <f t="shared" si="4"/>
        <v/>
      </c>
    </row>
    <row r="290" spans="16:16">
      <c r="P290" t="str">
        <f t="shared" si="4"/>
        <v/>
      </c>
    </row>
    <row r="291" spans="16:16">
      <c r="P291" t="str">
        <f t="shared" si="4"/>
        <v/>
      </c>
    </row>
    <row r="292" spans="16:16">
      <c r="P292" t="str">
        <f t="shared" si="4"/>
        <v/>
      </c>
    </row>
    <row r="293" spans="16:16">
      <c r="P293" t="str">
        <f t="shared" si="4"/>
        <v/>
      </c>
    </row>
    <row r="294" spans="16:16">
      <c r="P294" t="str">
        <f t="shared" si="4"/>
        <v/>
      </c>
    </row>
    <row r="295" spans="16:16">
      <c r="P295" t="str">
        <f t="shared" si="4"/>
        <v/>
      </c>
    </row>
    <row r="296" spans="16:16">
      <c r="P296" t="str">
        <f t="shared" si="4"/>
        <v/>
      </c>
    </row>
    <row r="297" spans="16:16">
      <c r="P297" t="str">
        <f t="shared" si="4"/>
        <v/>
      </c>
    </row>
    <row r="298" spans="16:16">
      <c r="P298" t="str">
        <f t="shared" si="4"/>
        <v/>
      </c>
    </row>
    <row r="299" spans="16:16">
      <c r="P299" t="str">
        <f t="shared" si="4"/>
        <v/>
      </c>
    </row>
    <row r="300" spans="16:16">
      <c r="P300" t="str">
        <f t="shared" si="4"/>
        <v/>
      </c>
    </row>
    <row r="301" spans="16:16">
      <c r="P301" t="str">
        <f t="shared" si="4"/>
        <v/>
      </c>
    </row>
    <row r="302" spans="16:16">
      <c r="P302" t="str">
        <f t="shared" si="4"/>
        <v/>
      </c>
    </row>
    <row r="303" spans="16:16">
      <c r="P303" t="str">
        <f t="shared" si="4"/>
        <v/>
      </c>
    </row>
    <row r="304" spans="16:16">
      <c r="P304" t="str">
        <f t="shared" si="4"/>
        <v/>
      </c>
    </row>
    <row r="305" spans="16:16">
      <c r="P305" t="str">
        <f t="shared" si="4"/>
        <v/>
      </c>
    </row>
    <row r="306" spans="16:16">
      <c r="P306" t="str">
        <f t="shared" si="4"/>
        <v/>
      </c>
    </row>
    <row r="307" spans="16:16">
      <c r="P307" t="str">
        <f t="shared" si="4"/>
        <v/>
      </c>
    </row>
    <row r="308" spans="16:16">
      <c r="P308" t="str">
        <f t="shared" si="4"/>
        <v/>
      </c>
    </row>
    <row r="309" spans="16:16">
      <c r="P309" t="str">
        <f t="shared" si="4"/>
        <v/>
      </c>
    </row>
    <row r="310" spans="16:16">
      <c r="P310" t="str">
        <f t="shared" si="4"/>
        <v/>
      </c>
    </row>
    <row r="311" spans="16:16">
      <c r="P311" t="str">
        <f t="shared" si="4"/>
        <v/>
      </c>
    </row>
    <row r="312" spans="16:16">
      <c r="P312" t="str">
        <f t="shared" si="4"/>
        <v/>
      </c>
    </row>
    <row r="313" spans="16:16">
      <c r="P313" t="str">
        <f t="shared" si="4"/>
        <v/>
      </c>
    </row>
    <row r="314" spans="16:16">
      <c r="P314" t="str">
        <f t="shared" si="4"/>
        <v/>
      </c>
    </row>
    <row r="315" spans="16:16">
      <c r="P315" t="str">
        <f t="shared" si="4"/>
        <v/>
      </c>
    </row>
    <row r="316" spans="16:16">
      <c r="P316" t="str">
        <f t="shared" si="4"/>
        <v/>
      </c>
    </row>
    <row r="317" spans="16:16">
      <c r="P317" t="str">
        <f t="shared" si="4"/>
        <v/>
      </c>
    </row>
    <row r="318" spans="16:16">
      <c r="P318" t="str">
        <f t="shared" si="4"/>
        <v/>
      </c>
    </row>
    <row r="319" spans="16:16">
      <c r="P319" t="str">
        <f t="shared" si="4"/>
        <v/>
      </c>
    </row>
    <row r="320" spans="16:16">
      <c r="P320" t="str">
        <f t="shared" si="4"/>
        <v/>
      </c>
    </row>
    <row r="321" spans="16:16">
      <c r="P321" t="str">
        <f t="shared" si="4"/>
        <v/>
      </c>
    </row>
    <row r="322" spans="16:16">
      <c r="P322" t="str">
        <f t="shared" si="4"/>
        <v/>
      </c>
    </row>
    <row r="323" spans="16:16">
      <c r="P323" t="str">
        <f t="shared" ref="P323:P386" si="5">_xlfn.TEXTJOIN(", ",TRUE,N323,O323)</f>
        <v/>
      </c>
    </row>
    <row r="324" spans="16:16">
      <c r="P324" t="str">
        <f t="shared" si="5"/>
        <v/>
      </c>
    </row>
    <row r="325" spans="16:16">
      <c r="P325" t="str">
        <f t="shared" si="5"/>
        <v/>
      </c>
    </row>
    <row r="326" spans="16:16">
      <c r="P326" t="str">
        <f t="shared" si="5"/>
        <v/>
      </c>
    </row>
    <row r="327" spans="16:16">
      <c r="P327" t="str">
        <f t="shared" si="5"/>
        <v/>
      </c>
    </row>
    <row r="328" spans="16:16">
      <c r="P328" t="str">
        <f t="shared" si="5"/>
        <v/>
      </c>
    </row>
    <row r="329" spans="16:16">
      <c r="P329" t="str">
        <f t="shared" si="5"/>
        <v/>
      </c>
    </row>
    <row r="330" spans="16:16">
      <c r="P330" t="str">
        <f t="shared" si="5"/>
        <v/>
      </c>
    </row>
    <row r="331" spans="16:16">
      <c r="P331" t="str">
        <f t="shared" si="5"/>
        <v/>
      </c>
    </row>
    <row r="332" spans="16:16">
      <c r="P332" t="str">
        <f t="shared" si="5"/>
        <v/>
      </c>
    </row>
    <row r="333" spans="16:16">
      <c r="P333" t="str">
        <f t="shared" si="5"/>
        <v/>
      </c>
    </row>
    <row r="334" spans="16:16">
      <c r="P334" t="str">
        <f t="shared" si="5"/>
        <v/>
      </c>
    </row>
    <row r="335" spans="16:16">
      <c r="P335" t="str">
        <f t="shared" si="5"/>
        <v/>
      </c>
    </row>
    <row r="336" spans="16:16">
      <c r="P336" t="str">
        <f t="shared" si="5"/>
        <v/>
      </c>
    </row>
    <row r="337" spans="16:16">
      <c r="P337" t="str">
        <f t="shared" si="5"/>
        <v/>
      </c>
    </row>
    <row r="338" spans="16:16">
      <c r="P338" t="str">
        <f t="shared" si="5"/>
        <v/>
      </c>
    </row>
    <row r="339" spans="16:16">
      <c r="P339" t="str">
        <f t="shared" si="5"/>
        <v/>
      </c>
    </row>
    <row r="340" spans="16:16">
      <c r="P340" t="str">
        <f t="shared" si="5"/>
        <v/>
      </c>
    </row>
    <row r="341" spans="16:16">
      <c r="P341" t="str">
        <f t="shared" si="5"/>
        <v/>
      </c>
    </row>
    <row r="342" spans="16:16">
      <c r="P342" t="str">
        <f t="shared" si="5"/>
        <v/>
      </c>
    </row>
    <row r="343" spans="16:16">
      <c r="P343" t="str">
        <f t="shared" si="5"/>
        <v/>
      </c>
    </row>
    <row r="344" spans="16:16">
      <c r="P344" t="str">
        <f t="shared" si="5"/>
        <v/>
      </c>
    </row>
    <row r="345" spans="16:16">
      <c r="P345" t="str">
        <f t="shared" si="5"/>
        <v/>
      </c>
    </row>
    <row r="346" spans="16:16">
      <c r="P346" t="str">
        <f t="shared" si="5"/>
        <v/>
      </c>
    </row>
    <row r="347" spans="16:16">
      <c r="P347" t="str">
        <f t="shared" si="5"/>
        <v/>
      </c>
    </row>
    <row r="348" spans="16:16">
      <c r="P348" t="str">
        <f t="shared" si="5"/>
        <v/>
      </c>
    </row>
    <row r="349" spans="16:16">
      <c r="P349" t="str">
        <f t="shared" si="5"/>
        <v/>
      </c>
    </row>
    <row r="350" spans="16:16">
      <c r="P350" t="str">
        <f t="shared" si="5"/>
        <v/>
      </c>
    </row>
    <row r="351" spans="16:16">
      <c r="P351" t="str">
        <f t="shared" si="5"/>
        <v/>
      </c>
    </row>
    <row r="352" spans="16:16">
      <c r="P352" t="str">
        <f t="shared" si="5"/>
        <v/>
      </c>
    </row>
    <row r="353" spans="16:16">
      <c r="P353" t="str">
        <f t="shared" si="5"/>
        <v/>
      </c>
    </row>
    <row r="354" spans="16:16">
      <c r="P354" t="str">
        <f t="shared" si="5"/>
        <v/>
      </c>
    </row>
    <row r="355" spans="16:16">
      <c r="P355" t="str">
        <f t="shared" si="5"/>
        <v/>
      </c>
    </row>
    <row r="356" spans="16:16">
      <c r="P356" t="str">
        <f t="shared" si="5"/>
        <v/>
      </c>
    </row>
    <row r="357" spans="16:16">
      <c r="P357" t="str">
        <f t="shared" si="5"/>
        <v/>
      </c>
    </row>
    <row r="358" spans="16:16">
      <c r="P358" t="str">
        <f t="shared" si="5"/>
        <v/>
      </c>
    </row>
    <row r="359" spans="16:16">
      <c r="P359" t="str">
        <f t="shared" si="5"/>
        <v/>
      </c>
    </row>
    <row r="360" spans="16:16">
      <c r="P360" t="str">
        <f t="shared" si="5"/>
        <v/>
      </c>
    </row>
    <row r="361" spans="16:16">
      <c r="P361" t="str">
        <f t="shared" si="5"/>
        <v/>
      </c>
    </row>
    <row r="362" spans="16:16">
      <c r="P362" t="str">
        <f t="shared" si="5"/>
        <v/>
      </c>
    </row>
    <row r="363" spans="16:16">
      <c r="P363" t="str">
        <f t="shared" si="5"/>
        <v/>
      </c>
    </row>
    <row r="364" spans="16:16">
      <c r="P364" t="str">
        <f t="shared" si="5"/>
        <v/>
      </c>
    </row>
    <row r="365" spans="16:16">
      <c r="P365" t="str">
        <f t="shared" si="5"/>
        <v/>
      </c>
    </row>
    <row r="366" spans="16:16">
      <c r="P366" t="str">
        <f t="shared" si="5"/>
        <v/>
      </c>
    </row>
    <row r="367" spans="16:16">
      <c r="P367" t="str">
        <f t="shared" si="5"/>
        <v/>
      </c>
    </row>
    <row r="368" spans="16:16">
      <c r="P368" t="str">
        <f t="shared" si="5"/>
        <v/>
      </c>
    </row>
    <row r="369" spans="16:16">
      <c r="P369" t="str">
        <f t="shared" si="5"/>
        <v/>
      </c>
    </row>
    <row r="370" spans="16:16">
      <c r="P370" t="str">
        <f t="shared" si="5"/>
        <v/>
      </c>
    </row>
    <row r="371" spans="16:16">
      <c r="P371" t="str">
        <f t="shared" si="5"/>
        <v/>
      </c>
    </row>
    <row r="372" spans="16:16">
      <c r="P372" t="str">
        <f t="shared" si="5"/>
        <v/>
      </c>
    </row>
    <row r="373" spans="16:16">
      <c r="P373" t="str">
        <f t="shared" si="5"/>
        <v/>
      </c>
    </row>
    <row r="374" spans="16:16">
      <c r="P374" t="str">
        <f t="shared" si="5"/>
        <v/>
      </c>
    </row>
    <row r="375" spans="16:16">
      <c r="P375" t="str">
        <f t="shared" si="5"/>
        <v/>
      </c>
    </row>
    <row r="376" spans="16:16">
      <c r="P376" t="str">
        <f t="shared" si="5"/>
        <v/>
      </c>
    </row>
    <row r="377" spans="16:16">
      <c r="P377" t="str">
        <f t="shared" si="5"/>
        <v/>
      </c>
    </row>
    <row r="378" spans="16:16">
      <c r="P378" t="str">
        <f t="shared" si="5"/>
        <v/>
      </c>
    </row>
    <row r="379" spans="16:16">
      <c r="P379" t="str">
        <f t="shared" si="5"/>
        <v/>
      </c>
    </row>
    <row r="380" spans="16:16">
      <c r="P380" t="str">
        <f t="shared" si="5"/>
        <v/>
      </c>
    </row>
    <row r="381" spans="16:16">
      <c r="P381" t="str">
        <f t="shared" si="5"/>
        <v/>
      </c>
    </row>
    <row r="382" spans="16:16">
      <c r="P382" t="str">
        <f t="shared" si="5"/>
        <v/>
      </c>
    </row>
    <row r="383" spans="16:16">
      <c r="P383" t="str">
        <f t="shared" si="5"/>
        <v/>
      </c>
    </row>
    <row r="384" spans="16:16">
      <c r="P384" t="str">
        <f t="shared" si="5"/>
        <v/>
      </c>
    </row>
    <row r="385" spans="16:16">
      <c r="P385" t="str">
        <f t="shared" si="5"/>
        <v/>
      </c>
    </row>
    <row r="386" spans="16:16">
      <c r="P386" t="str">
        <f t="shared" si="5"/>
        <v/>
      </c>
    </row>
    <row r="387" spans="16:16">
      <c r="P387" t="str">
        <f t="shared" ref="P387:P450" si="6">_xlfn.TEXTJOIN(", ",TRUE,N387,O387)</f>
        <v/>
      </c>
    </row>
    <row r="388" spans="16:16">
      <c r="P388" t="str">
        <f t="shared" si="6"/>
        <v/>
      </c>
    </row>
    <row r="389" spans="16:16">
      <c r="P389" t="str">
        <f t="shared" si="6"/>
        <v/>
      </c>
    </row>
    <row r="390" spans="16:16">
      <c r="P390" t="str">
        <f t="shared" si="6"/>
        <v/>
      </c>
    </row>
    <row r="391" spans="16:16">
      <c r="P391" t="str">
        <f t="shared" si="6"/>
        <v/>
      </c>
    </row>
    <row r="392" spans="16:16">
      <c r="P392" t="str">
        <f t="shared" si="6"/>
        <v/>
      </c>
    </row>
    <row r="393" spans="16:16">
      <c r="P393" t="str">
        <f t="shared" si="6"/>
        <v/>
      </c>
    </row>
    <row r="394" spans="16:16">
      <c r="P394" t="str">
        <f t="shared" si="6"/>
        <v/>
      </c>
    </row>
    <row r="395" spans="16:16">
      <c r="P395" t="str">
        <f t="shared" si="6"/>
        <v/>
      </c>
    </row>
    <row r="396" spans="16:16">
      <c r="P396" t="str">
        <f t="shared" si="6"/>
        <v/>
      </c>
    </row>
    <row r="397" spans="16:16">
      <c r="P397" t="str">
        <f t="shared" si="6"/>
        <v/>
      </c>
    </row>
    <row r="398" spans="16:16">
      <c r="P398" t="str">
        <f t="shared" si="6"/>
        <v/>
      </c>
    </row>
    <row r="399" spans="16:16">
      <c r="P399" t="str">
        <f t="shared" si="6"/>
        <v/>
      </c>
    </row>
    <row r="400" spans="16:16">
      <c r="P400" t="str">
        <f t="shared" si="6"/>
        <v/>
      </c>
    </row>
    <row r="401" spans="16:16">
      <c r="P401" t="str">
        <f t="shared" si="6"/>
        <v/>
      </c>
    </row>
    <row r="402" spans="16:16">
      <c r="P402" t="str">
        <f t="shared" si="6"/>
        <v/>
      </c>
    </row>
    <row r="403" spans="16:16">
      <c r="P403" t="str">
        <f t="shared" si="6"/>
        <v/>
      </c>
    </row>
    <row r="404" spans="16:16">
      <c r="P404" t="str">
        <f t="shared" si="6"/>
        <v/>
      </c>
    </row>
    <row r="405" spans="16:16">
      <c r="P405" t="str">
        <f t="shared" si="6"/>
        <v/>
      </c>
    </row>
    <row r="406" spans="16:16">
      <c r="P406" t="str">
        <f t="shared" si="6"/>
        <v/>
      </c>
    </row>
    <row r="407" spans="16:16">
      <c r="P407" t="str">
        <f t="shared" si="6"/>
        <v/>
      </c>
    </row>
    <row r="408" spans="16:16">
      <c r="P408" t="str">
        <f t="shared" si="6"/>
        <v/>
      </c>
    </row>
    <row r="409" spans="16:16">
      <c r="P409" t="str">
        <f t="shared" si="6"/>
        <v/>
      </c>
    </row>
    <row r="410" spans="16:16">
      <c r="P410" t="str">
        <f t="shared" si="6"/>
        <v/>
      </c>
    </row>
    <row r="411" spans="16:16">
      <c r="P411" t="str">
        <f t="shared" si="6"/>
        <v/>
      </c>
    </row>
    <row r="412" spans="16:16">
      <c r="P412" t="str">
        <f t="shared" si="6"/>
        <v/>
      </c>
    </row>
    <row r="413" spans="16:16">
      <c r="P413" t="str">
        <f t="shared" si="6"/>
        <v/>
      </c>
    </row>
    <row r="414" spans="16:16">
      <c r="P414" t="str">
        <f t="shared" si="6"/>
        <v/>
      </c>
    </row>
    <row r="415" spans="16:16">
      <c r="P415" t="str">
        <f t="shared" si="6"/>
        <v/>
      </c>
    </row>
    <row r="416" spans="16:16">
      <c r="P416" t="str">
        <f t="shared" si="6"/>
        <v/>
      </c>
    </row>
    <row r="417" spans="16:16">
      <c r="P417" t="str">
        <f t="shared" si="6"/>
        <v/>
      </c>
    </row>
    <row r="418" spans="16:16">
      <c r="P418" t="str">
        <f t="shared" si="6"/>
        <v/>
      </c>
    </row>
    <row r="419" spans="16:16">
      <c r="P419" t="str">
        <f t="shared" si="6"/>
        <v/>
      </c>
    </row>
    <row r="420" spans="16:16">
      <c r="P420" t="str">
        <f t="shared" si="6"/>
        <v/>
      </c>
    </row>
    <row r="421" spans="16:16">
      <c r="P421" t="str">
        <f t="shared" si="6"/>
        <v/>
      </c>
    </row>
    <row r="422" spans="16:16">
      <c r="P422" t="str">
        <f t="shared" si="6"/>
        <v/>
      </c>
    </row>
    <row r="423" spans="16:16">
      <c r="P423" t="str">
        <f t="shared" si="6"/>
        <v/>
      </c>
    </row>
    <row r="424" spans="16:16">
      <c r="P424" t="str">
        <f t="shared" si="6"/>
        <v/>
      </c>
    </row>
    <row r="425" spans="16:16">
      <c r="P425" t="str">
        <f t="shared" si="6"/>
        <v/>
      </c>
    </row>
    <row r="426" spans="16:16">
      <c r="P426" t="str">
        <f t="shared" si="6"/>
        <v/>
      </c>
    </row>
    <row r="427" spans="16:16">
      <c r="P427" t="str">
        <f t="shared" si="6"/>
        <v/>
      </c>
    </row>
    <row r="428" spans="16:16">
      <c r="P428" t="str">
        <f t="shared" si="6"/>
        <v/>
      </c>
    </row>
    <row r="429" spans="16:16">
      <c r="P429" t="str">
        <f t="shared" si="6"/>
        <v/>
      </c>
    </row>
    <row r="430" spans="16:16">
      <c r="P430" t="str">
        <f t="shared" si="6"/>
        <v/>
      </c>
    </row>
    <row r="431" spans="16:16">
      <c r="P431" t="str">
        <f t="shared" si="6"/>
        <v/>
      </c>
    </row>
    <row r="432" spans="16:16">
      <c r="P432" t="str">
        <f t="shared" si="6"/>
        <v/>
      </c>
    </row>
    <row r="433" spans="16:16">
      <c r="P433" t="str">
        <f t="shared" si="6"/>
        <v/>
      </c>
    </row>
    <row r="434" spans="16:16">
      <c r="P434" t="str">
        <f t="shared" si="6"/>
        <v/>
      </c>
    </row>
    <row r="435" spans="16:16">
      <c r="P435" t="str">
        <f t="shared" si="6"/>
        <v/>
      </c>
    </row>
    <row r="436" spans="16:16">
      <c r="P436" t="str">
        <f t="shared" si="6"/>
        <v/>
      </c>
    </row>
    <row r="437" spans="16:16">
      <c r="P437" t="str">
        <f t="shared" si="6"/>
        <v/>
      </c>
    </row>
    <row r="438" spans="16:16">
      <c r="P438" t="str">
        <f t="shared" si="6"/>
        <v/>
      </c>
    </row>
    <row r="439" spans="16:16">
      <c r="P439" t="str">
        <f t="shared" si="6"/>
        <v/>
      </c>
    </row>
    <row r="440" spans="16:16">
      <c r="P440" t="str">
        <f t="shared" si="6"/>
        <v/>
      </c>
    </row>
    <row r="441" spans="16:16">
      <c r="P441" t="str">
        <f t="shared" si="6"/>
        <v/>
      </c>
    </row>
    <row r="442" spans="16:16">
      <c r="P442" t="str">
        <f t="shared" si="6"/>
        <v/>
      </c>
    </row>
    <row r="443" spans="16:16">
      <c r="P443" t="str">
        <f t="shared" si="6"/>
        <v/>
      </c>
    </row>
    <row r="444" spans="16:16">
      <c r="P444" t="str">
        <f t="shared" si="6"/>
        <v/>
      </c>
    </row>
    <row r="445" spans="16:16">
      <c r="P445" t="str">
        <f t="shared" si="6"/>
        <v/>
      </c>
    </row>
    <row r="446" spans="16:16">
      <c r="P446" t="str">
        <f t="shared" si="6"/>
        <v/>
      </c>
    </row>
    <row r="447" spans="16:16">
      <c r="P447" t="str">
        <f t="shared" si="6"/>
        <v/>
      </c>
    </row>
    <row r="448" spans="16:16">
      <c r="P448" t="str">
        <f t="shared" si="6"/>
        <v/>
      </c>
    </row>
    <row r="449" spans="16:16">
      <c r="P449" t="str">
        <f t="shared" si="6"/>
        <v/>
      </c>
    </row>
    <row r="450" spans="16:16">
      <c r="P450" t="str">
        <f t="shared" si="6"/>
        <v/>
      </c>
    </row>
    <row r="451" spans="16:16">
      <c r="P451" t="str">
        <f t="shared" ref="P451:P455" si="7">_xlfn.TEXTJOIN(", ",TRUE,N451,O451)</f>
        <v/>
      </c>
    </row>
    <row r="452" spans="16:16">
      <c r="P452" t="str">
        <f t="shared" si="7"/>
        <v/>
      </c>
    </row>
    <row r="453" spans="16:16">
      <c r="P453" t="str">
        <f t="shared" si="7"/>
        <v/>
      </c>
    </row>
    <row r="454" spans="16:16">
      <c r="P454" t="str">
        <f t="shared" si="7"/>
        <v/>
      </c>
    </row>
    <row r="455" spans="16:16">
      <c r="P455" t="str">
        <f t="shared" si="7"/>
        <v/>
      </c>
    </row>
  </sheetData>
  <phoneticPr fontId="9" type="noConversion"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EC66252-D64F-4C71-A887-23E8A9710AD7}">
  <sheetPr codeName="Sheet3">
    <tabColor theme="3" tint="0.499984740745262"/>
  </sheetPr>
  <dimension ref="A1:AP101"/>
  <sheetViews>
    <sheetView workbookViewId="0">
      <selection activeCell="F13" sqref="F13"/>
    </sheetView>
  </sheetViews>
  <sheetFormatPr defaultRowHeight="15"/>
  <cols>
    <col min="1" max="1" width="144.7109375" bestFit="1" customWidth="1"/>
    <col min="2" max="2" width="11.7109375" customWidth="1"/>
    <col min="3" max="3" width="20.7109375" customWidth="1"/>
    <col min="4" max="4" width="16.7109375" customWidth="1"/>
    <col min="5" max="5" width="22.42578125" customWidth="1"/>
    <col min="6" max="6" width="21.42578125" customWidth="1"/>
    <col min="7" max="7" width="11.7109375" customWidth="1"/>
    <col min="8" max="8" width="18.28515625" customWidth="1"/>
    <col min="9" max="9" width="36.28515625" bestFit="1" customWidth="1"/>
    <col min="10" max="10" width="15.28515625" customWidth="1"/>
    <col min="11" max="11" width="19.85546875" bestFit="1" customWidth="1"/>
    <col min="12" max="12" width="33.85546875" bestFit="1" customWidth="1"/>
    <col min="13" max="13" width="13.5703125" customWidth="1"/>
    <col min="14" max="14" width="22.85546875" customWidth="1"/>
    <col min="15" max="15" width="24.5703125" customWidth="1"/>
    <col min="16" max="16" width="15.42578125" customWidth="1"/>
    <col min="17" max="17" width="22.7109375" customWidth="1"/>
    <col min="18" max="18" width="32.5703125" customWidth="1"/>
    <col min="19" max="19" width="35.42578125" bestFit="1" customWidth="1"/>
    <col min="20" max="20" width="46" bestFit="1" customWidth="1"/>
    <col min="21" max="21" width="23.85546875" bestFit="1" customWidth="1"/>
    <col min="22" max="22" width="38.42578125" bestFit="1" customWidth="1"/>
    <col min="23" max="23" width="15" customWidth="1"/>
    <col min="24" max="24" width="20.140625" customWidth="1"/>
    <col min="25" max="25" width="24.7109375" style="18" bestFit="1" customWidth="1"/>
    <col min="26" max="26" width="34.5703125" bestFit="1" customWidth="1"/>
    <col min="27" max="27" width="49" bestFit="1" customWidth="1"/>
    <col min="28" max="28" width="17.42578125" customWidth="1"/>
    <col min="29" max="29" width="64.5703125" bestFit="1" customWidth="1"/>
    <col min="30" max="30" width="19.85546875" customWidth="1"/>
    <col min="31" max="31" width="38.28515625" bestFit="1" customWidth="1"/>
  </cols>
  <sheetData>
    <row r="1" spans="1:31">
      <c r="A1" s="36" t="s">
        <v>62</v>
      </c>
      <c r="B1" t="s">
        <v>63</v>
      </c>
      <c r="C1" s="36" t="s">
        <v>64</v>
      </c>
      <c r="D1" t="s">
        <v>24</v>
      </c>
      <c r="E1" t="s">
        <v>25</v>
      </c>
      <c r="F1" t="s">
        <v>26</v>
      </c>
      <c r="G1" t="s">
        <v>27</v>
      </c>
      <c r="H1" t="s">
        <v>28</v>
      </c>
      <c r="I1" t="s">
        <v>29</v>
      </c>
      <c r="J1" t="s">
        <v>30</v>
      </c>
      <c r="K1" t="s">
        <v>31</v>
      </c>
      <c r="L1" t="s">
        <v>32</v>
      </c>
      <c r="M1" t="s">
        <v>33</v>
      </c>
      <c r="N1" t="s">
        <v>34</v>
      </c>
      <c r="O1" t="s">
        <v>35</v>
      </c>
      <c r="P1" t="s">
        <v>561</v>
      </c>
      <c r="Q1" t="s">
        <v>522</v>
      </c>
      <c r="R1" t="s">
        <v>36</v>
      </c>
      <c r="S1" t="s">
        <v>37</v>
      </c>
      <c r="T1" t="s">
        <v>38</v>
      </c>
      <c r="U1" t="s">
        <v>39</v>
      </c>
      <c r="V1" t="s">
        <v>40</v>
      </c>
      <c r="W1" t="s">
        <v>41</v>
      </c>
      <c r="X1" t="s">
        <v>42</v>
      </c>
      <c r="Y1" t="s">
        <v>43</v>
      </c>
      <c r="Z1" t="s">
        <v>44</v>
      </c>
      <c r="AA1" t="s">
        <v>45</v>
      </c>
      <c r="AB1" t="s">
        <v>46</v>
      </c>
      <c r="AC1" t="s">
        <v>47</v>
      </c>
      <c r="AD1" t="s">
        <v>48</v>
      </c>
      <c r="AE1" t="s">
        <v>49</v>
      </c>
    </row>
    <row r="2" spans="1:31">
      <c r="A2" s="36" t="s">
        <v>568</v>
      </c>
      <c r="B2" s="36" t="s">
        <v>527</v>
      </c>
      <c r="C2" s="36"/>
      <c r="Y2"/>
    </row>
    <row r="3" spans="1:31">
      <c r="B3" s="40" t="s">
        <v>22</v>
      </c>
      <c r="C3" s="41" t="s">
        <v>23</v>
      </c>
      <c r="Y3"/>
    </row>
    <row r="4" spans="1:31">
      <c r="B4" s="40"/>
      <c r="C4" s="41"/>
      <c r="Y4"/>
    </row>
    <row r="5" spans="1:31">
      <c r="B5" s="40"/>
      <c r="C5" s="41"/>
      <c r="Y5"/>
    </row>
    <row r="6" spans="1:31">
      <c r="B6" s="40"/>
      <c r="C6" s="41"/>
      <c r="Y6"/>
    </row>
    <row r="7" spans="1:31">
      <c r="B7" s="40"/>
      <c r="C7" s="41"/>
      <c r="Y7"/>
    </row>
    <row r="8" spans="1:31">
      <c r="B8" s="40"/>
      <c r="C8" s="41"/>
      <c r="Y8"/>
    </row>
    <row r="9" spans="1:31">
      <c r="B9" s="40"/>
      <c r="C9" s="41"/>
      <c r="Y9"/>
    </row>
    <row r="10" spans="1:31">
      <c r="B10" s="40"/>
      <c r="C10" s="41"/>
      <c r="Y10"/>
    </row>
    <row r="11" spans="1:31">
      <c r="B11" s="40"/>
      <c r="C11" s="41"/>
      <c r="Y11"/>
    </row>
    <row r="12" spans="1:31">
      <c r="B12" s="40"/>
      <c r="C12" s="41"/>
      <c r="Y12"/>
    </row>
    <row r="13" spans="1:31">
      <c r="B13" s="40"/>
      <c r="C13" s="41"/>
      <c r="Y13"/>
      <c r="AE13" s="4"/>
    </row>
    <row r="14" spans="1:31">
      <c r="B14" s="40"/>
      <c r="C14" s="41"/>
      <c r="Y14"/>
    </row>
    <row r="15" spans="1:31">
      <c r="B15" s="40"/>
      <c r="C15" s="41"/>
      <c r="Y15"/>
    </row>
    <row r="16" spans="1:31">
      <c r="B16" s="40"/>
      <c r="C16" s="41"/>
      <c r="Y16"/>
    </row>
    <row r="17" spans="2:38">
      <c r="B17" s="40"/>
      <c r="C17" s="41"/>
      <c r="Y17"/>
    </row>
    <row r="18" spans="2:38">
      <c r="B18" s="40"/>
      <c r="C18" s="41"/>
      <c r="Y18"/>
    </row>
    <row r="19" spans="2:38">
      <c r="B19" s="40"/>
      <c r="C19" s="41"/>
      <c r="Y19"/>
    </row>
    <row r="20" spans="2:38">
      <c r="B20" s="40"/>
      <c r="C20" s="41"/>
      <c r="Y20"/>
    </row>
    <row r="21" spans="2:38">
      <c r="B21" s="40"/>
      <c r="C21" s="41"/>
      <c r="Y21"/>
    </row>
    <row r="22" spans="2:38">
      <c r="B22" s="40"/>
      <c r="C22" s="41"/>
      <c r="Y22"/>
    </row>
    <row r="23" spans="2:38">
      <c r="B23" s="40"/>
      <c r="C23" s="41"/>
      <c r="Y23"/>
    </row>
    <row r="24" spans="2:38">
      <c r="B24" s="40"/>
      <c r="C24" s="41"/>
      <c r="Y24"/>
    </row>
    <row r="25" spans="2:38">
      <c r="B25" s="40"/>
      <c r="C25" s="41"/>
      <c r="Y25"/>
      <c r="AL25" s="3"/>
    </row>
    <row r="26" spans="2:38">
      <c r="B26" s="40"/>
      <c r="C26" s="41"/>
      <c r="Y26"/>
      <c r="AL26" s="3"/>
    </row>
    <row r="27" spans="2:38">
      <c r="B27" s="40"/>
      <c r="C27" s="41"/>
      <c r="Y27"/>
      <c r="AL27" s="3"/>
    </row>
    <row r="28" spans="2:38">
      <c r="B28" s="40"/>
      <c r="C28" s="41"/>
      <c r="Y28"/>
      <c r="AL28" s="3"/>
    </row>
    <row r="29" spans="2:38">
      <c r="B29" s="40"/>
      <c r="C29" s="41"/>
      <c r="Y29"/>
      <c r="AL29" s="3"/>
    </row>
    <row r="30" spans="2:38">
      <c r="B30" s="40"/>
      <c r="C30" s="41"/>
      <c r="Y30"/>
    </row>
    <row r="31" spans="2:38">
      <c r="B31" s="40"/>
      <c r="C31" s="41"/>
      <c r="Y31"/>
      <c r="AL31" s="3"/>
    </row>
    <row r="32" spans="2:38">
      <c r="B32" s="40"/>
      <c r="C32" s="41"/>
      <c r="Y32"/>
    </row>
    <row r="33" spans="2:42">
      <c r="B33" s="40"/>
      <c r="C33" s="41"/>
      <c r="Y33"/>
      <c r="AL33" s="3"/>
    </row>
    <row r="34" spans="2:42">
      <c r="B34" s="40"/>
      <c r="C34" s="41"/>
      <c r="Y34"/>
      <c r="AL34" s="3"/>
    </row>
    <row r="35" spans="2:42">
      <c r="B35" s="40"/>
      <c r="C35" s="41"/>
      <c r="Y35"/>
      <c r="AL35" s="3"/>
    </row>
    <row r="36" spans="2:42">
      <c r="B36" s="40"/>
      <c r="C36" s="41"/>
      <c r="Y36"/>
      <c r="AL36" s="3"/>
    </row>
    <row r="37" spans="2:42">
      <c r="B37" s="40"/>
      <c r="C37" s="41"/>
      <c r="Y37"/>
    </row>
    <row r="38" spans="2:42">
      <c r="B38" s="40"/>
      <c r="C38" s="41"/>
      <c r="Y38"/>
      <c r="AL38" s="3"/>
    </row>
    <row r="39" spans="2:42">
      <c r="B39" s="40"/>
      <c r="C39" s="41"/>
      <c r="Y39"/>
      <c r="AL39" s="3"/>
    </row>
    <row r="40" spans="2:42">
      <c r="B40" s="40"/>
      <c r="C40" s="41"/>
      <c r="Y40"/>
      <c r="AL40" s="3"/>
    </row>
    <row r="41" spans="2:42">
      <c r="B41" s="40"/>
      <c r="C41" s="41"/>
      <c r="Y41"/>
      <c r="AL41" s="3"/>
    </row>
    <row r="42" spans="2:42">
      <c r="B42" s="40"/>
      <c r="C42" s="41"/>
      <c r="Y42"/>
      <c r="AL42" s="3"/>
    </row>
    <row r="43" spans="2:42">
      <c r="B43" s="40"/>
      <c r="C43" s="41"/>
      <c r="Y43"/>
      <c r="AP43" s="4"/>
    </row>
    <row r="44" spans="2:42">
      <c r="B44" s="40"/>
      <c r="C44" s="41"/>
      <c r="Y44"/>
    </row>
    <row r="45" spans="2:42">
      <c r="B45" s="40"/>
      <c r="C45" s="41"/>
      <c r="Y45"/>
      <c r="AL45" s="3"/>
    </row>
    <row r="46" spans="2:42">
      <c r="B46" s="40"/>
      <c r="C46" s="41"/>
      <c r="Y46"/>
      <c r="AL46" s="3"/>
    </row>
    <row r="47" spans="2:42">
      <c r="B47" s="40"/>
      <c r="C47" s="41"/>
      <c r="Y47"/>
      <c r="AL47" s="3"/>
    </row>
    <row r="48" spans="2:42">
      <c r="B48" s="40"/>
      <c r="C48" s="41"/>
      <c r="Y48"/>
    </row>
    <row r="49" spans="2:38">
      <c r="B49" s="40"/>
      <c r="C49" s="41"/>
      <c r="Y49"/>
      <c r="AL49" s="3"/>
    </row>
    <row r="50" spans="2:38">
      <c r="B50" s="40"/>
      <c r="C50" s="41"/>
      <c r="Y50"/>
      <c r="AL50" s="3"/>
    </row>
    <row r="51" spans="2:38">
      <c r="B51" s="40"/>
      <c r="C51" s="41"/>
      <c r="Y51"/>
      <c r="AL51" s="3"/>
    </row>
    <row r="52" spans="2:38">
      <c r="B52" s="40"/>
      <c r="C52" s="41"/>
      <c r="Y52"/>
      <c r="AL52" s="3"/>
    </row>
    <row r="53" spans="2:38">
      <c r="B53" s="40"/>
      <c r="C53" s="41"/>
      <c r="Y53"/>
    </row>
    <row r="54" spans="2:38">
      <c r="B54" s="40"/>
      <c r="C54" s="41"/>
      <c r="Y54"/>
      <c r="AL54" s="3"/>
    </row>
    <row r="55" spans="2:38">
      <c r="B55" s="40"/>
      <c r="C55" s="41"/>
      <c r="U55" s="30"/>
      <c r="V55" s="30"/>
    </row>
    <row r="56" spans="2:38">
      <c r="B56" s="40"/>
      <c r="C56" s="41"/>
      <c r="U56" s="30"/>
      <c r="V56" s="30"/>
    </row>
    <row r="57" spans="2:38">
      <c r="B57" s="40"/>
      <c r="C57" s="41"/>
      <c r="U57" s="30"/>
      <c r="V57" s="30"/>
    </row>
    <row r="58" spans="2:38">
      <c r="B58" s="40"/>
      <c r="C58" s="41"/>
      <c r="U58" s="30"/>
      <c r="V58" s="30"/>
    </row>
    <row r="59" spans="2:38">
      <c r="B59" s="40"/>
      <c r="C59" s="41"/>
      <c r="U59" s="30"/>
      <c r="V59" s="30"/>
    </row>
    <row r="60" spans="2:38">
      <c r="B60" s="40"/>
      <c r="C60" s="41"/>
      <c r="U60" s="30"/>
      <c r="V60" s="30"/>
    </row>
    <row r="61" spans="2:38">
      <c r="B61" s="40"/>
      <c r="C61" s="41"/>
      <c r="U61" s="30"/>
      <c r="V61" s="30"/>
    </row>
    <row r="62" spans="2:38">
      <c r="B62" s="40"/>
      <c r="C62" s="41"/>
      <c r="U62" s="30"/>
      <c r="V62" s="30"/>
    </row>
    <row r="63" spans="2:38">
      <c r="B63" s="40"/>
      <c r="C63" s="41"/>
      <c r="U63" s="30"/>
      <c r="V63" s="30"/>
    </row>
    <row r="64" spans="2:38">
      <c r="B64" s="40"/>
      <c r="C64" s="41"/>
      <c r="U64" s="30"/>
      <c r="V64" s="30"/>
    </row>
    <row r="65" spans="2:27">
      <c r="B65" s="40"/>
      <c r="C65" s="41"/>
      <c r="U65" s="30"/>
      <c r="V65" s="30"/>
    </row>
    <row r="66" spans="2:27">
      <c r="B66" s="40"/>
      <c r="C66" s="41"/>
      <c r="U66" s="30"/>
      <c r="V66" s="30"/>
    </row>
    <row r="67" spans="2:27">
      <c r="B67" s="40"/>
      <c r="C67" s="41"/>
      <c r="U67" s="30"/>
      <c r="V67" s="30"/>
    </row>
    <row r="68" spans="2:27">
      <c r="B68" s="40"/>
      <c r="C68" s="41"/>
      <c r="U68" s="30"/>
      <c r="V68" s="30"/>
    </row>
    <row r="69" spans="2:27">
      <c r="B69" s="40"/>
      <c r="C69" s="41"/>
      <c r="U69" s="30"/>
      <c r="V69" s="30"/>
    </row>
    <row r="70" spans="2:27">
      <c r="B70" s="40"/>
      <c r="C70" s="41"/>
      <c r="U70" s="30"/>
      <c r="V70" s="30"/>
    </row>
    <row r="71" spans="2:27">
      <c r="B71" s="40"/>
      <c r="C71" s="41"/>
      <c r="U71" s="30"/>
      <c r="V71" s="30"/>
    </row>
    <row r="72" spans="2:27">
      <c r="B72" s="40"/>
      <c r="C72" s="41"/>
      <c r="U72" s="30"/>
      <c r="V72" s="30"/>
      <c r="AA72" s="3"/>
    </row>
    <row r="73" spans="2:27">
      <c r="B73" s="40"/>
      <c r="C73" s="41"/>
      <c r="U73" s="30"/>
      <c r="V73" s="30"/>
    </row>
    <row r="74" spans="2:27">
      <c r="B74" s="40"/>
      <c r="C74" s="41"/>
      <c r="U74" s="30"/>
      <c r="V74" s="30"/>
      <c r="AA74" s="3"/>
    </row>
    <row r="75" spans="2:27">
      <c r="B75" s="40"/>
      <c r="C75" s="41"/>
      <c r="U75" s="30"/>
      <c r="V75" s="30"/>
    </row>
    <row r="76" spans="2:27">
      <c r="B76" s="40"/>
      <c r="C76" s="41"/>
      <c r="U76" s="30"/>
      <c r="V76" s="30"/>
    </row>
    <row r="77" spans="2:27">
      <c r="B77" s="40"/>
      <c r="C77" s="41"/>
      <c r="U77" s="30"/>
      <c r="V77" s="30"/>
      <c r="AA77" s="3"/>
    </row>
    <row r="78" spans="2:27">
      <c r="B78" s="40"/>
      <c r="C78" s="41"/>
      <c r="U78" s="30"/>
      <c r="V78" s="30"/>
    </row>
    <row r="79" spans="2:27">
      <c r="B79" s="40"/>
      <c r="C79" s="41"/>
      <c r="U79" s="30"/>
      <c r="V79" s="30"/>
    </row>
    <row r="80" spans="2:27">
      <c r="B80" s="40"/>
      <c r="C80" s="41"/>
      <c r="U80" s="30"/>
      <c r="V80" s="30"/>
    </row>
    <row r="81" spans="2:27">
      <c r="B81" s="40"/>
      <c r="C81" s="41"/>
      <c r="U81" s="30"/>
      <c r="V81" s="30"/>
    </row>
    <row r="82" spans="2:27">
      <c r="B82" s="40"/>
      <c r="C82" s="41"/>
      <c r="U82" s="30"/>
      <c r="V82" s="30"/>
    </row>
    <row r="83" spans="2:27">
      <c r="B83" s="40"/>
      <c r="C83" s="41"/>
      <c r="U83" s="30"/>
      <c r="V83" s="30"/>
    </row>
    <row r="84" spans="2:27">
      <c r="B84" s="40"/>
      <c r="C84" s="41"/>
      <c r="U84" s="30"/>
      <c r="V84" s="30"/>
    </row>
    <row r="85" spans="2:27">
      <c r="B85" s="40"/>
      <c r="C85" s="41"/>
      <c r="U85" s="30"/>
      <c r="V85" s="30"/>
    </row>
    <row r="86" spans="2:27">
      <c r="B86" s="40"/>
      <c r="C86" s="41"/>
      <c r="U86" s="30"/>
      <c r="V86" s="30"/>
    </row>
    <row r="87" spans="2:27">
      <c r="B87" s="40"/>
      <c r="C87" s="41"/>
      <c r="U87" s="30"/>
      <c r="V87" s="30"/>
    </row>
    <row r="88" spans="2:27">
      <c r="B88" s="40"/>
      <c r="C88" s="41"/>
      <c r="U88" s="30"/>
      <c r="V88" s="30"/>
    </row>
    <row r="89" spans="2:27">
      <c r="B89" s="40"/>
      <c r="C89" s="41"/>
      <c r="U89" s="30"/>
      <c r="V89" s="30"/>
    </row>
    <row r="90" spans="2:27">
      <c r="B90" s="40"/>
      <c r="C90" s="41"/>
      <c r="U90" s="30"/>
      <c r="V90" s="30"/>
    </row>
    <row r="91" spans="2:27">
      <c r="B91" s="40"/>
      <c r="C91" s="41"/>
      <c r="U91" s="30"/>
      <c r="V91" s="30"/>
    </row>
    <row r="92" spans="2:27">
      <c r="B92" s="40"/>
      <c r="C92" s="41"/>
      <c r="U92" s="30"/>
      <c r="V92" s="30"/>
    </row>
    <row r="93" spans="2:27">
      <c r="B93" s="40"/>
      <c r="C93" s="41"/>
      <c r="U93" s="30"/>
      <c r="V93" s="30"/>
      <c r="AA93" s="3"/>
    </row>
    <row r="94" spans="2:27">
      <c r="B94" s="40"/>
      <c r="C94" s="41"/>
      <c r="U94" s="30"/>
      <c r="V94" s="30"/>
    </row>
    <row r="95" spans="2:27">
      <c r="B95" s="40"/>
      <c r="C95" s="41"/>
      <c r="U95" s="30"/>
      <c r="V95" s="30"/>
    </row>
    <row r="96" spans="2:27">
      <c r="B96" s="40"/>
      <c r="C96" s="41"/>
      <c r="U96" s="30"/>
      <c r="V96" s="30"/>
    </row>
    <row r="97" spans="2:22">
      <c r="B97" s="40"/>
      <c r="C97" s="41"/>
      <c r="U97" s="30"/>
      <c r="V97" s="30"/>
    </row>
    <row r="98" spans="2:22">
      <c r="U98" s="30"/>
      <c r="V98" s="30"/>
    </row>
    <row r="101" spans="2:22">
      <c r="U101" s="30"/>
      <c r="V101" s="30"/>
    </row>
  </sheetData>
  <mergeCells count="2">
    <mergeCell ref="B3:B97"/>
    <mergeCell ref="C3:C97"/>
  </mergeCells>
  <phoneticPr fontId="9" type="noConversion"/>
  <pageMargins left="0.7" right="0.7" top="0.75" bottom="0.75" header="0.3" footer="0.3"/>
  <tableParts count="2">
    <tablePart r:id="rId1"/>
    <tablePart r:id="rId2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4BE69DC-F6C4-4E41-A71B-F79D50C279FE}">
  <sheetPr codeName="Sheet4"/>
  <dimension ref="A1:N446"/>
  <sheetViews>
    <sheetView workbookViewId="0">
      <selection activeCell="E14" sqref="E14"/>
    </sheetView>
  </sheetViews>
  <sheetFormatPr defaultRowHeight="15"/>
  <cols>
    <col min="1" max="1" width="26.7109375" bestFit="1" customWidth="1"/>
    <col min="2" max="2" width="16.85546875" bestFit="1" customWidth="1"/>
    <col min="3" max="4" width="11.28515625" bestFit="1" customWidth="1"/>
    <col min="5" max="5" width="19.85546875" bestFit="1" customWidth="1"/>
    <col min="6" max="6" width="31.7109375" bestFit="1" customWidth="1"/>
    <col min="7" max="7" width="12.85546875" bestFit="1" customWidth="1"/>
    <col min="8" max="8" width="13" style="13" customWidth="1"/>
    <col min="9" max="9" width="17.28515625" bestFit="1" customWidth="1"/>
    <col min="10" max="13" width="17.28515625" style="13" customWidth="1"/>
    <col min="14" max="14" width="15.85546875" bestFit="1" customWidth="1"/>
    <col min="18" max="18" width="13.42578125" bestFit="1" customWidth="1"/>
    <col min="19" max="19" width="16.85546875" bestFit="1" customWidth="1"/>
    <col min="20" max="20" width="7.85546875" bestFit="1" customWidth="1"/>
    <col min="21" max="21" width="8.5703125" bestFit="1" customWidth="1"/>
    <col min="22" max="22" width="8.140625" bestFit="1" customWidth="1"/>
    <col min="23" max="23" width="9" bestFit="1" customWidth="1"/>
    <col min="24" max="24" width="8.28515625" bestFit="1" customWidth="1"/>
    <col min="25" max="25" width="9.42578125" bestFit="1" customWidth="1"/>
    <col min="26" max="26" width="8.28515625" bestFit="1" customWidth="1"/>
    <col min="27" max="27" width="8.5703125" bestFit="1" customWidth="1"/>
    <col min="28" max="28" width="8.7109375" bestFit="1" customWidth="1"/>
    <col min="29" max="29" width="8.28515625" bestFit="1" customWidth="1"/>
    <col min="30" max="30" width="9" bestFit="1" customWidth="1"/>
    <col min="31" max="31" width="8.28515625" bestFit="1" customWidth="1"/>
    <col min="32" max="32" width="8.7109375" bestFit="1" customWidth="1"/>
    <col min="33" max="33" width="7.85546875" bestFit="1" customWidth="1"/>
    <col min="34" max="34" width="7.5703125" bestFit="1" customWidth="1"/>
    <col min="35" max="35" width="7.7109375" bestFit="1" customWidth="1"/>
    <col min="36" max="36" width="9.85546875" bestFit="1" customWidth="1"/>
    <col min="38" max="38" width="9" bestFit="1" customWidth="1"/>
    <col min="39" max="39" width="8.42578125" bestFit="1" customWidth="1"/>
    <col min="40" max="40" width="8.5703125" bestFit="1" customWidth="1"/>
    <col min="41" max="41" width="8.140625" bestFit="1" customWidth="1"/>
    <col min="42" max="42" width="8.7109375" bestFit="1" customWidth="1"/>
    <col min="43" max="44" width="8.28515625" bestFit="1" customWidth="1"/>
    <col min="45" max="45" width="8.7109375" bestFit="1" customWidth="1"/>
    <col min="46" max="46" width="8.85546875" bestFit="1" customWidth="1"/>
    <col min="47" max="47" width="8.7109375" bestFit="1" customWidth="1"/>
    <col min="48" max="48" width="9.42578125" bestFit="1" customWidth="1"/>
    <col min="49" max="49" width="8" bestFit="1" customWidth="1"/>
    <col min="50" max="50" width="14.28515625" bestFit="1" customWidth="1"/>
    <col min="51" max="51" width="14.7109375" bestFit="1" customWidth="1"/>
    <col min="52" max="52" width="15.28515625" bestFit="1" customWidth="1"/>
    <col min="53" max="53" width="12.5703125" bestFit="1" customWidth="1"/>
    <col min="54" max="54" width="8.7109375" bestFit="1" customWidth="1"/>
    <col min="55" max="55" width="8.5703125" bestFit="1" customWidth="1"/>
    <col min="56" max="56" width="10" bestFit="1" customWidth="1"/>
    <col min="57" max="57" width="13.85546875" bestFit="1" customWidth="1"/>
    <col min="58" max="58" width="9" bestFit="1" customWidth="1"/>
    <col min="59" max="60" width="8.5703125" bestFit="1" customWidth="1"/>
    <col min="61" max="61" width="12.85546875" bestFit="1" customWidth="1"/>
    <col min="62" max="62" width="9.42578125" bestFit="1" customWidth="1"/>
    <col min="63" max="63" width="8.5703125" bestFit="1" customWidth="1"/>
    <col min="64" max="64" width="8.85546875" bestFit="1" customWidth="1"/>
    <col min="65" max="65" width="8.5703125" bestFit="1" customWidth="1"/>
    <col min="66" max="66" width="8.85546875" bestFit="1" customWidth="1"/>
    <col min="67" max="67" width="10.140625" bestFit="1" customWidth="1"/>
    <col min="68" max="68" width="7.7109375" bestFit="1" customWidth="1"/>
    <col min="69" max="69" width="8.42578125" bestFit="1" customWidth="1"/>
    <col min="70" max="70" width="8.28515625" bestFit="1" customWidth="1"/>
    <col min="71" max="71" width="8.140625" bestFit="1" customWidth="1"/>
    <col min="72" max="72" width="9.5703125" bestFit="1" customWidth="1"/>
    <col min="73" max="73" width="10.28515625" bestFit="1" customWidth="1"/>
    <col min="74" max="74" width="10.42578125" bestFit="1" customWidth="1"/>
    <col min="75" max="75" width="9.85546875" bestFit="1" customWidth="1"/>
    <col min="76" max="76" width="10.5703125" bestFit="1" customWidth="1"/>
    <col min="77" max="77" width="10.140625" bestFit="1" customWidth="1"/>
    <col min="78" max="78" width="10.7109375" bestFit="1" customWidth="1"/>
    <col min="79" max="79" width="9.7109375" bestFit="1" customWidth="1"/>
    <col min="80" max="80" width="9.85546875" bestFit="1" customWidth="1"/>
    <col min="81" max="81" width="10.85546875" bestFit="1" customWidth="1"/>
    <col min="82" max="82" width="10.42578125" bestFit="1" customWidth="1"/>
    <col min="83" max="84" width="9.5703125" bestFit="1" customWidth="1"/>
    <col min="85" max="85" width="10.140625" bestFit="1" customWidth="1"/>
    <col min="86" max="86" width="9.85546875" bestFit="1" customWidth="1"/>
    <col min="87" max="87" width="9.7109375" bestFit="1" customWidth="1"/>
    <col min="88" max="88" width="10.140625" bestFit="1" customWidth="1"/>
    <col min="89" max="89" width="9.42578125" bestFit="1" customWidth="1"/>
    <col min="90" max="90" width="9.5703125" bestFit="1" customWidth="1"/>
    <col min="91" max="91" width="10.7109375" bestFit="1" customWidth="1"/>
    <col min="92" max="92" width="10.42578125" bestFit="1" customWidth="1"/>
    <col min="93" max="93" width="10.85546875" bestFit="1" customWidth="1"/>
    <col min="94" max="98" width="10.7109375" bestFit="1" customWidth="1"/>
    <col min="99" max="99" width="11.140625" bestFit="1" customWidth="1"/>
    <col min="100" max="100" width="10" bestFit="1" customWidth="1"/>
    <col min="101" max="101" width="11.42578125" bestFit="1" customWidth="1"/>
    <col min="102" max="102" width="11.5703125" bestFit="1" customWidth="1"/>
    <col min="103" max="105" width="10.7109375" bestFit="1" customWidth="1"/>
    <col min="106" max="106" width="10.28515625" bestFit="1" customWidth="1"/>
    <col min="107" max="108" width="10.140625" bestFit="1" customWidth="1"/>
    <col min="109" max="109" width="11" bestFit="1" customWidth="1"/>
    <col min="110" max="110" width="10.28515625" bestFit="1" customWidth="1"/>
    <col min="111" max="111" width="10.42578125" bestFit="1" customWidth="1"/>
    <col min="112" max="112" width="13.28515625" bestFit="1" customWidth="1"/>
    <col min="113" max="113" width="12" bestFit="1" customWidth="1"/>
    <col min="114" max="114" width="13.7109375" bestFit="1" customWidth="1"/>
    <col min="115" max="115" width="7.28515625" bestFit="1" customWidth="1"/>
    <col min="116" max="116" width="11.28515625" bestFit="1" customWidth="1"/>
  </cols>
  <sheetData>
    <row r="1" spans="1:14" ht="18" thickBot="1">
      <c r="A1" s="31" t="s">
        <v>330</v>
      </c>
      <c r="B1" s="31" t="s">
        <v>329</v>
      </c>
      <c r="G1" s="33" t="s">
        <v>65</v>
      </c>
      <c r="H1" s="12" t="s">
        <v>326</v>
      </c>
      <c r="I1" s="1" t="s">
        <v>14</v>
      </c>
      <c r="J1" s="12" t="s">
        <v>331</v>
      </c>
      <c r="K1" s="12" t="s">
        <v>332</v>
      </c>
      <c r="L1" s="12" t="s">
        <v>333</v>
      </c>
      <c r="M1" s="12" t="s">
        <v>334</v>
      </c>
      <c r="N1" s="1" t="s">
        <v>15</v>
      </c>
    </row>
    <row r="2" spans="1:14" ht="15.75" thickTop="1">
      <c r="A2" s="31" t="s">
        <v>327</v>
      </c>
      <c r="B2" t="s">
        <v>528</v>
      </c>
      <c r="C2" t="s">
        <v>328</v>
      </c>
      <c r="G2" cm="1">
        <f t="array" ref="G2">_xlfn.UNIQUE(Input!J2:J101)</f>
        <v>0</v>
      </c>
      <c r="H2" s="13">
        <f>IFERROR(GETPIVOTDATA("Successful / Failed",$A$1,"System serial",G2),0)</f>
        <v>0</v>
      </c>
      <c r="I2" t="str" cm="1">
        <f t="array" ref="I2">_xlfn.IFS(H2&lt;1,"No",H2=1,"Yes",H2&gt;1,_xlfn.TEXTJOIN("",TRUE,"Yes x",H2))</f>
        <v>No</v>
      </c>
      <c r="J2" s="13">
        <f>IFERROR(GETPIVOTDATA("Successful / Failed",$A$1,"System serial",G2,"Successful / Failed","Successful"),0)</f>
        <v>0</v>
      </c>
      <c r="K2" s="13">
        <f>IFERROR(GETPIVOTDATA("Successful / Failed",$A$1,"System serial",G2,"Successful / Failed","Failed"),0)</f>
        <v>0</v>
      </c>
      <c r="L2" s="13" t="str" cm="1">
        <f t="array" ref="L2">_xlfn.IFS(J2&lt;1,"",J2=1,"Pass",J2&gt;1,_xlfn.TEXTJOIN("",TRUE,"Pass x",J2))</f>
        <v/>
      </c>
      <c r="M2" s="13" t="str" cm="1">
        <f t="array" ref="M2">_xlfn.IFS(K2&lt;1,"",K2=1,"Fail",K2&gt;1,_xlfn.TEXTJOIN("",TRUE,"Fail x",K2))</f>
        <v/>
      </c>
      <c r="N2" t="str">
        <f>_xlfn.TEXTJOIN(", ",TRUE, L2, M2)</f>
        <v/>
      </c>
    </row>
    <row r="3" spans="1:14">
      <c r="A3" s="32" t="s">
        <v>529</v>
      </c>
      <c r="B3">
        <v>1</v>
      </c>
      <c r="C3">
        <v>1</v>
      </c>
      <c r="H3" s="13">
        <f t="shared" ref="H3:H66" si="0">IFERROR(GETPIVOTDATA("Successful / Failed",$A$1,"System serial",G3),0)</f>
        <v>0</v>
      </c>
      <c r="I3" t="str" cm="1">
        <f t="array" ref="I3">_xlfn.IFS(H3&lt;1,"No",H3=1,"Yes",H3&gt;1,_xlfn.TEXTJOIN("",TRUE,"Yes x",H3))</f>
        <v>No</v>
      </c>
      <c r="J3" s="13">
        <f t="shared" ref="J3:J66" si="1">IFERROR(GETPIVOTDATA("Successful / Failed",$A$1,"System serial",G3,"Successful / Failed","Successful"),0)</f>
        <v>0</v>
      </c>
      <c r="K3" s="13">
        <f t="shared" ref="K3:K66" si="2">IFERROR(GETPIVOTDATA("Successful / Failed",$A$1,"System serial",G3,"Successful / Failed","Failed"),0)</f>
        <v>0</v>
      </c>
      <c r="L3" s="13" t="str" cm="1">
        <f t="array" ref="L3">_xlfn.IFS(J3&lt;1,"",J3=1,"Pass",J3&gt;1,_xlfn.TEXTJOIN("",TRUE,"Pass x",J3))</f>
        <v/>
      </c>
      <c r="M3" s="13" t="str" cm="1">
        <f t="array" ref="M3">_xlfn.IFS(K3&lt;1,"",K3=1,"Fail",K3&gt;1,_xlfn.TEXTJOIN("",TRUE,"Fail x",K3))</f>
        <v/>
      </c>
      <c r="N3" t="str">
        <f t="shared" ref="N3:N66" si="3">_xlfn.TEXTJOIN(", ",TRUE, L3, M3)</f>
        <v/>
      </c>
    </row>
    <row r="4" spans="1:14">
      <c r="A4" s="32" t="s">
        <v>530</v>
      </c>
      <c r="B4">
        <v>1</v>
      </c>
      <c r="C4">
        <v>1</v>
      </c>
      <c r="H4" s="13">
        <f t="shared" si="0"/>
        <v>0</v>
      </c>
      <c r="I4" t="str" cm="1">
        <f t="array" ref="I4">_xlfn.IFS(H4&lt;1,"No",H4=1,"Yes",H4&gt;1,_xlfn.TEXTJOIN("",TRUE,"Yes x",H4))</f>
        <v>No</v>
      </c>
      <c r="J4" s="13">
        <f t="shared" si="1"/>
        <v>0</v>
      </c>
      <c r="K4" s="13">
        <f t="shared" si="2"/>
        <v>0</v>
      </c>
      <c r="L4" s="13" t="str" cm="1">
        <f t="array" ref="L4">_xlfn.IFS(J4&lt;1,"",J4=1,"Pass",J4&gt;1,_xlfn.TEXTJOIN("",TRUE,"Pass x",J4))</f>
        <v/>
      </c>
      <c r="M4" s="13" t="str" cm="1">
        <f t="array" ref="M4">_xlfn.IFS(K4&lt;1,"",K4=1,"Fail",K4&gt;1,_xlfn.TEXTJOIN("",TRUE,"Fail x",K4))</f>
        <v/>
      </c>
      <c r="N4" t="str">
        <f t="shared" si="3"/>
        <v/>
      </c>
    </row>
    <row r="5" spans="1:14">
      <c r="A5" s="32" t="s">
        <v>531</v>
      </c>
      <c r="B5">
        <v>1</v>
      </c>
      <c r="C5">
        <v>1</v>
      </c>
      <c r="H5" s="13">
        <f t="shared" si="0"/>
        <v>0</v>
      </c>
      <c r="I5" t="str" cm="1">
        <f t="array" ref="I5">_xlfn.IFS(H5&lt;1,"No",H5=1,"Yes",H5&gt;1,_xlfn.TEXTJOIN("",TRUE,"Yes x",H5))</f>
        <v>No</v>
      </c>
      <c r="J5" s="13">
        <f t="shared" si="1"/>
        <v>0</v>
      </c>
      <c r="K5" s="13">
        <f t="shared" si="2"/>
        <v>0</v>
      </c>
      <c r="L5" s="13" t="str" cm="1">
        <f t="array" ref="L5">_xlfn.IFS(J5&lt;1,"",J5=1,"Pass",J5&gt;1,_xlfn.TEXTJOIN("",TRUE,"Pass x",J5))</f>
        <v/>
      </c>
      <c r="M5" s="13" t="str" cm="1">
        <f t="array" ref="M5">_xlfn.IFS(K5&lt;1,"",K5=1,"Fail",K5&gt;1,_xlfn.TEXTJOIN("",TRUE,"Fail x",K5))</f>
        <v/>
      </c>
      <c r="N5" t="str">
        <f t="shared" si="3"/>
        <v/>
      </c>
    </row>
    <row r="6" spans="1:14">
      <c r="A6" s="32" t="s">
        <v>532</v>
      </c>
      <c r="B6">
        <v>1</v>
      </c>
      <c r="C6">
        <v>1</v>
      </c>
      <c r="H6" s="13">
        <f t="shared" si="0"/>
        <v>0</v>
      </c>
      <c r="I6" t="str" cm="1">
        <f t="array" ref="I6">_xlfn.IFS(H6&lt;1,"No",H6=1,"Yes",H6&gt;1,_xlfn.TEXTJOIN("",TRUE,"Yes x",H6))</f>
        <v>No</v>
      </c>
      <c r="J6" s="13">
        <f t="shared" si="1"/>
        <v>0</v>
      </c>
      <c r="K6" s="13">
        <f t="shared" si="2"/>
        <v>0</v>
      </c>
      <c r="L6" s="13" t="str" cm="1">
        <f t="array" ref="L6">_xlfn.IFS(J6&lt;1,"",J6=1,"Pass",J6&gt;1,_xlfn.TEXTJOIN("",TRUE,"Pass x",J6))</f>
        <v/>
      </c>
      <c r="M6" s="13" t="str" cm="1">
        <f t="array" ref="M6">_xlfn.IFS(K6&lt;1,"",K6=1,"Fail",K6&gt;1,_xlfn.TEXTJOIN("",TRUE,"Fail x",K6))</f>
        <v/>
      </c>
      <c r="N6" t="str">
        <f t="shared" si="3"/>
        <v/>
      </c>
    </row>
    <row r="7" spans="1:14">
      <c r="A7" s="32" t="s">
        <v>533</v>
      </c>
      <c r="B7">
        <v>1</v>
      </c>
      <c r="C7">
        <v>1</v>
      </c>
      <c r="H7" s="13">
        <f t="shared" si="0"/>
        <v>0</v>
      </c>
      <c r="I7" t="str" cm="1">
        <f t="array" ref="I7">_xlfn.IFS(H7&lt;1,"No",H7=1,"Yes",H7&gt;1,_xlfn.TEXTJOIN("",TRUE,"Yes x",H7))</f>
        <v>No</v>
      </c>
      <c r="J7" s="13">
        <f t="shared" si="1"/>
        <v>0</v>
      </c>
      <c r="K7" s="13">
        <f t="shared" si="2"/>
        <v>0</v>
      </c>
      <c r="L7" s="13" t="str" cm="1">
        <f t="array" ref="L7">_xlfn.IFS(J7&lt;1,"",J7=1,"Pass",J7&gt;1,_xlfn.TEXTJOIN("",TRUE,"Pass x",J7))</f>
        <v/>
      </c>
      <c r="M7" s="13" t="str" cm="1">
        <f t="array" ref="M7">_xlfn.IFS(K7&lt;1,"",K7=1,"Fail",K7&gt;1,_xlfn.TEXTJOIN("",TRUE,"Fail x",K7))</f>
        <v/>
      </c>
      <c r="N7" t="str">
        <f t="shared" si="3"/>
        <v/>
      </c>
    </row>
    <row r="8" spans="1:14">
      <c r="A8" s="32" t="s">
        <v>534</v>
      </c>
      <c r="B8">
        <v>1</v>
      </c>
      <c r="C8">
        <v>1</v>
      </c>
      <c r="H8" s="13">
        <f t="shared" si="0"/>
        <v>0</v>
      </c>
      <c r="I8" t="str" cm="1">
        <f t="array" ref="I8">_xlfn.IFS(H8&lt;1,"No",H8=1,"Yes",H8&gt;1,_xlfn.TEXTJOIN("",TRUE,"Yes x",H8))</f>
        <v>No</v>
      </c>
      <c r="J8" s="13">
        <f t="shared" si="1"/>
        <v>0</v>
      </c>
      <c r="K8" s="13">
        <f t="shared" si="2"/>
        <v>0</v>
      </c>
      <c r="L8" s="13" t="str" cm="1">
        <f t="array" ref="L8">_xlfn.IFS(J8&lt;1,"",J8=1,"Pass",J8&gt;1,_xlfn.TEXTJOIN("",TRUE,"Pass x",J8))</f>
        <v/>
      </c>
      <c r="M8" s="13" t="str" cm="1">
        <f t="array" ref="M8">_xlfn.IFS(K8&lt;1,"",K8=1,"Fail",K8&gt;1,_xlfn.TEXTJOIN("",TRUE,"Fail x",K8))</f>
        <v/>
      </c>
      <c r="N8" t="str">
        <f t="shared" si="3"/>
        <v/>
      </c>
    </row>
    <row r="9" spans="1:14">
      <c r="A9" s="32" t="s">
        <v>535</v>
      </c>
      <c r="B9">
        <v>1</v>
      </c>
      <c r="C9">
        <v>1</v>
      </c>
      <c r="H9" s="13">
        <f t="shared" si="0"/>
        <v>0</v>
      </c>
      <c r="I9" t="str" cm="1">
        <f t="array" ref="I9">_xlfn.IFS(H9&lt;1,"No",H9=1,"Yes",H9&gt;1,_xlfn.TEXTJOIN("",TRUE,"Yes x",H9))</f>
        <v>No</v>
      </c>
      <c r="J9" s="13">
        <f t="shared" si="1"/>
        <v>0</v>
      </c>
      <c r="K9" s="13">
        <f t="shared" si="2"/>
        <v>0</v>
      </c>
      <c r="L9" s="13" t="str" cm="1">
        <f t="array" ref="L9">_xlfn.IFS(J9&lt;1,"",J9=1,"Pass",J9&gt;1,_xlfn.TEXTJOIN("",TRUE,"Pass x",J9))</f>
        <v/>
      </c>
      <c r="M9" s="13" t="str" cm="1">
        <f t="array" ref="M9">_xlfn.IFS(K9&lt;1,"",K9=1,"Fail",K9&gt;1,_xlfn.TEXTJOIN("",TRUE,"Fail x",K9))</f>
        <v/>
      </c>
      <c r="N9" t="str">
        <f t="shared" si="3"/>
        <v/>
      </c>
    </row>
    <row r="10" spans="1:14">
      <c r="A10" s="32" t="s">
        <v>536</v>
      </c>
      <c r="B10">
        <v>1</v>
      </c>
      <c r="C10">
        <v>1</v>
      </c>
      <c r="H10" s="13">
        <f t="shared" si="0"/>
        <v>0</v>
      </c>
      <c r="I10" t="str" cm="1">
        <f t="array" ref="I10">_xlfn.IFS(H10&lt;1,"No",H10=1,"Yes",H10&gt;1,_xlfn.TEXTJOIN("",TRUE,"Yes x",H10))</f>
        <v>No</v>
      </c>
      <c r="J10" s="13">
        <f t="shared" si="1"/>
        <v>0</v>
      </c>
      <c r="K10" s="13">
        <f t="shared" si="2"/>
        <v>0</v>
      </c>
      <c r="L10" s="13" t="str" cm="1">
        <f t="array" ref="L10">_xlfn.IFS(J10&lt;1,"",J10=1,"Pass",J10&gt;1,_xlfn.TEXTJOIN("",TRUE,"Pass x",J10))</f>
        <v/>
      </c>
      <c r="M10" s="13" t="str" cm="1">
        <f t="array" ref="M10">_xlfn.IFS(K10&lt;1,"",K10=1,"Fail",K10&gt;1,_xlfn.TEXTJOIN("",TRUE,"Fail x",K10))</f>
        <v/>
      </c>
      <c r="N10" t="str">
        <f t="shared" si="3"/>
        <v/>
      </c>
    </row>
    <row r="11" spans="1:14">
      <c r="A11" s="32" t="s">
        <v>537</v>
      </c>
      <c r="B11">
        <v>1</v>
      </c>
      <c r="C11">
        <v>1</v>
      </c>
      <c r="H11" s="13">
        <f t="shared" si="0"/>
        <v>0</v>
      </c>
      <c r="I11" t="str" cm="1">
        <f t="array" ref="I11">_xlfn.IFS(H11&lt;1,"No",H11=1,"Yes",H11&gt;1,_xlfn.TEXTJOIN("",TRUE,"Yes x",H11))</f>
        <v>No</v>
      </c>
      <c r="J11" s="13">
        <f t="shared" si="1"/>
        <v>0</v>
      </c>
      <c r="K11" s="13">
        <f t="shared" si="2"/>
        <v>0</v>
      </c>
      <c r="L11" s="13" t="str" cm="1">
        <f t="array" ref="L11">_xlfn.IFS(J11&lt;1,"",J11=1,"Pass",J11&gt;1,_xlfn.TEXTJOIN("",TRUE,"Pass x",J11))</f>
        <v/>
      </c>
      <c r="M11" s="13" t="str" cm="1">
        <f t="array" ref="M11">_xlfn.IFS(K11&lt;1,"",K11=1,"Fail",K11&gt;1,_xlfn.TEXTJOIN("",TRUE,"Fail x",K11))</f>
        <v/>
      </c>
      <c r="N11" t="str">
        <f t="shared" si="3"/>
        <v/>
      </c>
    </row>
    <row r="12" spans="1:14">
      <c r="A12" s="32" t="s">
        <v>538</v>
      </c>
      <c r="B12">
        <v>1</v>
      </c>
      <c r="C12">
        <v>1</v>
      </c>
      <c r="H12" s="13">
        <f t="shared" si="0"/>
        <v>0</v>
      </c>
      <c r="I12" t="str" cm="1">
        <f t="array" ref="I12">_xlfn.IFS(H12&lt;1,"No",H12=1,"Yes",H12&gt;1,_xlfn.TEXTJOIN("",TRUE,"Yes x",H12))</f>
        <v>No</v>
      </c>
      <c r="J12" s="13">
        <f t="shared" si="1"/>
        <v>0</v>
      </c>
      <c r="K12" s="13">
        <f t="shared" si="2"/>
        <v>0</v>
      </c>
      <c r="L12" s="13" t="str" cm="1">
        <f t="array" ref="L12">_xlfn.IFS(J12&lt;1,"",J12=1,"Pass",J12&gt;1,_xlfn.TEXTJOIN("",TRUE,"Pass x",J12))</f>
        <v/>
      </c>
      <c r="M12" s="13" t="str" cm="1">
        <f t="array" ref="M12">_xlfn.IFS(K12&lt;1,"",K12=1,"Fail",K12&gt;1,_xlfn.TEXTJOIN("",TRUE,"Fail x",K12))</f>
        <v/>
      </c>
      <c r="N12" t="str">
        <f t="shared" si="3"/>
        <v/>
      </c>
    </row>
    <row r="13" spans="1:14">
      <c r="A13" s="32" t="s">
        <v>539</v>
      </c>
      <c r="B13">
        <v>1</v>
      </c>
      <c r="C13">
        <v>1</v>
      </c>
      <c r="H13" s="13">
        <f t="shared" si="0"/>
        <v>0</v>
      </c>
      <c r="I13" t="str" cm="1">
        <f t="array" ref="I13">_xlfn.IFS(H13&lt;1,"No",H13=1,"Yes",H13&gt;1,_xlfn.TEXTJOIN("",TRUE,"Yes x",H13))</f>
        <v>No</v>
      </c>
      <c r="J13" s="13">
        <f t="shared" si="1"/>
        <v>0</v>
      </c>
      <c r="K13" s="13">
        <f t="shared" si="2"/>
        <v>0</v>
      </c>
      <c r="L13" s="13" t="str" cm="1">
        <f t="array" ref="L13">_xlfn.IFS(J13&lt;1,"",J13=1,"Pass",J13&gt;1,_xlfn.TEXTJOIN("",TRUE,"Pass x",J13))</f>
        <v/>
      </c>
      <c r="M13" s="13" t="str" cm="1">
        <f t="array" ref="M13">_xlfn.IFS(K13&lt;1,"",K13=1,"Fail",K13&gt;1,_xlfn.TEXTJOIN("",TRUE,"Fail x",K13))</f>
        <v/>
      </c>
      <c r="N13" t="str">
        <f t="shared" si="3"/>
        <v/>
      </c>
    </row>
    <row r="14" spans="1:14">
      <c r="A14" s="32" t="s">
        <v>540</v>
      </c>
      <c r="B14">
        <v>1</v>
      </c>
      <c r="C14">
        <v>1</v>
      </c>
      <c r="H14" s="13">
        <f t="shared" si="0"/>
        <v>0</v>
      </c>
      <c r="I14" t="str" cm="1">
        <f t="array" ref="I14">_xlfn.IFS(H14&lt;1,"No",H14=1,"Yes",H14&gt;1,_xlfn.TEXTJOIN("",TRUE,"Yes x",H14))</f>
        <v>No</v>
      </c>
      <c r="J14" s="13">
        <f t="shared" si="1"/>
        <v>0</v>
      </c>
      <c r="K14" s="13">
        <f t="shared" si="2"/>
        <v>0</v>
      </c>
      <c r="L14" s="13" t="str" cm="1">
        <f t="array" ref="L14">_xlfn.IFS(J14&lt;1,"",J14=1,"Pass",J14&gt;1,_xlfn.TEXTJOIN("",TRUE,"Pass x",J14))</f>
        <v/>
      </c>
      <c r="M14" s="13" t="str" cm="1">
        <f t="array" ref="M14">_xlfn.IFS(K14&lt;1,"",K14=1,"Fail",K14&gt;1,_xlfn.TEXTJOIN("",TRUE,"Fail x",K14))</f>
        <v/>
      </c>
      <c r="N14" t="str">
        <f t="shared" si="3"/>
        <v/>
      </c>
    </row>
    <row r="15" spans="1:14">
      <c r="A15" s="32" t="s">
        <v>541</v>
      </c>
      <c r="B15">
        <v>1</v>
      </c>
      <c r="C15">
        <v>1</v>
      </c>
      <c r="H15" s="13">
        <f t="shared" si="0"/>
        <v>0</v>
      </c>
      <c r="I15" t="str" cm="1">
        <f t="array" ref="I15">_xlfn.IFS(H15&lt;1,"No",H15=1,"Yes",H15&gt;1,_xlfn.TEXTJOIN("",TRUE,"Yes x",H15))</f>
        <v>No</v>
      </c>
      <c r="J15" s="13">
        <f t="shared" si="1"/>
        <v>0</v>
      </c>
      <c r="K15" s="13">
        <f t="shared" si="2"/>
        <v>0</v>
      </c>
      <c r="L15" s="13" t="str" cm="1">
        <f t="array" ref="L15">_xlfn.IFS(J15&lt;1,"",J15=1,"Pass",J15&gt;1,_xlfn.TEXTJOIN("",TRUE,"Pass x",J15))</f>
        <v/>
      </c>
      <c r="M15" s="13" t="str" cm="1">
        <f t="array" ref="M15">_xlfn.IFS(K15&lt;1,"",K15=1,"Fail",K15&gt;1,_xlfn.TEXTJOIN("",TRUE,"Fail x",K15))</f>
        <v/>
      </c>
      <c r="N15" t="str">
        <f t="shared" si="3"/>
        <v/>
      </c>
    </row>
    <row r="16" spans="1:14">
      <c r="A16" s="32" t="s">
        <v>542</v>
      </c>
      <c r="B16">
        <v>1</v>
      </c>
      <c r="C16">
        <v>1</v>
      </c>
      <c r="H16" s="13">
        <f t="shared" si="0"/>
        <v>0</v>
      </c>
      <c r="I16" t="str" cm="1">
        <f t="array" ref="I16">_xlfn.IFS(H16&lt;1,"No",H16=1,"Yes",H16&gt;1,_xlfn.TEXTJOIN("",TRUE,"Yes x",H16))</f>
        <v>No</v>
      </c>
      <c r="J16" s="13">
        <f t="shared" si="1"/>
        <v>0</v>
      </c>
      <c r="K16" s="13">
        <f t="shared" si="2"/>
        <v>0</v>
      </c>
      <c r="L16" s="13" t="str" cm="1">
        <f t="array" ref="L16">_xlfn.IFS(J16&lt;1,"",J16=1,"Pass",J16&gt;1,_xlfn.TEXTJOIN("",TRUE,"Pass x",J16))</f>
        <v/>
      </c>
      <c r="M16" s="13" t="str" cm="1">
        <f t="array" ref="M16">_xlfn.IFS(K16&lt;1,"",K16=1,"Fail",K16&gt;1,_xlfn.TEXTJOIN("",TRUE,"Fail x",K16))</f>
        <v/>
      </c>
      <c r="N16" t="str">
        <f t="shared" si="3"/>
        <v/>
      </c>
    </row>
    <row r="17" spans="1:14">
      <c r="A17" s="32" t="s">
        <v>543</v>
      </c>
      <c r="B17">
        <v>1</v>
      </c>
      <c r="C17">
        <v>1</v>
      </c>
      <c r="H17" s="13">
        <f t="shared" si="0"/>
        <v>0</v>
      </c>
      <c r="I17" t="str" cm="1">
        <f t="array" ref="I17">_xlfn.IFS(H17&lt;1,"No",H17=1,"Yes",H17&gt;1,_xlfn.TEXTJOIN("",TRUE,"Yes x",H17))</f>
        <v>No</v>
      </c>
      <c r="J17" s="13">
        <f t="shared" si="1"/>
        <v>0</v>
      </c>
      <c r="K17" s="13">
        <f t="shared" si="2"/>
        <v>0</v>
      </c>
      <c r="L17" s="13" t="str" cm="1">
        <f t="array" ref="L17">_xlfn.IFS(J17&lt;1,"",J17=1,"Pass",J17&gt;1,_xlfn.TEXTJOIN("",TRUE,"Pass x",J17))</f>
        <v/>
      </c>
      <c r="M17" s="13" t="str" cm="1">
        <f t="array" ref="M17">_xlfn.IFS(K17&lt;1,"",K17=1,"Fail",K17&gt;1,_xlfn.TEXTJOIN("",TRUE,"Fail x",K17))</f>
        <v/>
      </c>
      <c r="N17" t="str">
        <f t="shared" si="3"/>
        <v/>
      </c>
    </row>
    <row r="18" spans="1:14">
      <c r="A18" s="32" t="s">
        <v>544</v>
      </c>
      <c r="B18">
        <v>1</v>
      </c>
      <c r="C18">
        <v>1</v>
      </c>
      <c r="H18" s="13">
        <f t="shared" si="0"/>
        <v>0</v>
      </c>
      <c r="I18" t="str" cm="1">
        <f t="array" ref="I18">_xlfn.IFS(H18&lt;1,"No",H18=1,"Yes",H18&gt;1,_xlfn.TEXTJOIN("",TRUE,"Yes x",H18))</f>
        <v>No</v>
      </c>
      <c r="J18" s="13">
        <f t="shared" si="1"/>
        <v>0</v>
      </c>
      <c r="K18" s="13">
        <f t="shared" si="2"/>
        <v>0</v>
      </c>
      <c r="L18" s="13" t="str" cm="1">
        <f t="array" ref="L18">_xlfn.IFS(J18&lt;1,"",J18=1,"Pass",J18&gt;1,_xlfn.TEXTJOIN("",TRUE,"Pass x",J18))</f>
        <v/>
      </c>
      <c r="M18" s="13" t="str" cm="1">
        <f t="array" ref="M18">_xlfn.IFS(K18&lt;1,"",K18=1,"Fail",K18&gt;1,_xlfn.TEXTJOIN("",TRUE,"Fail x",K18))</f>
        <v/>
      </c>
      <c r="N18" t="str">
        <f t="shared" si="3"/>
        <v/>
      </c>
    </row>
    <row r="19" spans="1:14">
      <c r="A19" s="32" t="s">
        <v>545</v>
      </c>
      <c r="B19">
        <v>1</v>
      </c>
      <c r="C19">
        <v>1</v>
      </c>
      <c r="H19" s="13">
        <f t="shared" si="0"/>
        <v>0</v>
      </c>
      <c r="I19" t="str" cm="1">
        <f t="array" ref="I19">_xlfn.IFS(H19&lt;1,"No",H19=1,"Yes",H19&gt;1,_xlfn.TEXTJOIN("",TRUE,"Yes x",H19))</f>
        <v>No</v>
      </c>
      <c r="J19" s="13">
        <f t="shared" si="1"/>
        <v>0</v>
      </c>
      <c r="K19" s="13">
        <f t="shared" si="2"/>
        <v>0</v>
      </c>
      <c r="L19" s="13" t="str" cm="1">
        <f t="array" ref="L19">_xlfn.IFS(J19&lt;1,"",J19=1,"Pass",J19&gt;1,_xlfn.TEXTJOIN("",TRUE,"Pass x",J19))</f>
        <v/>
      </c>
      <c r="M19" s="13" t="str" cm="1">
        <f t="array" ref="M19">_xlfn.IFS(K19&lt;1,"",K19=1,"Fail",K19&gt;1,_xlfn.TEXTJOIN("",TRUE,"Fail x",K19))</f>
        <v/>
      </c>
      <c r="N19" t="str">
        <f t="shared" si="3"/>
        <v/>
      </c>
    </row>
    <row r="20" spans="1:14">
      <c r="A20" s="32" t="s">
        <v>546</v>
      </c>
      <c r="B20">
        <v>1</v>
      </c>
      <c r="C20">
        <v>1</v>
      </c>
      <c r="H20" s="13">
        <f t="shared" si="0"/>
        <v>0</v>
      </c>
      <c r="I20" t="str" cm="1">
        <f t="array" ref="I20">_xlfn.IFS(H20&lt;1,"No",H20=1,"Yes",H20&gt;1,_xlfn.TEXTJOIN("",TRUE,"Yes x",H20))</f>
        <v>No</v>
      </c>
      <c r="J20" s="13">
        <f t="shared" si="1"/>
        <v>0</v>
      </c>
      <c r="K20" s="13">
        <f t="shared" si="2"/>
        <v>0</v>
      </c>
      <c r="L20" s="13" t="str" cm="1">
        <f t="array" ref="L20">_xlfn.IFS(J20&lt;1,"",J20=1,"Pass",J20&gt;1,_xlfn.TEXTJOIN("",TRUE,"Pass x",J20))</f>
        <v/>
      </c>
      <c r="M20" s="13" t="str" cm="1">
        <f t="array" ref="M20">_xlfn.IFS(K20&lt;1,"",K20=1,"Fail",K20&gt;1,_xlfn.TEXTJOIN("",TRUE,"Fail x",K20))</f>
        <v/>
      </c>
      <c r="N20" t="str">
        <f t="shared" si="3"/>
        <v/>
      </c>
    </row>
    <row r="21" spans="1:14">
      <c r="A21" s="32" t="s">
        <v>547</v>
      </c>
      <c r="B21">
        <v>1</v>
      </c>
      <c r="C21">
        <v>1</v>
      </c>
      <c r="H21" s="13">
        <f t="shared" si="0"/>
        <v>0</v>
      </c>
      <c r="I21" t="str" cm="1">
        <f t="array" ref="I21">_xlfn.IFS(H21&lt;1,"No",H21=1,"Yes",H21&gt;1,_xlfn.TEXTJOIN("",TRUE,"Yes x",H21))</f>
        <v>No</v>
      </c>
      <c r="J21" s="13">
        <f t="shared" si="1"/>
        <v>0</v>
      </c>
      <c r="K21" s="13">
        <f t="shared" si="2"/>
        <v>0</v>
      </c>
      <c r="L21" s="13" t="str" cm="1">
        <f t="array" ref="L21">_xlfn.IFS(J21&lt;1,"",J21=1,"Pass",J21&gt;1,_xlfn.TEXTJOIN("",TRUE,"Pass x",J21))</f>
        <v/>
      </c>
      <c r="M21" s="13" t="str" cm="1">
        <f t="array" ref="M21">_xlfn.IFS(K21&lt;1,"",K21=1,"Fail",K21&gt;1,_xlfn.TEXTJOIN("",TRUE,"Fail x",K21))</f>
        <v/>
      </c>
      <c r="N21" t="str">
        <f t="shared" si="3"/>
        <v/>
      </c>
    </row>
    <row r="22" spans="1:14">
      <c r="A22" s="32" t="s">
        <v>548</v>
      </c>
      <c r="B22">
        <v>1</v>
      </c>
      <c r="C22">
        <v>1</v>
      </c>
      <c r="H22" s="13">
        <f t="shared" si="0"/>
        <v>0</v>
      </c>
      <c r="I22" t="str" cm="1">
        <f t="array" ref="I22">_xlfn.IFS(H22&lt;1,"No",H22=1,"Yes",H22&gt;1,_xlfn.TEXTJOIN("",TRUE,"Yes x",H22))</f>
        <v>No</v>
      </c>
      <c r="J22" s="13">
        <f t="shared" si="1"/>
        <v>0</v>
      </c>
      <c r="K22" s="13">
        <f t="shared" si="2"/>
        <v>0</v>
      </c>
      <c r="L22" s="13" t="str" cm="1">
        <f t="array" ref="L22">_xlfn.IFS(J22&lt;1,"",J22=1,"Pass",J22&gt;1,_xlfn.TEXTJOIN("",TRUE,"Pass x",J22))</f>
        <v/>
      </c>
      <c r="M22" s="13" t="str" cm="1">
        <f t="array" ref="M22">_xlfn.IFS(K22&lt;1,"",K22=1,"Fail",K22&gt;1,_xlfn.TEXTJOIN("",TRUE,"Fail x",K22))</f>
        <v/>
      </c>
      <c r="N22" t="str">
        <f t="shared" si="3"/>
        <v/>
      </c>
    </row>
    <row r="23" spans="1:14">
      <c r="A23" s="32" t="s">
        <v>549</v>
      </c>
      <c r="B23">
        <v>1</v>
      </c>
      <c r="C23">
        <v>1</v>
      </c>
      <c r="H23" s="13">
        <f t="shared" si="0"/>
        <v>0</v>
      </c>
      <c r="I23" t="str" cm="1">
        <f t="array" ref="I23">_xlfn.IFS(H23&lt;1,"No",H23=1,"Yes",H23&gt;1,_xlfn.TEXTJOIN("",TRUE,"Yes x",H23))</f>
        <v>No</v>
      </c>
      <c r="J23" s="13">
        <f t="shared" si="1"/>
        <v>0</v>
      </c>
      <c r="K23" s="13">
        <f t="shared" si="2"/>
        <v>0</v>
      </c>
      <c r="L23" s="13" t="str" cm="1">
        <f t="array" ref="L23">_xlfn.IFS(J23&lt;1,"",J23=1,"Pass",J23&gt;1,_xlfn.TEXTJOIN("",TRUE,"Pass x",J23))</f>
        <v/>
      </c>
      <c r="M23" s="13" t="str" cm="1">
        <f t="array" ref="M23">_xlfn.IFS(K23&lt;1,"",K23=1,"Fail",K23&gt;1,_xlfn.TEXTJOIN("",TRUE,"Fail x",K23))</f>
        <v/>
      </c>
      <c r="N23" t="str">
        <f t="shared" si="3"/>
        <v/>
      </c>
    </row>
    <row r="24" spans="1:14">
      <c r="A24" s="32" t="s">
        <v>550</v>
      </c>
      <c r="B24">
        <v>1</v>
      </c>
      <c r="C24">
        <v>1</v>
      </c>
      <c r="H24" s="13">
        <f t="shared" si="0"/>
        <v>0</v>
      </c>
      <c r="I24" t="str" cm="1">
        <f t="array" ref="I24">_xlfn.IFS(H24&lt;1,"No",H24=1,"Yes",H24&gt;1,_xlfn.TEXTJOIN("",TRUE,"Yes x",H24))</f>
        <v>No</v>
      </c>
      <c r="J24" s="13">
        <f t="shared" si="1"/>
        <v>0</v>
      </c>
      <c r="K24" s="13">
        <f t="shared" si="2"/>
        <v>0</v>
      </c>
      <c r="L24" s="13" t="str" cm="1">
        <f t="array" ref="L24">_xlfn.IFS(J24&lt;1,"",J24=1,"Pass",J24&gt;1,_xlfn.TEXTJOIN("",TRUE,"Pass x",J24))</f>
        <v/>
      </c>
      <c r="M24" s="13" t="str" cm="1">
        <f t="array" ref="M24">_xlfn.IFS(K24&lt;1,"",K24=1,"Fail",K24&gt;1,_xlfn.TEXTJOIN("",TRUE,"Fail x",K24))</f>
        <v/>
      </c>
      <c r="N24" t="str">
        <f t="shared" si="3"/>
        <v/>
      </c>
    </row>
    <row r="25" spans="1:14">
      <c r="A25" s="32" t="s">
        <v>551</v>
      </c>
      <c r="B25">
        <v>1</v>
      </c>
      <c r="C25">
        <v>1</v>
      </c>
      <c r="H25" s="13">
        <f t="shared" si="0"/>
        <v>0</v>
      </c>
      <c r="I25" t="str" cm="1">
        <f t="array" ref="I25">_xlfn.IFS(H25&lt;1,"No",H25=1,"Yes",H25&gt;1,_xlfn.TEXTJOIN("",TRUE,"Yes x",H25))</f>
        <v>No</v>
      </c>
      <c r="J25" s="13">
        <f t="shared" si="1"/>
        <v>0</v>
      </c>
      <c r="K25" s="13">
        <f t="shared" si="2"/>
        <v>0</v>
      </c>
      <c r="L25" s="13" t="str" cm="1">
        <f t="array" ref="L25">_xlfn.IFS(J25&lt;1,"",J25=1,"Pass",J25&gt;1,_xlfn.TEXTJOIN("",TRUE,"Pass x",J25))</f>
        <v/>
      </c>
      <c r="M25" s="13" t="str" cm="1">
        <f t="array" ref="M25">_xlfn.IFS(K25&lt;1,"",K25=1,"Fail",K25&gt;1,_xlfn.TEXTJOIN("",TRUE,"Fail x",K25))</f>
        <v/>
      </c>
      <c r="N25" t="str">
        <f t="shared" si="3"/>
        <v/>
      </c>
    </row>
    <row r="26" spans="1:14">
      <c r="A26" s="32" t="s">
        <v>552</v>
      </c>
      <c r="B26">
        <v>1</v>
      </c>
      <c r="C26">
        <v>1</v>
      </c>
      <c r="H26" s="13">
        <f t="shared" si="0"/>
        <v>0</v>
      </c>
      <c r="I26" t="str" cm="1">
        <f t="array" ref="I26">_xlfn.IFS(H26&lt;1,"No",H26=1,"Yes",H26&gt;1,_xlfn.TEXTJOIN("",TRUE,"Yes x",H26))</f>
        <v>No</v>
      </c>
      <c r="J26" s="13">
        <f t="shared" si="1"/>
        <v>0</v>
      </c>
      <c r="K26" s="13">
        <f t="shared" si="2"/>
        <v>0</v>
      </c>
      <c r="L26" s="13" t="str" cm="1">
        <f t="array" ref="L26">_xlfn.IFS(J26&lt;1,"",J26=1,"Pass",J26&gt;1,_xlfn.TEXTJOIN("",TRUE,"Pass x",J26))</f>
        <v/>
      </c>
      <c r="M26" s="13" t="str" cm="1">
        <f t="array" ref="M26">_xlfn.IFS(K26&lt;1,"",K26=1,"Fail",K26&gt;1,_xlfn.TEXTJOIN("",TRUE,"Fail x",K26))</f>
        <v/>
      </c>
      <c r="N26" t="str">
        <f t="shared" si="3"/>
        <v/>
      </c>
    </row>
    <row r="27" spans="1:14">
      <c r="A27" s="32" t="s">
        <v>553</v>
      </c>
      <c r="B27">
        <v>1</v>
      </c>
      <c r="C27">
        <v>1</v>
      </c>
      <c r="H27" s="13">
        <f t="shared" si="0"/>
        <v>0</v>
      </c>
      <c r="I27" t="str" cm="1">
        <f t="array" ref="I27">_xlfn.IFS(H27&lt;1,"No",H27=1,"Yes",H27&gt;1,_xlfn.TEXTJOIN("",TRUE,"Yes x",H27))</f>
        <v>No</v>
      </c>
      <c r="J27" s="13">
        <f t="shared" si="1"/>
        <v>0</v>
      </c>
      <c r="K27" s="13">
        <f t="shared" si="2"/>
        <v>0</v>
      </c>
      <c r="L27" s="13" t="str" cm="1">
        <f t="array" ref="L27">_xlfn.IFS(J27&lt;1,"",J27=1,"Pass",J27&gt;1,_xlfn.TEXTJOIN("",TRUE,"Pass x",J27))</f>
        <v/>
      </c>
      <c r="M27" s="13" t="str" cm="1">
        <f t="array" ref="M27">_xlfn.IFS(K27&lt;1,"",K27=1,"Fail",K27&gt;1,_xlfn.TEXTJOIN("",TRUE,"Fail x",K27))</f>
        <v/>
      </c>
      <c r="N27" t="str">
        <f t="shared" si="3"/>
        <v/>
      </c>
    </row>
    <row r="28" spans="1:14">
      <c r="A28" s="32" t="s">
        <v>554</v>
      </c>
      <c r="B28">
        <v>1</v>
      </c>
      <c r="C28">
        <v>1</v>
      </c>
      <c r="H28" s="13">
        <f t="shared" si="0"/>
        <v>0</v>
      </c>
      <c r="I28" t="str" cm="1">
        <f t="array" ref="I28">_xlfn.IFS(H28&lt;1,"No",H28=1,"Yes",H28&gt;1,_xlfn.TEXTJOIN("",TRUE,"Yes x",H28))</f>
        <v>No</v>
      </c>
      <c r="J28" s="13">
        <f t="shared" si="1"/>
        <v>0</v>
      </c>
      <c r="K28" s="13">
        <f t="shared" si="2"/>
        <v>0</v>
      </c>
      <c r="L28" s="13" t="str" cm="1">
        <f t="array" ref="L28">_xlfn.IFS(J28&lt;1,"",J28=1,"Pass",J28&gt;1,_xlfn.TEXTJOIN("",TRUE,"Pass x",J28))</f>
        <v/>
      </c>
      <c r="M28" s="13" t="str" cm="1">
        <f t="array" ref="M28">_xlfn.IFS(K28&lt;1,"",K28=1,"Fail",K28&gt;1,_xlfn.TEXTJOIN("",TRUE,"Fail x",K28))</f>
        <v/>
      </c>
      <c r="N28" t="str">
        <f t="shared" si="3"/>
        <v/>
      </c>
    </row>
    <row r="29" spans="1:14">
      <c r="A29" s="32" t="s">
        <v>555</v>
      </c>
      <c r="B29">
        <v>1</v>
      </c>
      <c r="C29">
        <v>1</v>
      </c>
      <c r="H29" s="13">
        <f t="shared" si="0"/>
        <v>0</v>
      </c>
      <c r="I29" t="str" cm="1">
        <f t="array" ref="I29">_xlfn.IFS(H29&lt;1,"No",H29=1,"Yes",H29&gt;1,_xlfn.TEXTJOIN("",TRUE,"Yes x",H29))</f>
        <v>No</v>
      </c>
      <c r="J29" s="13">
        <f t="shared" si="1"/>
        <v>0</v>
      </c>
      <c r="K29" s="13">
        <f t="shared" si="2"/>
        <v>0</v>
      </c>
      <c r="L29" s="13" t="str" cm="1">
        <f t="array" ref="L29">_xlfn.IFS(J29&lt;1,"",J29=1,"Pass",J29&gt;1,_xlfn.TEXTJOIN("",TRUE,"Pass x",J29))</f>
        <v/>
      </c>
      <c r="M29" s="13" t="str" cm="1">
        <f t="array" ref="M29">_xlfn.IFS(K29&lt;1,"",K29=1,"Fail",K29&gt;1,_xlfn.TEXTJOIN("",TRUE,"Fail x",K29))</f>
        <v/>
      </c>
      <c r="N29" t="str">
        <f t="shared" si="3"/>
        <v/>
      </c>
    </row>
    <row r="30" spans="1:14">
      <c r="A30" s="32" t="s">
        <v>556</v>
      </c>
      <c r="B30">
        <v>1</v>
      </c>
      <c r="C30">
        <v>1</v>
      </c>
      <c r="H30" s="13">
        <f t="shared" si="0"/>
        <v>0</v>
      </c>
      <c r="I30" t="str" cm="1">
        <f t="array" ref="I30">_xlfn.IFS(H30&lt;1,"No",H30=1,"Yes",H30&gt;1,_xlfn.TEXTJOIN("",TRUE,"Yes x",H30))</f>
        <v>No</v>
      </c>
      <c r="J30" s="13">
        <f t="shared" si="1"/>
        <v>0</v>
      </c>
      <c r="K30" s="13">
        <f t="shared" si="2"/>
        <v>0</v>
      </c>
      <c r="L30" s="13" t="str" cm="1">
        <f t="array" ref="L30">_xlfn.IFS(J30&lt;1,"",J30=1,"Pass",J30&gt;1,_xlfn.TEXTJOIN("",TRUE,"Pass x",J30))</f>
        <v/>
      </c>
      <c r="M30" s="13" t="str" cm="1">
        <f t="array" ref="M30">_xlfn.IFS(K30&lt;1,"",K30=1,"Fail",K30&gt;1,_xlfn.TEXTJOIN("",TRUE,"Fail x",K30))</f>
        <v/>
      </c>
      <c r="N30" t="str">
        <f t="shared" si="3"/>
        <v/>
      </c>
    </row>
    <row r="31" spans="1:14">
      <c r="A31" s="32" t="s">
        <v>557</v>
      </c>
      <c r="B31">
        <v>1</v>
      </c>
      <c r="C31">
        <v>1</v>
      </c>
      <c r="H31" s="13">
        <f t="shared" si="0"/>
        <v>0</v>
      </c>
      <c r="I31" t="str" cm="1">
        <f t="array" ref="I31">_xlfn.IFS(H31&lt;1,"No",H31=1,"Yes",H31&gt;1,_xlfn.TEXTJOIN("",TRUE,"Yes x",H31))</f>
        <v>No</v>
      </c>
      <c r="J31" s="13">
        <f t="shared" si="1"/>
        <v>0</v>
      </c>
      <c r="K31" s="13">
        <f t="shared" si="2"/>
        <v>0</v>
      </c>
      <c r="L31" s="13" t="str" cm="1">
        <f t="array" ref="L31">_xlfn.IFS(J31&lt;1,"",J31=1,"Pass",J31&gt;1,_xlfn.TEXTJOIN("",TRUE,"Pass x",J31))</f>
        <v/>
      </c>
      <c r="M31" s="13" t="str" cm="1">
        <f t="array" ref="M31">_xlfn.IFS(K31&lt;1,"",K31=1,"Fail",K31&gt;1,_xlfn.TEXTJOIN("",TRUE,"Fail x",K31))</f>
        <v/>
      </c>
      <c r="N31" t="str">
        <f t="shared" si="3"/>
        <v/>
      </c>
    </row>
    <row r="32" spans="1:14">
      <c r="A32" s="32" t="s">
        <v>558</v>
      </c>
      <c r="B32">
        <v>1</v>
      </c>
      <c r="C32">
        <v>1</v>
      </c>
      <c r="H32" s="13">
        <f t="shared" si="0"/>
        <v>0</v>
      </c>
      <c r="I32" t="str" cm="1">
        <f t="array" ref="I32">_xlfn.IFS(H32&lt;1,"No",H32=1,"Yes",H32&gt;1,_xlfn.TEXTJOIN("",TRUE,"Yes x",H32))</f>
        <v>No</v>
      </c>
      <c r="J32" s="13">
        <f t="shared" si="1"/>
        <v>0</v>
      </c>
      <c r="K32" s="13">
        <f t="shared" si="2"/>
        <v>0</v>
      </c>
      <c r="L32" s="13" t="str" cm="1">
        <f t="array" ref="L32">_xlfn.IFS(J32&lt;1,"",J32=1,"Pass",J32&gt;1,_xlfn.TEXTJOIN("",TRUE,"Pass x",J32))</f>
        <v/>
      </c>
      <c r="M32" s="13" t="str" cm="1">
        <f t="array" ref="M32">_xlfn.IFS(K32&lt;1,"",K32=1,"Fail",K32&gt;1,_xlfn.TEXTJOIN("",TRUE,"Fail x",K32))</f>
        <v/>
      </c>
      <c r="N32" t="str">
        <f t="shared" si="3"/>
        <v/>
      </c>
    </row>
    <row r="33" spans="1:14">
      <c r="A33" s="32" t="s">
        <v>559</v>
      </c>
      <c r="B33">
        <v>1</v>
      </c>
      <c r="C33">
        <v>1</v>
      </c>
      <c r="H33" s="13">
        <f t="shared" si="0"/>
        <v>0</v>
      </c>
      <c r="I33" t="str" cm="1">
        <f t="array" ref="I33">_xlfn.IFS(H33&lt;1,"No",H33=1,"Yes",H33&gt;1,_xlfn.TEXTJOIN("",TRUE,"Yes x",H33))</f>
        <v>No</v>
      </c>
      <c r="J33" s="13">
        <f t="shared" si="1"/>
        <v>0</v>
      </c>
      <c r="K33" s="13">
        <f t="shared" si="2"/>
        <v>0</v>
      </c>
      <c r="L33" s="13" t="str" cm="1">
        <f t="array" ref="L33">_xlfn.IFS(J33&lt;1,"",J33=1,"Pass",J33&gt;1,_xlfn.TEXTJOIN("",TRUE,"Pass x",J33))</f>
        <v/>
      </c>
      <c r="M33" s="13" t="str" cm="1">
        <f t="array" ref="M33">_xlfn.IFS(K33&lt;1,"",K33=1,"Fail",K33&gt;1,_xlfn.TEXTJOIN("",TRUE,"Fail x",K33))</f>
        <v/>
      </c>
      <c r="N33" t="str">
        <f t="shared" si="3"/>
        <v/>
      </c>
    </row>
    <row r="34" spans="1:14">
      <c r="A34" s="32" t="s">
        <v>560</v>
      </c>
      <c r="B34">
        <v>1</v>
      </c>
      <c r="C34">
        <v>1</v>
      </c>
      <c r="H34" s="13">
        <f t="shared" si="0"/>
        <v>0</v>
      </c>
      <c r="I34" t="str" cm="1">
        <f t="array" ref="I34">_xlfn.IFS(H34&lt;1,"No",H34=1,"Yes",H34&gt;1,_xlfn.TEXTJOIN("",TRUE,"Yes x",H34))</f>
        <v>No</v>
      </c>
      <c r="J34" s="13">
        <f t="shared" si="1"/>
        <v>0</v>
      </c>
      <c r="K34" s="13">
        <f t="shared" si="2"/>
        <v>0</v>
      </c>
      <c r="L34" s="13" t="str" cm="1">
        <f t="array" ref="L34">_xlfn.IFS(J34&lt;1,"",J34=1,"Pass",J34&gt;1,_xlfn.TEXTJOIN("",TRUE,"Pass x",J34))</f>
        <v/>
      </c>
      <c r="M34" s="13" t="str" cm="1">
        <f t="array" ref="M34">_xlfn.IFS(K34&lt;1,"",K34=1,"Fail",K34&gt;1,_xlfn.TEXTJOIN("",TRUE,"Fail x",K34))</f>
        <v/>
      </c>
      <c r="N34" t="str">
        <f t="shared" si="3"/>
        <v/>
      </c>
    </row>
    <row r="35" spans="1:14">
      <c r="A35" s="32" t="s">
        <v>328</v>
      </c>
      <c r="B35">
        <v>32</v>
      </c>
      <c r="C35">
        <v>32</v>
      </c>
      <c r="H35" s="13">
        <f t="shared" si="0"/>
        <v>0</v>
      </c>
      <c r="I35" t="str" cm="1">
        <f t="array" ref="I35">_xlfn.IFS(H35&lt;1,"No",H35=1,"Yes",H35&gt;1,_xlfn.TEXTJOIN("",TRUE,"Yes x",H35))</f>
        <v>No</v>
      </c>
      <c r="J35" s="13">
        <f t="shared" si="1"/>
        <v>0</v>
      </c>
      <c r="K35" s="13">
        <f t="shared" si="2"/>
        <v>0</v>
      </c>
      <c r="L35" s="13" t="str" cm="1">
        <f t="array" ref="L35">_xlfn.IFS(J35&lt;1,"",J35=1,"Pass",J35&gt;1,_xlfn.TEXTJOIN("",TRUE,"Pass x",J35))</f>
        <v/>
      </c>
      <c r="M35" s="13" t="str" cm="1">
        <f t="array" ref="M35">_xlfn.IFS(K35&lt;1,"",K35=1,"Fail",K35&gt;1,_xlfn.TEXTJOIN("",TRUE,"Fail x",K35))</f>
        <v/>
      </c>
      <c r="N35" t="str">
        <f t="shared" si="3"/>
        <v/>
      </c>
    </row>
    <row r="36" spans="1:14">
      <c r="H36" s="13">
        <f t="shared" si="0"/>
        <v>0</v>
      </c>
      <c r="I36" t="str" cm="1">
        <f t="array" ref="I36">_xlfn.IFS(H36&lt;1,"No",H36=1,"Yes",H36&gt;1,_xlfn.TEXTJOIN("",TRUE,"Yes x",H36))</f>
        <v>No</v>
      </c>
      <c r="J36" s="13">
        <f t="shared" si="1"/>
        <v>0</v>
      </c>
      <c r="K36" s="13">
        <f t="shared" si="2"/>
        <v>0</v>
      </c>
      <c r="L36" s="13" t="str" cm="1">
        <f t="array" ref="L36">_xlfn.IFS(J36&lt;1,"",J36=1,"Pass",J36&gt;1,_xlfn.TEXTJOIN("",TRUE,"Pass x",J36))</f>
        <v/>
      </c>
      <c r="M36" s="13" t="str" cm="1">
        <f t="array" ref="M36">_xlfn.IFS(K36&lt;1,"",K36=1,"Fail",K36&gt;1,_xlfn.TEXTJOIN("",TRUE,"Fail x",K36))</f>
        <v/>
      </c>
      <c r="N36" t="str">
        <f t="shared" si="3"/>
        <v/>
      </c>
    </row>
    <row r="37" spans="1:14">
      <c r="H37" s="13">
        <f t="shared" si="0"/>
        <v>0</v>
      </c>
      <c r="I37" t="str" cm="1">
        <f t="array" ref="I37">_xlfn.IFS(H37&lt;1,"No",H37=1,"Yes",H37&gt;1,_xlfn.TEXTJOIN("",TRUE,"Yes x",H37))</f>
        <v>No</v>
      </c>
      <c r="J37" s="13">
        <f t="shared" si="1"/>
        <v>0</v>
      </c>
      <c r="K37" s="13">
        <f t="shared" si="2"/>
        <v>0</v>
      </c>
      <c r="L37" s="13" t="str" cm="1">
        <f t="array" ref="L37">_xlfn.IFS(J37&lt;1,"",J37=1,"Pass",J37&gt;1,_xlfn.TEXTJOIN("",TRUE,"Pass x",J37))</f>
        <v/>
      </c>
      <c r="M37" s="13" t="str" cm="1">
        <f t="array" ref="M37">_xlfn.IFS(K37&lt;1,"",K37=1,"Fail",K37&gt;1,_xlfn.TEXTJOIN("",TRUE,"Fail x",K37))</f>
        <v/>
      </c>
      <c r="N37" t="str">
        <f t="shared" si="3"/>
        <v/>
      </c>
    </row>
    <row r="38" spans="1:14">
      <c r="H38" s="13">
        <f t="shared" si="0"/>
        <v>0</v>
      </c>
      <c r="I38" t="str" cm="1">
        <f t="array" ref="I38">_xlfn.IFS(H38&lt;1,"No",H38=1,"Yes",H38&gt;1,_xlfn.TEXTJOIN("",TRUE,"Yes x",H38))</f>
        <v>No</v>
      </c>
      <c r="J38" s="13">
        <f t="shared" si="1"/>
        <v>0</v>
      </c>
      <c r="K38" s="13">
        <f t="shared" si="2"/>
        <v>0</v>
      </c>
      <c r="L38" s="13" t="str" cm="1">
        <f t="array" ref="L38">_xlfn.IFS(J38&lt;1,"",J38=1,"Pass",J38&gt;1,_xlfn.TEXTJOIN("",TRUE,"Pass x",J38))</f>
        <v/>
      </c>
      <c r="M38" s="13" t="str" cm="1">
        <f t="array" ref="M38">_xlfn.IFS(K38&lt;1,"",K38=1,"Fail",K38&gt;1,_xlfn.TEXTJOIN("",TRUE,"Fail x",K38))</f>
        <v/>
      </c>
      <c r="N38" t="str">
        <f t="shared" si="3"/>
        <v/>
      </c>
    </row>
    <row r="39" spans="1:14">
      <c r="H39" s="13">
        <f t="shared" si="0"/>
        <v>0</v>
      </c>
      <c r="I39" t="str" cm="1">
        <f t="array" ref="I39">_xlfn.IFS(H39&lt;1,"No",H39=1,"Yes",H39&gt;1,_xlfn.TEXTJOIN("",TRUE,"Yes x",H39))</f>
        <v>No</v>
      </c>
      <c r="J39" s="13">
        <f t="shared" si="1"/>
        <v>0</v>
      </c>
      <c r="K39" s="13">
        <f t="shared" si="2"/>
        <v>0</v>
      </c>
      <c r="L39" s="13" t="str" cm="1">
        <f t="array" ref="L39">_xlfn.IFS(J39&lt;1,"",J39=1,"Pass",J39&gt;1,_xlfn.TEXTJOIN("",TRUE,"Pass x",J39))</f>
        <v/>
      </c>
      <c r="M39" s="13" t="str" cm="1">
        <f t="array" ref="M39">_xlfn.IFS(K39&lt;1,"",K39=1,"Fail",K39&gt;1,_xlfn.TEXTJOIN("",TRUE,"Fail x",K39))</f>
        <v/>
      </c>
      <c r="N39" t="str">
        <f t="shared" si="3"/>
        <v/>
      </c>
    </row>
    <row r="40" spans="1:14">
      <c r="H40" s="13">
        <f t="shared" si="0"/>
        <v>0</v>
      </c>
      <c r="I40" t="str" cm="1">
        <f t="array" ref="I40">_xlfn.IFS(H40&lt;1,"No",H40=1,"Yes",H40&gt;1,_xlfn.TEXTJOIN("",TRUE,"Yes x",H40))</f>
        <v>No</v>
      </c>
      <c r="J40" s="13">
        <f t="shared" si="1"/>
        <v>0</v>
      </c>
      <c r="K40" s="13">
        <f t="shared" si="2"/>
        <v>0</v>
      </c>
      <c r="L40" s="13" t="str" cm="1">
        <f t="array" ref="L40">_xlfn.IFS(J40&lt;1,"",J40=1,"Pass",J40&gt;1,_xlfn.TEXTJOIN("",TRUE,"Pass x",J40))</f>
        <v/>
      </c>
      <c r="M40" s="13" t="str" cm="1">
        <f t="array" ref="M40">_xlfn.IFS(K40&lt;1,"",K40=1,"Fail",K40&gt;1,_xlfn.TEXTJOIN("",TRUE,"Fail x",K40))</f>
        <v/>
      </c>
      <c r="N40" t="str">
        <f t="shared" si="3"/>
        <v/>
      </c>
    </row>
    <row r="41" spans="1:14">
      <c r="H41" s="13">
        <f t="shared" si="0"/>
        <v>0</v>
      </c>
      <c r="I41" t="str" cm="1">
        <f t="array" ref="I41">_xlfn.IFS(H41&lt;1,"No",H41=1,"Yes",H41&gt;1,_xlfn.TEXTJOIN("",TRUE,"Yes x",H41))</f>
        <v>No</v>
      </c>
      <c r="J41" s="13">
        <f t="shared" si="1"/>
        <v>0</v>
      </c>
      <c r="K41" s="13">
        <f t="shared" si="2"/>
        <v>0</v>
      </c>
      <c r="L41" s="13" t="str" cm="1">
        <f t="array" ref="L41">_xlfn.IFS(J41&lt;1,"",J41=1,"Pass",J41&gt;1,_xlfn.TEXTJOIN("",TRUE,"Pass x",J41))</f>
        <v/>
      </c>
      <c r="M41" s="13" t="str" cm="1">
        <f t="array" ref="M41">_xlfn.IFS(K41&lt;1,"",K41=1,"Fail",K41&gt;1,_xlfn.TEXTJOIN("",TRUE,"Fail x",K41))</f>
        <v/>
      </c>
      <c r="N41" t="str">
        <f t="shared" si="3"/>
        <v/>
      </c>
    </row>
    <row r="42" spans="1:14">
      <c r="H42" s="13">
        <f t="shared" si="0"/>
        <v>0</v>
      </c>
      <c r="I42" t="str" cm="1">
        <f t="array" ref="I42">_xlfn.IFS(H42&lt;1,"No",H42=1,"Yes",H42&gt;1,_xlfn.TEXTJOIN("",TRUE,"Yes x",H42))</f>
        <v>No</v>
      </c>
      <c r="J42" s="13">
        <f t="shared" si="1"/>
        <v>0</v>
      </c>
      <c r="K42" s="13">
        <f t="shared" si="2"/>
        <v>0</v>
      </c>
      <c r="L42" s="13" t="str" cm="1">
        <f t="array" ref="L42">_xlfn.IFS(J42&lt;1,"",J42=1,"Pass",J42&gt;1,_xlfn.TEXTJOIN("",TRUE,"Pass x",J42))</f>
        <v/>
      </c>
      <c r="M42" s="13" t="str" cm="1">
        <f t="array" ref="M42">_xlfn.IFS(K42&lt;1,"",K42=1,"Fail",K42&gt;1,_xlfn.TEXTJOIN("",TRUE,"Fail x",K42))</f>
        <v/>
      </c>
      <c r="N42" t="str">
        <f t="shared" si="3"/>
        <v/>
      </c>
    </row>
    <row r="43" spans="1:14">
      <c r="H43" s="13">
        <f t="shared" si="0"/>
        <v>0</v>
      </c>
      <c r="I43" t="str" cm="1">
        <f t="array" ref="I43">_xlfn.IFS(H43&lt;1,"No",H43=1,"Yes",H43&gt;1,_xlfn.TEXTJOIN("",TRUE,"Yes x",H43))</f>
        <v>No</v>
      </c>
      <c r="J43" s="13">
        <f t="shared" si="1"/>
        <v>0</v>
      </c>
      <c r="K43" s="13">
        <f t="shared" si="2"/>
        <v>0</v>
      </c>
      <c r="L43" s="13" t="str" cm="1">
        <f t="array" ref="L43">_xlfn.IFS(J43&lt;1,"",J43=1,"Pass",J43&gt;1,_xlfn.TEXTJOIN("",TRUE,"Pass x",J43))</f>
        <v/>
      </c>
      <c r="M43" s="13" t="str" cm="1">
        <f t="array" ref="M43">_xlfn.IFS(K43&lt;1,"",K43=1,"Fail",K43&gt;1,_xlfn.TEXTJOIN("",TRUE,"Fail x",K43))</f>
        <v/>
      </c>
      <c r="N43" t="str">
        <f t="shared" si="3"/>
        <v/>
      </c>
    </row>
    <row r="44" spans="1:14">
      <c r="H44" s="13">
        <f t="shared" si="0"/>
        <v>0</v>
      </c>
      <c r="I44" t="str" cm="1">
        <f t="array" ref="I44">_xlfn.IFS(H44&lt;1,"No",H44=1,"Yes",H44&gt;1,_xlfn.TEXTJOIN("",TRUE,"Yes x",H44))</f>
        <v>No</v>
      </c>
      <c r="J44" s="13">
        <f t="shared" si="1"/>
        <v>0</v>
      </c>
      <c r="K44" s="13">
        <f t="shared" si="2"/>
        <v>0</v>
      </c>
      <c r="L44" s="13" t="str" cm="1">
        <f t="array" ref="L44">_xlfn.IFS(J44&lt;1,"",J44=1,"Pass",J44&gt;1,_xlfn.TEXTJOIN("",TRUE,"Pass x",J44))</f>
        <v/>
      </c>
      <c r="M44" s="13" t="str" cm="1">
        <f t="array" ref="M44">_xlfn.IFS(K44&lt;1,"",K44=1,"Fail",K44&gt;1,_xlfn.TEXTJOIN("",TRUE,"Fail x",K44))</f>
        <v/>
      </c>
      <c r="N44" t="str">
        <f t="shared" si="3"/>
        <v/>
      </c>
    </row>
    <row r="45" spans="1:14">
      <c r="H45" s="13">
        <f t="shared" si="0"/>
        <v>0</v>
      </c>
      <c r="I45" t="str" cm="1">
        <f t="array" ref="I45">_xlfn.IFS(H45&lt;1,"No",H45=1,"Yes",H45&gt;1,_xlfn.TEXTJOIN("",TRUE,"Yes x",H45))</f>
        <v>No</v>
      </c>
      <c r="J45" s="13">
        <f t="shared" si="1"/>
        <v>0</v>
      </c>
      <c r="K45" s="13">
        <f t="shared" si="2"/>
        <v>0</v>
      </c>
      <c r="L45" s="13" t="str" cm="1">
        <f t="array" ref="L45">_xlfn.IFS(J45&lt;1,"",J45=1,"Pass",J45&gt;1,_xlfn.TEXTJOIN("",TRUE,"Pass x",J45))</f>
        <v/>
      </c>
      <c r="M45" s="13" t="str" cm="1">
        <f t="array" ref="M45">_xlfn.IFS(K45&lt;1,"",K45=1,"Fail",K45&gt;1,_xlfn.TEXTJOIN("",TRUE,"Fail x",K45))</f>
        <v/>
      </c>
      <c r="N45" t="str">
        <f t="shared" si="3"/>
        <v/>
      </c>
    </row>
    <row r="46" spans="1:14">
      <c r="H46" s="13">
        <f t="shared" si="0"/>
        <v>0</v>
      </c>
      <c r="I46" t="str" cm="1">
        <f t="array" ref="I46">_xlfn.IFS(H46&lt;1,"No",H46=1,"Yes",H46&gt;1,_xlfn.TEXTJOIN("",TRUE,"Yes x",H46))</f>
        <v>No</v>
      </c>
      <c r="J46" s="13">
        <f t="shared" si="1"/>
        <v>0</v>
      </c>
      <c r="K46" s="13">
        <f t="shared" si="2"/>
        <v>0</v>
      </c>
      <c r="L46" s="13" t="str" cm="1">
        <f t="array" ref="L46">_xlfn.IFS(J46&lt;1,"",J46=1,"Pass",J46&gt;1,_xlfn.TEXTJOIN("",TRUE,"Pass x",J46))</f>
        <v/>
      </c>
      <c r="M46" s="13" t="str" cm="1">
        <f t="array" ref="M46">_xlfn.IFS(K46&lt;1,"",K46=1,"Fail",K46&gt;1,_xlfn.TEXTJOIN("",TRUE,"Fail x",K46))</f>
        <v/>
      </c>
      <c r="N46" t="str">
        <f t="shared" si="3"/>
        <v/>
      </c>
    </row>
    <row r="47" spans="1:14">
      <c r="H47" s="13">
        <f t="shared" si="0"/>
        <v>0</v>
      </c>
      <c r="I47" t="str" cm="1">
        <f t="array" ref="I47">_xlfn.IFS(H47&lt;1,"No",H47=1,"Yes",H47&gt;1,_xlfn.TEXTJOIN("",TRUE,"Yes x",H47))</f>
        <v>No</v>
      </c>
      <c r="J47" s="13">
        <f t="shared" si="1"/>
        <v>0</v>
      </c>
      <c r="K47" s="13">
        <f t="shared" si="2"/>
        <v>0</v>
      </c>
      <c r="L47" s="13" t="str" cm="1">
        <f t="array" ref="L47">_xlfn.IFS(J47&lt;1,"",J47=1,"Pass",J47&gt;1,_xlfn.TEXTJOIN("",TRUE,"Pass x",J47))</f>
        <v/>
      </c>
      <c r="M47" s="13" t="str" cm="1">
        <f t="array" ref="M47">_xlfn.IFS(K47&lt;1,"",K47=1,"Fail",K47&gt;1,_xlfn.TEXTJOIN("",TRUE,"Fail x",K47))</f>
        <v/>
      </c>
      <c r="N47" t="str">
        <f t="shared" si="3"/>
        <v/>
      </c>
    </row>
    <row r="48" spans="1:14">
      <c r="H48" s="13">
        <f t="shared" si="0"/>
        <v>0</v>
      </c>
      <c r="I48" t="str" cm="1">
        <f t="array" ref="I48">_xlfn.IFS(H48&lt;1,"No",H48=1,"Yes",H48&gt;1,_xlfn.TEXTJOIN("",TRUE,"Yes x",H48))</f>
        <v>No</v>
      </c>
      <c r="J48" s="13">
        <f t="shared" si="1"/>
        <v>0</v>
      </c>
      <c r="K48" s="13">
        <f t="shared" si="2"/>
        <v>0</v>
      </c>
      <c r="L48" s="13" t="str" cm="1">
        <f t="array" ref="L48">_xlfn.IFS(J48&lt;1,"",J48=1,"Pass",J48&gt;1,_xlfn.TEXTJOIN("",TRUE,"Pass x",J48))</f>
        <v/>
      </c>
      <c r="M48" s="13" t="str" cm="1">
        <f t="array" ref="M48">_xlfn.IFS(K48&lt;1,"",K48=1,"Fail",K48&gt;1,_xlfn.TEXTJOIN("",TRUE,"Fail x",K48))</f>
        <v/>
      </c>
      <c r="N48" t="str">
        <f t="shared" si="3"/>
        <v/>
      </c>
    </row>
    <row r="49" spans="8:14">
      <c r="H49" s="13">
        <f t="shared" si="0"/>
        <v>0</v>
      </c>
      <c r="I49" t="str" cm="1">
        <f t="array" ref="I49">_xlfn.IFS(H49&lt;1,"No",H49=1,"Yes",H49&gt;1,_xlfn.TEXTJOIN("",TRUE,"Yes x",H49))</f>
        <v>No</v>
      </c>
      <c r="J49" s="13">
        <f t="shared" si="1"/>
        <v>0</v>
      </c>
      <c r="K49" s="13">
        <f t="shared" si="2"/>
        <v>0</v>
      </c>
      <c r="L49" s="13" t="str" cm="1">
        <f t="array" ref="L49">_xlfn.IFS(J49&lt;1,"",J49=1,"Pass",J49&gt;1,_xlfn.TEXTJOIN("",TRUE,"Pass x",J49))</f>
        <v/>
      </c>
      <c r="M49" s="13" t="str" cm="1">
        <f t="array" ref="M49">_xlfn.IFS(K49&lt;1,"",K49=1,"Fail",K49&gt;1,_xlfn.TEXTJOIN("",TRUE,"Fail x",K49))</f>
        <v/>
      </c>
      <c r="N49" t="str">
        <f t="shared" si="3"/>
        <v/>
      </c>
    </row>
    <row r="50" spans="8:14">
      <c r="H50" s="13">
        <f t="shared" si="0"/>
        <v>0</v>
      </c>
      <c r="I50" t="str" cm="1">
        <f t="array" ref="I50">_xlfn.IFS(H50&lt;1,"No",H50=1,"Yes",H50&gt;1,_xlfn.TEXTJOIN("",TRUE,"Yes x",H50))</f>
        <v>No</v>
      </c>
      <c r="J50" s="13">
        <f t="shared" si="1"/>
        <v>0</v>
      </c>
      <c r="K50" s="13">
        <f t="shared" si="2"/>
        <v>0</v>
      </c>
      <c r="L50" s="13" t="str" cm="1">
        <f t="array" ref="L50">_xlfn.IFS(J50&lt;1,"",J50=1,"Pass",J50&gt;1,_xlfn.TEXTJOIN("",TRUE,"Pass x",J50))</f>
        <v/>
      </c>
      <c r="M50" s="13" t="str" cm="1">
        <f t="array" ref="M50">_xlfn.IFS(K50&lt;1,"",K50=1,"Fail",K50&gt;1,_xlfn.TEXTJOIN("",TRUE,"Fail x",K50))</f>
        <v/>
      </c>
      <c r="N50" t="str">
        <f t="shared" si="3"/>
        <v/>
      </c>
    </row>
    <row r="51" spans="8:14">
      <c r="H51" s="13">
        <f t="shared" si="0"/>
        <v>0</v>
      </c>
      <c r="I51" t="str" cm="1">
        <f t="array" ref="I51">_xlfn.IFS(H51&lt;1,"No",H51=1,"Yes",H51&gt;1,_xlfn.TEXTJOIN("",TRUE,"Yes x",H51))</f>
        <v>No</v>
      </c>
      <c r="J51" s="13">
        <f t="shared" si="1"/>
        <v>0</v>
      </c>
      <c r="K51" s="13">
        <f t="shared" si="2"/>
        <v>0</v>
      </c>
      <c r="L51" s="13" t="str" cm="1">
        <f t="array" ref="L51">_xlfn.IFS(J51&lt;1,"",J51=1,"Pass",J51&gt;1,_xlfn.TEXTJOIN("",TRUE,"Pass x",J51))</f>
        <v/>
      </c>
      <c r="M51" s="13" t="str" cm="1">
        <f t="array" ref="M51">_xlfn.IFS(K51&lt;1,"",K51=1,"Fail",K51&gt;1,_xlfn.TEXTJOIN("",TRUE,"Fail x",K51))</f>
        <v/>
      </c>
      <c r="N51" t="str">
        <f t="shared" si="3"/>
        <v/>
      </c>
    </row>
    <row r="52" spans="8:14">
      <c r="H52" s="13">
        <f t="shared" si="0"/>
        <v>0</v>
      </c>
      <c r="I52" t="str" cm="1">
        <f t="array" ref="I52">_xlfn.IFS(H52&lt;1,"No",H52=1,"Yes",H52&gt;1,_xlfn.TEXTJOIN("",TRUE,"Yes x",H52))</f>
        <v>No</v>
      </c>
      <c r="J52" s="13">
        <f t="shared" si="1"/>
        <v>0</v>
      </c>
      <c r="K52" s="13">
        <f t="shared" si="2"/>
        <v>0</v>
      </c>
      <c r="L52" s="13" t="str" cm="1">
        <f t="array" ref="L52">_xlfn.IFS(J52&lt;1,"",J52=1,"Pass",J52&gt;1,_xlfn.TEXTJOIN("",TRUE,"Pass x",J52))</f>
        <v/>
      </c>
      <c r="M52" s="13" t="str" cm="1">
        <f t="array" ref="M52">_xlfn.IFS(K52&lt;1,"",K52=1,"Fail",K52&gt;1,_xlfn.TEXTJOIN("",TRUE,"Fail x",K52))</f>
        <v/>
      </c>
      <c r="N52" t="str">
        <f t="shared" si="3"/>
        <v/>
      </c>
    </row>
    <row r="53" spans="8:14">
      <c r="H53" s="13">
        <f t="shared" si="0"/>
        <v>0</v>
      </c>
      <c r="I53" t="str" cm="1">
        <f t="array" ref="I53">_xlfn.IFS(H53&lt;1,"No",H53=1,"Yes",H53&gt;1,_xlfn.TEXTJOIN("",TRUE,"Yes x",H53))</f>
        <v>No</v>
      </c>
      <c r="J53" s="13">
        <f t="shared" si="1"/>
        <v>0</v>
      </c>
      <c r="K53" s="13">
        <f t="shared" si="2"/>
        <v>0</v>
      </c>
      <c r="L53" s="13" t="str" cm="1">
        <f t="array" ref="L53">_xlfn.IFS(J53&lt;1,"",J53=1,"Pass",J53&gt;1,_xlfn.TEXTJOIN("",TRUE,"Pass x",J53))</f>
        <v/>
      </c>
      <c r="M53" s="13" t="str" cm="1">
        <f t="array" ref="M53">_xlfn.IFS(K53&lt;1,"",K53=1,"Fail",K53&gt;1,_xlfn.TEXTJOIN("",TRUE,"Fail x",K53))</f>
        <v/>
      </c>
      <c r="N53" t="str">
        <f t="shared" si="3"/>
        <v/>
      </c>
    </row>
    <row r="54" spans="8:14">
      <c r="H54" s="13">
        <f t="shared" si="0"/>
        <v>0</v>
      </c>
      <c r="I54" t="str" cm="1">
        <f t="array" ref="I54">_xlfn.IFS(H54&lt;1,"No",H54=1,"Yes",H54&gt;1,_xlfn.TEXTJOIN("",TRUE,"Yes x",H54))</f>
        <v>No</v>
      </c>
      <c r="J54" s="13">
        <f t="shared" si="1"/>
        <v>0</v>
      </c>
      <c r="K54" s="13">
        <f t="shared" si="2"/>
        <v>0</v>
      </c>
      <c r="L54" s="13" t="str" cm="1">
        <f t="array" ref="L54">_xlfn.IFS(J54&lt;1,"",J54=1,"Pass",J54&gt;1,_xlfn.TEXTJOIN("",TRUE,"Pass x",J54))</f>
        <v/>
      </c>
      <c r="M54" s="13" t="str" cm="1">
        <f t="array" ref="M54">_xlfn.IFS(K54&lt;1,"",K54=1,"Fail",K54&gt;1,_xlfn.TEXTJOIN("",TRUE,"Fail x",K54))</f>
        <v/>
      </c>
      <c r="N54" t="str">
        <f t="shared" si="3"/>
        <v/>
      </c>
    </row>
    <row r="55" spans="8:14">
      <c r="H55" s="13">
        <f t="shared" si="0"/>
        <v>0</v>
      </c>
      <c r="I55" t="str" cm="1">
        <f t="array" ref="I55">_xlfn.IFS(H55&lt;1,"No",H55=1,"Yes",H55&gt;1,_xlfn.TEXTJOIN("",TRUE,"Yes x",H55))</f>
        <v>No</v>
      </c>
      <c r="J55" s="13">
        <f t="shared" si="1"/>
        <v>0</v>
      </c>
      <c r="K55" s="13">
        <f t="shared" si="2"/>
        <v>0</v>
      </c>
      <c r="L55" s="13" t="str" cm="1">
        <f t="array" ref="L55">_xlfn.IFS(J55&lt;1,"",J55=1,"Pass",J55&gt;1,_xlfn.TEXTJOIN("",TRUE,"Pass x",J55))</f>
        <v/>
      </c>
      <c r="M55" s="13" t="str" cm="1">
        <f t="array" ref="M55">_xlfn.IFS(K55&lt;1,"",K55=1,"Fail",K55&gt;1,_xlfn.TEXTJOIN("",TRUE,"Fail x",K55))</f>
        <v/>
      </c>
      <c r="N55" t="str">
        <f t="shared" si="3"/>
        <v/>
      </c>
    </row>
    <row r="56" spans="8:14">
      <c r="H56" s="13">
        <f t="shared" si="0"/>
        <v>0</v>
      </c>
      <c r="I56" t="str" cm="1">
        <f t="array" ref="I56">_xlfn.IFS(H56&lt;1,"No",H56=1,"Yes",H56&gt;1,_xlfn.TEXTJOIN("",TRUE,"Yes x",H56))</f>
        <v>No</v>
      </c>
      <c r="J56" s="13">
        <f t="shared" si="1"/>
        <v>0</v>
      </c>
      <c r="K56" s="13">
        <f t="shared" si="2"/>
        <v>0</v>
      </c>
      <c r="L56" s="13" t="str" cm="1">
        <f t="array" ref="L56">_xlfn.IFS(J56&lt;1,"",J56=1,"Pass",J56&gt;1,_xlfn.TEXTJOIN("",TRUE,"Pass x",J56))</f>
        <v/>
      </c>
      <c r="M56" s="13" t="str" cm="1">
        <f t="array" ref="M56">_xlfn.IFS(K56&lt;1,"",K56=1,"Fail",K56&gt;1,_xlfn.TEXTJOIN("",TRUE,"Fail x",K56))</f>
        <v/>
      </c>
      <c r="N56" t="str">
        <f t="shared" si="3"/>
        <v/>
      </c>
    </row>
    <row r="57" spans="8:14">
      <c r="H57" s="13">
        <f t="shared" si="0"/>
        <v>0</v>
      </c>
      <c r="I57" t="str" cm="1">
        <f t="array" ref="I57">_xlfn.IFS(H57&lt;1,"No",H57=1,"Yes",H57&gt;1,_xlfn.TEXTJOIN("",TRUE,"Yes x",H57))</f>
        <v>No</v>
      </c>
      <c r="J57" s="13">
        <f t="shared" si="1"/>
        <v>0</v>
      </c>
      <c r="K57" s="13">
        <f t="shared" si="2"/>
        <v>0</v>
      </c>
      <c r="L57" s="13" t="str" cm="1">
        <f t="array" ref="L57">_xlfn.IFS(J57&lt;1,"",J57=1,"Pass",J57&gt;1,_xlfn.TEXTJOIN("",TRUE,"Pass x",J57))</f>
        <v/>
      </c>
      <c r="M57" s="13" t="str" cm="1">
        <f t="array" ref="M57">_xlfn.IFS(K57&lt;1,"",K57=1,"Fail",K57&gt;1,_xlfn.TEXTJOIN("",TRUE,"Fail x",K57))</f>
        <v/>
      </c>
      <c r="N57" t="str">
        <f t="shared" si="3"/>
        <v/>
      </c>
    </row>
    <row r="58" spans="8:14">
      <c r="H58" s="13">
        <f t="shared" si="0"/>
        <v>0</v>
      </c>
      <c r="I58" t="str" cm="1">
        <f t="array" ref="I58">_xlfn.IFS(H58&lt;1,"No",H58=1,"Yes",H58&gt;1,_xlfn.TEXTJOIN("",TRUE,"Yes x",H58))</f>
        <v>No</v>
      </c>
      <c r="J58" s="13">
        <f t="shared" si="1"/>
        <v>0</v>
      </c>
      <c r="K58" s="13">
        <f t="shared" si="2"/>
        <v>0</v>
      </c>
      <c r="L58" s="13" t="str" cm="1">
        <f t="array" ref="L58">_xlfn.IFS(J58&lt;1,"",J58=1,"Pass",J58&gt;1,_xlfn.TEXTJOIN("",TRUE,"Pass x",J58))</f>
        <v/>
      </c>
      <c r="M58" s="13" t="str" cm="1">
        <f t="array" ref="M58">_xlfn.IFS(K58&lt;1,"",K58=1,"Fail",K58&gt;1,_xlfn.TEXTJOIN("",TRUE,"Fail x",K58))</f>
        <v/>
      </c>
      <c r="N58" t="str">
        <f t="shared" si="3"/>
        <v/>
      </c>
    </row>
    <row r="59" spans="8:14">
      <c r="H59" s="13">
        <f t="shared" si="0"/>
        <v>0</v>
      </c>
      <c r="I59" t="str" cm="1">
        <f t="array" ref="I59">_xlfn.IFS(H59&lt;1,"No",H59=1,"Yes",H59&gt;1,_xlfn.TEXTJOIN("",TRUE,"Yes x",H59))</f>
        <v>No</v>
      </c>
      <c r="J59" s="13">
        <f t="shared" si="1"/>
        <v>0</v>
      </c>
      <c r="K59" s="13">
        <f t="shared" si="2"/>
        <v>0</v>
      </c>
      <c r="L59" s="13" t="str" cm="1">
        <f t="array" ref="L59">_xlfn.IFS(J59&lt;1,"",J59=1,"Pass",J59&gt;1,_xlfn.TEXTJOIN("",TRUE,"Pass x",J59))</f>
        <v/>
      </c>
      <c r="M59" s="13" t="str" cm="1">
        <f t="array" ref="M59">_xlfn.IFS(K59&lt;1,"",K59=1,"Fail",K59&gt;1,_xlfn.TEXTJOIN("",TRUE,"Fail x",K59))</f>
        <v/>
      </c>
      <c r="N59" t="str">
        <f t="shared" si="3"/>
        <v/>
      </c>
    </row>
    <row r="60" spans="8:14">
      <c r="H60" s="13">
        <f t="shared" si="0"/>
        <v>0</v>
      </c>
      <c r="I60" t="str" cm="1">
        <f t="array" ref="I60">_xlfn.IFS(H60&lt;1,"No",H60=1,"Yes",H60&gt;1,_xlfn.TEXTJOIN("",TRUE,"Yes x",H60))</f>
        <v>No</v>
      </c>
      <c r="J60" s="13">
        <f t="shared" si="1"/>
        <v>0</v>
      </c>
      <c r="K60" s="13">
        <f t="shared" si="2"/>
        <v>0</v>
      </c>
      <c r="L60" s="13" t="str" cm="1">
        <f t="array" ref="L60">_xlfn.IFS(J60&lt;1,"",J60=1,"Pass",J60&gt;1,_xlfn.TEXTJOIN("",TRUE,"Pass x",J60))</f>
        <v/>
      </c>
      <c r="M60" s="13" t="str" cm="1">
        <f t="array" ref="M60">_xlfn.IFS(K60&lt;1,"",K60=1,"Fail",K60&gt;1,_xlfn.TEXTJOIN("",TRUE,"Fail x",K60))</f>
        <v/>
      </c>
      <c r="N60" t="str">
        <f t="shared" si="3"/>
        <v/>
      </c>
    </row>
    <row r="61" spans="8:14">
      <c r="H61" s="13">
        <f t="shared" si="0"/>
        <v>0</v>
      </c>
      <c r="I61" t="str" cm="1">
        <f t="array" ref="I61">_xlfn.IFS(H61&lt;1,"No",H61=1,"Yes",H61&gt;1,_xlfn.TEXTJOIN("",TRUE,"Yes x",H61))</f>
        <v>No</v>
      </c>
      <c r="J61" s="13">
        <f t="shared" si="1"/>
        <v>0</v>
      </c>
      <c r="K61" s="13">
        <f t="shared" si="2"/>
        <v>0</v>
      </c>
      <c r="L61" s="13" t="str" cm="1">
        <f t="array" ref="L61">_xlfn.IFS(J61&lt;1,"",J61=1,"Pass",J61&gt;1,_xlfn.TEXTJOIN("",TRUE,"Pass x",J61))</f>
        <v/>
      </c>
      <c r="M61" s="13" t="str" cm="1">
        <f t="array" ref="M61">_xlfn.IFS(K61&lt;1,"",K61=1,"Fail",K61&gt;1,_xlfn.TEXTJOIN("",TRUE,"Fail x",K61))</f>
        <v/>
      </c>
      <c r="N61" t="str">
        <f t="shared" si="3"/>
        <v/>
      </c>
    </row>
    <row r="62" spans="8:14">
      <c r="H62" s="13">
        <f t="shared" si="0"/>
        <v>0</v>
      </c>
      <c r="I62" t="str" cm="1">
        <f t="array" ref="I62">_xlfn.IFS(H62&lt;1,"No",H62=1,"Yes",H62&gt;1,_xlfn.TEXTJOIN("",TRUE,"Yes x",H62))</f>
        <v>No</v>
      </c>
      <c r="J62" s="13">
        <f t="shared" si="1"/>
        <v>0</v>
      </c>
      <c r="K62" s="13">
        <f t="shared" si="2"/>
        <v>0</v>
      </c>
      <c r="L62" s="13" t="str" cm="1">
        <f t="array" ref="L62">_xlfn.IFS(J62&lt;1,"",J62=1,"Pass",J62&gt;1,_xlfn.TEXTJOIN("",TRUE,"Pass x",J62))</f>
        <v/>
      </c>
      <c r="M62" s="13" t="str" cm="1">
        <f t="array" ref="M62">_xlfn.IFS(K62&lt;1,"",K62=1,"Fail",K62&gt;1,_xlfn.TEXTJOIN("",TRUE,"Fail x",K62))</f>
        <v/>
      </c>
      <c r="N62" t="str">
        <f t="shared" si="3"/>
        <v/>
      </c>
    </row>
    <row r="63" spans="8:14">
      <c r="H63" s="13">
        <f t="shared" si="0"/>
        <v>0</v>
      </c>
      <c r="I63" t="str" cm="1">
        <f t="array" ref="I63">_xlfn.IFS(H63&lt;1,"No",H63=1,"Yes",H63&gt;1,_xlfn.TEXTJOIN("",TRUE,"Yes x",H63))</f>
        <v>No</v>
      </c>
      <c r="J63" s="13">
        <f t="shared" si="1"/>
        <v>0</v>
      </c>
      <c r="K63" s="13">
        <f t="shared" si="2"/>
        <v>0</v>
      </c>
      <c r="L63" s="13" t="str" cm="1">
        <f t="array" ref="L63">_xlfn.IFS(J63&lt;1,"",J63=1,"Pass",J63&gt;1,_xlfn.TEXTJOIN("",TRUE,"Pass x",J63))</f>
        <v/>
      </c>
      <c r="M63" s="13" t="str" cm="1">
        <f t="array" ref="M63">_xlfn.IFS(K63&lt;1,"",K63=1,"Fail",K63&gt;1,_xlfn.TEXTJOIN("",TRUE,"Fail x",K63))</f>
        <v/>
      </c>
      <c r="N63" t="str">
        <f t="shared" si="3"/>
        <v/>
      </c>
    </row>
    <row r="64" spans="8:14">
      <c r="H64" s="13">
        <f t="shared" si="0"/>
        <v>0</v>
      </c>
      <c r="I64" t="str" cm="1">
        <f t="array" ref="I64">_xlfn.IFS(H64&lt;1,"No",H64=1,"Yes",H64&gt;1,_xlfn.TEXTJOIN("",TRUE,"Yes x",H64))</f>
        <v>No</v>
      </c>
      <c r="J64" s="13">
        <f t="shared" si="1"/>
        <v>0</v>
      </c>
      <c r="K64" s="13">
        <f t="shared" si="2"/>
        <v>0</v>
      </c>
      <c r="L64" s="13" t="str" cm="1">
        <f t="array" ref="L64">_xlfn.IFS(J64&lt;1,"",J64=1,"Pass",J64&gt;1,_xlfn.TEXTJOIN("",TRUE,"Pass x",J64))</f>
        <v/>
      </c>
      <c r="M64" s="13" t="str" cm="1">
        <f t="array" ref="M64">_xlfn.IFS(K64&lt;1,"",K64=1,"Fail",K64&gt;1,_xlfn.TEXTJOIN("",TRUE,"Fail x",K64))</f>
        <v/>
      </c>
      <c r="N64" t="str">
        <f t="shared" si="3"/>
        <v/>
      </c>
    </row>
    <row r="65" spans="8:14">
      <c r="H65" s="13">
        <f t="shared" si="0"/>
        <v>0</v>
      </c>
      <c r="I65" t="str" cm="1">
        <f t="array" ref="I65">_xlfn.IFS(H65&lt;1,"No",H65=1,"Yes",H65&gt;1,_xlfn.TEXTJOIN("",TRUE,"Yes x",H65))</f>
        <v>No</v>
      </c>
      <c r="J65" s="13">
        <f t="shared" si="1"/>
        <v>0</v>
      </c>
      <c r="K65" s="13">
        <f t="shared" si="2"/>
        <v>0</v>
      </c>
      <c r="L65" s="13" t="str" cm="1">
        <f t="array" ref="L65">_xlfn.IFS(J65&lt;1,"",J65=1,"Pass",J65&gt;1,_xlfn.TEXTJOIN("",TRUE,"Pass x",J65))</f>
        <v/>
      </c>
      <c r="M65" s="13" t="str" cm="1">
        <f t="array" ref="M65">_xlfn.IFS(K65&lt;1,"",K65=1,"Fail",K65&gt;1,_xlfn.TEXTJOIN("",TRUE,"Fail x",K65))</f>
        <v/>
      </c>
      <c r="N65" t="str">
        <f t="shared" si="3"/>
        <v/>
      </c>
    </row>
    <row r="66" spans="8:14">
      <c r="H66" s="13">
        <f t="shared" si="0"/>
        <v>0</v>
      </c>
      <c r="I66" t="str" cm="1">
        <f t="array" ref="I66">_xlfn.IFS(H66&lt;1,"No",H66=1,"Yes",H66&gt;1,_xlfn.TEXTJOIN("",TRUE,"Yes x",H66))</f>
        <v>No</v>
      </c>
      <c r="J66" s="13">
        <f t="shared" si="1"/>
        <v>0</v>
      </c>
      <c r="K66" s="13">
        <f t="shared" si="2"/>
        <v>0</v>
      </c>
      <c r="L66" s="13" t="str" cm="1">
        <f t="array" ref="L66">_xlfn.IFS(J66&lt;1,"",J66=1,"Pass",J66&gt;1,_xlfn.TEXTJOIN("",TRUE,"Pass x",J66))</f>
        <v/>
      </c>
      <c r="M66" s="13" t="str" cm="1">
        <f t="array" ref="M66">_xlfn.IFS(K66&lt;1,"",K66=1,"Fail",K66&gt;1,_xlfn.TEXTJOIN("",TRUE,"Fail x",K66))</f>
        <v/>
      </c>
      <c r="N66" t="str">
        <f t="shared" si="3"/>
        <v/>
      </c>
    </row>
    <row r="67" spans="8:14">
      <c r="H67" s="13">
        <f t="shared" ref="H67:H130" si="4">IFERROR(GETPIVOTDATA("Successful / Failed",$A$1,"System serial",G67),0)</f>
        <v>0</v>
      </c>
      <c r="I67" t="str" cm="1">
        <f t="array" ref="I67">_xlfn.IFS(H67&lt;1,"No",H67=1,"Yes",H67&gt;1,_xlfn.TEXTJOIN("",TRUE,"Yes x",H67))</f>
        <v>No</v>
      </c>
      <c r="J67" s="13">
        <f t="shared" ref="J67:J130" si="5">IFERROR(GETPIVOTDATA("Successful / Failed",$A$1,"System serial",G67,"Successful / Failed","Successful"),0)</f>
        <v>0</v>
      </c>
      <c r="K67" s="13">
        <f t="shared" ref="K67:K130" si="6">IFERROR(GETPIVOTDATA("Successful / Failed",$A$1,"System serial",G67,"Successful / Failed","Failed"),0)</f>
        <v>0</v>
      </c>
      <c r="L67" s="13" t="str" cm="1">
        <f t="array" ref="L67">_xlfn.IFS(J67&lt;1,"",J67=1,"Pass",J67&gt;1,_xlfn.TEXTJOIN("",TRUE,"Pass x",J67))</f>
        <v/>
      </c>
      <c r="M67" s="13" t="str" cm="1">
        <f t="array" ref="M67">_xlfn.IFS(K67&lt;1,"",K67=1,"Fail",K67&gt;1,_xlfn.TEXTJOIN("",TRUE,"Fail x",K67))</f>
        <v/>
      </c>
      <c r="N67" t="str">
        <f t="shared" ref="N67:N113" si="7">_xlfn.TEXTJOIN(", ",TRUE, L67, M67)</f>
        <v/>
      </c>
    </row>
    <row r="68" spans="8:14">
      <c r="H68" s="13">
        <f t="shared" si="4"/>
        <v>0</v>
      </c>
      <c r="I68" t="str" cm="1">
        <f t="array" ref="I68">_xlfn.IFS(H68&lt;1,"No",H68=1,"Yes",H68&gt;1,_xlfn.TEXTJOIN("",TRUE,"Yes x",H68))</f>
        <v>No</v>
      </c>
      <c r="J68" s="13">
        <f t="shared" si="5"/>
        <v>0</v>
      </c>
      <c r="K68" s="13">
        <f t="shared" si="6"/>
        <v>0</v>
      </c>
      <c r="L68" s="13" t="str" cm="1">
        <f t="array" ref="L68">_xlfn.IFS(J68&lt;1,"",J68=1,"Pass",J68&gt;1,_xlfn.TEXTJOIN("",TRUE,"Pass x",J68))</f>
        <v/>
      </c>
      <c r="M68" s="13" t="str" cm="1">
        <f t="array" ref="M68">_xlfn.IFS(K68&lt;1,"",K68=1,"Fail",K68&gt;1,_xlfn.TEXTJOIN("",TRUE,"Fail x",K68))</f>
        <v/>
      </c>
      <c r="N68" t="str">
        <f t="shared" si="7"/>
        <v/>
      </c>
    </row>
    <row r="69" spans="8:14">
      <c r="H69" s="13">
        <f t="shared" si="4"/>
        <v>0</v>
      </c>
      <c r="I69" t="str" cm="1">
        <f t="array" ref="I69">_xlfn.IFS(H69&lt;1,"No",H69=1,"Yes",H69&gt;1,_xlfn.TEXTJOIN("",TRUE,"Yes x",H69))</f>
        <v>No</v>
      </c>
      <c r="J69" s="13">
        <f t="shared" si="5"/>
        <v>0</v>
      </c>
      <c r="K69" s="13">
        <f t="shared" si="6"/>
        <v>0</v>
      </c>
      <c r="L69" s="13" t="str" cm="1">
        <f t="array" ref="L69">_xlfn.IFS(J69&lt;1,"",J69=1,"Pass",J69&gt;1,_xlfn.TEXTJOIN("",TRUE,"Pass x",J69))</f>
        <v/>
      </c>
      <c r="M69" s="13" t="str" cm="1">
        <f t="array" ref="M69">_xlfn.IFS(K69&lt;1,"",K69=1,"Fail",K69&gt;1,_xlfn.TEXTJOIN("",TRUE,"Fail x",K69))</f>
        <v/>
      </c>
      <c r="N69" t="str">
        <f t="shared" si="7"/>
        <v/>
      </c>
    </row>
    <row r="70" spans="8:14">
      <c r="H70" s="13">
        <f t="shared" si="4"/>
        <v>0</v>
      </c>
      <c r="I70" t="str" cm="1">
        <f t="array" ref="I70">_xlfn.IFS(H70&lt;1,"No",H70=1,"Yes",H70&gt;1,_xlfn.TEXTJOIN("",TRUE,"Yes x",H70))</f>
        <v>No</v>
      </c>
      <c r="J70" s="13">
        <f t="shared" si="5"/>
        <v>0</v>
      </c>
      <c r="K70" s="13">
        <f t="shared" si="6"/>
        <v>0</v>
      </c>
      <c r="L70" s="13" t="str" cm="1">
        <f t="array" ref="L70">_xlfn.IFS(J70&lt;1,"",J70=1,"Pass",J70&gt;1,_xlfn.TEXTJOIN("",TRUE,"Pass x",J70))</f>
        <v/>
      </c>
      <c r="M70" s="13" t="str" cm="1">
        <f t="array" ref="M70">_xlfn.IFS(K70&lt;1,"",K70=1,"Fail",K70&gt;1,_xlfn.TEXTJOIN("",TRUE,"Fail x",K70))</f>
        <v/>
      </c>
      <c r="N70" t="str">
        <f t="shared" si="7"/>
        <v/>
      </c>
    </row>
    <row r="71" spans="8:14">
      <c r="H71" s="13">
        <f t="shared" si="4"/>
        <v>0</v>
      </c>
      <c r="I71" t="str" cm="1">
        <f t="array" ref="I71">_xlfn.IFS(H71&lt;1,"No",H71=1,"Yes",H71&gt;1,_xlfn.TEXTJOIN("",TRUE,"Yes x",H71))</f>
        <v>No</v>
      </c>
      <c r="J71" s="13">
        <f t="shared" si="5"/>
        <v>0</v>
      </c>
      <c r="K71" s="13">
        <f t="shared" si="6"/>
        <v>0</v>
      </c>
      <c r="L71" s="13" t="str" cm="1">
        <f t="array" ref="L71">_xlfn.IFS(J71&lt;1,"",J71=1,"Pass",J71&gt;1,_xlfn.TEXTJOIN("",TRUE,"Pass x",J71))</f>
        <v/>
      </c>
      <c r="M71" s="13" t="str" cm="1">
        <f t="array" ref="M71">_xlfn.IFS(K71&lt;1,"",K71=1,"Fail",K71&gt;1,_xlfn.TEXTJOIN("",TRUE,"Fail x",K71))</f>
        <v/>
      </c>
      <c r="N71" t="str">
        <f t="shared" si="7"/>
        <v/>
      </c>
    </row>
    <row r="72" spans="8:14">
      <c r="H72" s="13">
        <f t="shared" si="4"/>
        <v>0</v>
      </c>
      <c r="I72" t="str" cm="1">
        <f t="array" ref="I72">_xlfn.IFS(H72&lt;1,"No",H72=1,"Yes",H72&gt;1,_xlfn.TEXTJOIN("",TRUE,"Yes x",H72))</f>
        <v>No</v>
      </c>
      <c r="J72" s="13">
        <f t="shared" si="5"/>
        <v>0</v>
      </c>
      <c r="K72" s="13">
        <f t="shared" si="6"/>
        <v>0</v>
      </c>
      <c r="L72" s="13" t="str" cm="1">
        <f t="array" ref="L72">_xlfn.IFS(J72&lt;1,"",J72=1,"Pass",J72&gt;1,_xlfn.TEXTJOIN("",TRUE,"Pass x",J72))</f>
        <v/>
      </c>
      <c r="M72" s="13" t="str" cm="1">
        <f t="array" ref="M72">_xlfn.IFS(K72&lt;1,"",K72=1,"Fail",K72&gt;1,_xlfn.TEXTJOIN("",TRUE,"Fail x",K72))</f>
        <v/>
      </c>
      <c r="N72" t="str">
        <f t="shared" si="7"/>
        <v/>
      </c>
    </row>
    <row r="73" spans="8:14">
      <c r="H73" s="13">
        <f t="shared" si="4"/>
        <v>0</v>
      </c>
      <c r="I73" t="str" cm="1">
        <f t="array" ref="I73">_xlfn.IFS(H73&lt;1,"No",H73=1,"Yes",H73&gt;1,_xlfn.TEXTJOIN("",TRUE,"Yes x",H73))</f>
        <v>No</v>
      </c>
      <c r="J73" s="13">
        <f t="shared" si="5"/>
        <v>0</v>
      </c>
      <c r="K73" s="13">
        <f t="shared" si="6"/>
        <v>0</v>
      </c>
      <c r="L73" s="13" t="str" cm="1">
        <f t="array" ref="L73">_xlfn.IFS(J73&lt;1,"",J73=1,"Pass",J73&gt;1,_xlfn.TEXTJOIN("",TRUE,"Pass x",J73))</f>
        <v/>
      </c>
      <c r="M73" s="13" t="str" cm="1">
        <f t="array" ref="M73">_xlfn.IFS(K73&lt;1,"",K73=1,"Fail",K73&gt;1,_xlfn.TEXTJOIN("",TRUE,"Fail x",K73))</f>
        <v/>
      </c>
      <c r="N73" t="str">
        <f t="shared" si="7"/>
        <v/>
      </c>
    </row>
    <row r="74" spans="8:14">
      <c r="H74" s="13">
        <f t="shared" si="4"/>
        <v>0</v>
      </c>
      <c r="I74" t="str" cm="1">
        <f t="array" ref="I74">_xlfn.IFS(H74&lt;1,"No",H74=1,"Yes",H74&gt;1,_xlfn.TEXTJOIN("",TRUE,"Yes x",H74))</f>
        <v>No</v>
      </c>
      <c r="J74" s="13">
        <f t="shared" si="5"/>
        <v>0</v>
      </c>
      <c r="K74" s="13">
        <f t="shared" si="6"/>
        <v>0</v>
      </c>
      <c r="L74" s="13" t="str" cm="1">
        <f t="array" ref="L74">_xlfn.IFS(J74&lt;1,"",J74=1,"Pass",J74&gt;1,_xlfn.TEXTJOIN("",TRUE,"Pass x",J74))</f>
        <v/>
      </c>
      <c r="M74" s="13" t="str" cm="1">
        <f t="array" ref="M74">_xlfn.IFS(K74&lt;1,"",K74=1,"Fail",K74&gt;1,_xlfn.TEXTJOIN("",TRUE,"Fail x",K74))</f>
        <v/>
      </c>
      <c r="N74" t="str">
        <f t="shared" si="7"/>
        <v/>
      </c>
    </row>
    <row r="75" spans="8:14">
      <c r="H75" s="13">
        <f t="shared" si="4"/>
        <v>0</v>
      </c>
      <c r="I75" t="str" cm="1">
        <f t="array" ref="I75">_xlfn.IFS(H75&lt;1,"No",H75=1,"Yes",H75&gt;1,_xlfn.TEXTJOIN("",TRUE,"Yes x",H75))</f>
        <v>No</v>
      </c>
      <c r="J75" s="13">
        <f t="shared" si="5"/>
        <v>0</v>
      </c>
      <c r="K75" s="13">
        <f t="shared" si="6"/>
        <v>0</v>
      </c>
      <c r="L75" s="13" t="str" cm="1">
        <f t="array" ref="L75">_xlfn.IFS(J75&lt;1,"",J75=1,"Pass",J75&gt;1,_xlfn.TEXTJOIN("",TRUE,"Pass x",J75))</f>
        <v/>
      </c>
      <c r="M75" s="13" t="str" cm="1">
        <f t="array" ref="M75">_xlfn.IFS(K75&lt;1,"",K75=1,"Fail",K75&gt;1,_xlfn.TEXTJOIN("",TRUE,"Fail x",K75))</f>
        <v/>
      </c>
      <c r="N75" t="str">
        <f t="shared" si="7"/>
        <v/>
      </c>
    </row>
    <row r="76" spans="8:14">
      <c r="H76" s="13">
        <f t="shared" si="4"/>
        <v>0</v>
      </c>
      <c r="I76" t="str" cm="1">
        <f t="array" ref="I76">_xlfn.IFS(H76&lt;1,"No",H76=1,"Yes",H76&gt;1,_xlfn.TEXTJOIN("",TRUE,"Yes x",H76))</f>
        <v>No</v>
      </c>
      <c r="J76" s="13">
        <f t="shared" si="5"/>
        <v>0</v>
      </c>
      <c r="K76" s="13">
        <f t="shared" si="6"/>
        <v>0</v>
      </c>
      <c r="L76" s="13" t="str" cm="1">
        <f t="array" ref="L76">_xlfn.IFS(J76&lt;1,"",J76=1,"Pass",J76&gt;1,_xlfn.TEXTJOIN("",TRUE,"Pass x",J76))</f>
        <v/>
      </c>
      <c r="M76" s="13" t="str" cm="1">
        <f t="array" ref="M76">_xlfn.IFS(K76&lt;1,"",K76=1,"Fail",K76&gt;1,_xlfn.TEXTJOIN("",TRUE,"Fail x",K76))</f>
        <v/>
      </c>
      <c r="N76" t="str">
        <f t="shared" si="7"/>
        <v/>
      </c>
    </row>
    <row r="77" spans="8:14">
      <c r="H77" s="13">
        <f t="shared" si="4"/>
        <v>0</v>
      </c>
      <c r="I77" t="str" cm="1">
        <f t="array" ref="I77">_xlfn.IFS(H77&lt;1,"No",H77=1,"Yes",H77&gt;1,_xlfn.TEXTJOIN("",TRUE,"Yes x",H77))</f>
        <v>No</v>
      </c>
      <c r="J77" s="13">
        <f t="shared" si="5"/>
        <v>0</v>
      </c>
      <c r="K77" s="13">
        <f t="shared" si="6"/>
        <v>0</v>
      </c>
      <c r="L77" s="13" t="str" cm="1">
        <f t="array" ref="L77">_xlfn.IFS(J77&lt;1,"",J77=1,"Pass",J77&gt;1,_xlfn.TEXTJOIN("",TRUE,"Pass x",J77))</f>
        <v/>
      </c>
      <c r="M77" s="13" t="str" cm="1">
        <f t="array" ref="M77">_xlfn.IFS(K77&lt;1,"",K77=1,"Fail",K77&gt;1,_xlfn.TEXTJOIN("",TRUE,"Fail x",K77))</f>
        <v/>
      </c>
      <c r="N77" t="str">
        <f t="shared" si="7"/>
        <v/>
      </c>
    </row>
    <row r="78" spans="8:14">
      <c r="H78" s="13">
        <f t="shared" si="4"/>
        <v>0</v>
      </c>
      <c r="I78" t="str" cm="1">
        <f t="array" ref="I78">_xlfn.IFS(H78&lt;1,"No",H78=1,"Yes",H78&gt;1,_xlfn.TEXTJOIN("",TRUE,"Yes x",H78))</f>
        <v>No</v>
      </c>
      <c r="J78" s="13">
        <f t="shared" si="5"/>
        <v>0</v>
      </c>
      <c r="K78" s="13">
        <f t="shared" si="6"/>
        <v>0</v>
      </c>
      <c r="L78" s="13" t="str" cm="1">
        <f t="array" ref="L78">_xlfn.IFS(J78&lt;1,"",J78=1,"Pass",J78&gt;1,_xlfn.TEXTJOIN("",TRUE,"Pass x",J78))</f>
        <v/>
      </c>
      <c r="M78" s="13" t="str" cm="1">
        <f t="array" ref="M78">_xlfn.IFS(K78&lt;1,"",K78=1,"Fail",K78&gt;1,_xlfn.TEXTJOIN("",TRUE,"Fail x",K78))</f>
        <v/>
      </c>
      <c r="N78" t="str">
        <f t="shared" si="7"/>
        <v/>
      </c>
    </row>
    <row r="79" spans="8:14">
      <c r="H79" s="13">
        <f t="shared" si="4"/>
        <v>0</v>
      </c>
      <c r="I79" t="str" cm="1">
        <f t="array" ref="I79">_xlfn.IFS(H79&lt;1,"No",H79=1,"Yes",H79&gt;1,_xlfn.TEXTJOIN("",TRUE,"Yes x",H79))</f>
        <v>No</v>
      </c>
      <c r="J79" s="13">
        <f t="shared" si="5"/>
        <v>0</v>
      </c>
      <c r="K79" s="13">
        <f t="shared" si="6"/>
        <v>0</v>
      </c>
      <c r="L79" s="13" t="str" cm="1">
        <f t="array" ref="L79">_xlfn.IFS(J79&lt;1,"",J79=1,"Pass",J79&gt;1,_xlfn.TEXTJOIN("",TRUE,"Pass x",J79))</f>
        <v/>
      </c>
      <c r="M79" s="13" t="str" cm="1">
        <f t="array" ref="M79">_xlfn.IFS(K79&lt;1,"",K79=1,"Fail",K79&gt;1,_xlfn.TEXTJOIN("",TRUE,"Fail x",K79))</f>
        <v/>
      </c>
      <c r="N79" t="str">
        <f t="shared" si="7"/>
        <v/>
      </c>
    </row>
    <row r="80" spans="8:14">
      <c r="H80" s="13">
        <f t="shared" si="4"/>
        <v>0</v>
      </c>
      <c r="I80" t="str" cm="1">
        <f t="array" ref="I80">_xlfn.IFS(H80&lt;1,"No",H80=1,"Yes",H80&gt;1,_xlfn.TEXTJOIN("",TRUE,"Yes x",H80))</f>
        <v>No</v>
      </c>
      <c r="J80" s="13">
        <f t="shared" si="5"/>
        <v>0</v>
      </c>
      <c r="K80" s="13">
        <f t="shared" si="6"/>
        <v>0</v>
      </c>
      <c r="L80" s="13" t="str" cm="1">
        <f t="array" ref="L80">_xlfn.IFS(J80&lt;1,"",J80=1,"Pass",J80&gt;1,_xlfn.TEXTJOIN("",TRUE,"Pass x",J80))</f>
        <v/>
      </c>
      <c r="M80" s="13" t="str" cm="1">
        <f t="array" ref="M80">_xlfn.IFS(K80&lt;1,"",K80=1,"Fail",K80&gt;1,_xlfn.TEXTJOIN("",TRUE,"Fail x",K80))</f>
        <v/>
      </c>
      <c r="N80" t="str">
        <f t="shared" si="7"/>
        <v/>
      </c>
    </row>
    <row r="81" spans="8:14">
      <c r="H81" s="13">
        <f t="shared" si="4"/>
        <v>0</v>
      </c>
      <c r="I81" t="str" cm="1">
        <f t="array" ref="I81">_xlfn.IFS(H81&lt;1,"No",H81=1,"Yes",H81&gt;1,_xlfn.TEXTJOIN("",TRUE,"Yes x",H81))</f>
        <v>No</v>
      </c>
      <c r="J81" s="13">
        <f t="shared" si="5"/>
        <v>0</v>
      </c>
      <c r="K81" s="13">
        <f t="shared" si="6"/>
        <v>0</v>
      </c>
      <c r="L81" s="13" t="str" cm="1">
        <f t="array" ref="L81">_xlfn.IFS(J81&lt;1,"",J81=1,"Pass",J81&gt;1,_xlfn.TEXTJOIN("",TRUE,"Pass x",J81))</f>
        <v/>
      </c>
      <c r="M81" s="13" t="str" cm="1">
        <f t="array" ref="M81">_xlfn.IFS(K81&lt;1,"",K81=1,"Fail",K81&gt;1,_xlfn.TEXTJOIN("",TRUE,"Fail x",K81))</f>
        <v/>
      </c>
      <c r="N81" t="str">
        <f t="shared" si="7"/>
        <v/>
      </c>
    </row>
    <row r="82" spans="8:14">
      <c r="H82" s="13">
        <f t="shared" si="4"/>
        <v>0</v>
      </c>
      <c r="I82" t="str" cm="1">
        <f t="array" ref="I82">_xlfn.IFS(H82&lt;1,"No",H82=1,"Yes",H82&gt;1,_xlfn.TEXTJOIN("",TRUE,"Yes x",H82))</f>
        <v>No</v>
      </c>
      <c r="J82" s="13">
        <f t="shared" si="5"/>
        <v>0</v>
      </c>
      <c r="K82" s="13">
        <f t="shared" si="6"/>
        <v>0</v>
      </c>
      <c r="L82" s="13" t="str" cm="1">
        <f t="array" ref="L82">_xlfn.IFS(J82&lt;1,"",J82=1,"Pass",J82&gt;1,_xlfn.TEXTJOIN("",TRUE,"Pass x",J82))</f>
        <v/>
      </c>
      <c r="M82" s="13" t="str" cm="1">
        <f t="array" ref="M82">_xlfn.IFS(K82&lt;1,"",K82=1,"Fail",K82&gt;1,_xlfn.TEXTJOIN("",TRUE,"Fail x",K82))</f>
        <v/>
      </c>
      <c r="N82" t="str">
        <f t="shared" si="7"/>
        <v/>
      </c>
    </row>
    <row r="83" spans="8:14">
      <c r="H83" s="13">
        <f t="shared" si="4"/>
        <v>0</v>
      </c>
      <c r="I83" t="str" cm="1">
        <f t="array" ref="I83">_xlfn.IFS(H83&lt;1,"No",H83=1,"Yes",H83&gt;1,_xlfn.TEXTJOIN("",TRUE,"Yes x",H83))</f>
        <v>No</v>
      </c>
      <c r="J83" s="13">
        <f t="shared" si="5"/>
        <v>0</v>
      </c>
      <c r="K83" s="13">
        <f t="shared" si="6"/>
        <v>0</v>
      </c>
      <c r="L83" s="13" t="str" cm="1">
        <f t="array" ref="L83">_xlfn.IFS(J83&lt;1,"",J83=1,"Pass",J83&gt;1,_xlfn.TEXTJOIN("",TRUE,"Pass x",J83))</f>
        <v/>
      </c>
      <c r="M83" s="13" t="str" cm="1">
        <f t="array" ref="M83">_xlfn.IFS(K83&lt;1,"",K83=1,"Fail",K83&gt;1,_xlfn.TEXTJOIN("",TRUE,"Fail x",K83))</f>
        <v/>
      </c>
      <c r="N83" t="str">
        <f t="shared" si="7"/>
        <v/>
      </c>
    </row>
    <row r="84" spans="8:14">
      <c r="H84" s="13">
        <f t="shared" si="4"/>
        <v>0</v>
      </c>
      <c r="I84" t="str" cm="1">
        <f t="array" ref="I84">_xlfn.IFS(H84&lt;1,"No",H84=1,"Yes",H84&gt;1,_xlfn.TEXTJOIN("",TRUE,"Yes x",H84))</f>
        <v>No</v>
      </c>
      <c r="J84" s="13">
        <f t="shared" si="5"/>
        <v>0</v>
      </c>
      <c r="K84" s="13">
        <f t="shared" si="6"/>
        <v>0</v>
      </c>
      <c r="L84" s="13" t="str" cm="1">
        <f t="array" ref="L84">_xlfn.IFS(J84&lt;1,"",J84=1,"Pass",J84&gt;1,_xlfn.TEXTJOIN("",TRUE,"Pass x",J84))</f>
        <v/>
      </c>
      <c r="M84" s="13" t="str" cm="1">
        <f t="array" ref="M84">_xlfn.IFS(K84&lt;1,"",K84=1,"Fail",K84&gt;1,_xlfn.TEXTJOIN("",TRUE,"Fail x",K84))</f>
        <v/>
      </c>
      <c r="N84" t="str">
        <f t="shared" si="7"/>
        <v/>
      </c>
    </row>
    <row r="85" spans="8:14">
      <c r="H85" s="13">
        <f t="shared" si="4"/>
        <v>0</v>
      </c>
      <c r="I85" t="str" cm="1">
        <f t="array" ref="I85">_xlfn.IFS(H85&lt;1,"No",H85=1,"Yes",H85&gt;1,_xlfn.TEXTJOIN("",TRUE,"Yes x",H85))</f>
        <v>No</v>
      </c>
      <c r="J85" s="13">
        <f t="shared" si="5"/>
        <v>0</v>
      </c>
      <c r="K85" s="13">
        <f t="shared" si="6"/>
        <v>0</v>
      </c>
      <c r="L85" s="13" t="str" cm="1">
        <f t="array" ref="L85">_xlfn.IFS(J85&lt;1,"",J85=1,"Pass",J85&gt;1,_xlfn.TEXTJOIN("",TRUE,"Pass x",J85))</f>
        <v/>
      </c>
      <c r="M85" s="13" t="str" cm="1">
        <f t="array" ref="M85">_xlfn.IFS(K85&lt;1,"",K85=1,"Fail",K85&gt;1,_xlfn.TEXTJOIN("",TRUE,"Fail x",K85))</f>
        <v/>
      </c>
      <c r="N85" t="str">
        <f t="shared" si="7"/>
        <v/>
      </c>
    </row>
    <row r="86" spans="8:14">
      <c r="H86" s="13">
        <f t="shared" si="4"/>
        <v>0</v>
      </c>
      <c r="I86" t="str" cm="1">
        <f t="array" ref="I86">_xlfn.IFS(H86&lt;1,"No",H86=1,"Yes",H86&gt;1,_xlfn.TEXTJOIN("",TRUE,"Yes x",H86))</f>
        <v>No</v>
      </c>
      <c r="J86" s="13">
        <f t="shared" si="5"/>
        <v>0</v>
      </c>
      <c r="K86" s="13">
        <f t="shared" si="6"/>
        <v>0</v>
      </c>
      <c r="L86" s="13" t="str" cm="1">
        <f t="array" ref="L86">_xlfn.IFS(J86&lt;1,"",J86=1,"Pass",J86&gt;1,_xlfn.TEXTJOIN("",TRUE,"Pass x",J86))</f>
        <v/>
      </c>
      <c r="M86" s="13" t="str" cm="1">
        <f t="array" ref="M86">_xlfn.IFS(K86&lt;1,"",K86=1,"Fail",K86&gt;1,_xlfn.TEXTJOIN("",TRUE,"Fail x",K86))</f>
        <v/>
      </c>
      <c r="N86" t="str">
        <f t="shared" si="7"/>
        <v/>
      </c>
    </row>
    <row r="87" spans="8:14">
      <c r="H87" s="13">
        <f t="shared" si="4"/>
        <v>0</v>
      </c>
      <c r="I87" t="str" cm="1">
        <f t="array" ref="I87">_xlfn.IFS(H87&lt;1,"No",H87=1,"Yes",H87&gt;1,_xlfn.TEXTJOIN("",TRUE,"Yes x",H87))</f>
        <v>No</v>
      </c>
      <c r="J87" s="13">
        <f t="shared" si="5"/>
        <v>0</v>
      </c>
      <c r="K87" s="13">
        <f t="shared" si="6"/>
        <v>0</v>
      </c>
      <c r="L87" s="13" t="str" cm="1">
        <f t="array" ref="L87">_xlfn.IFS(J87&lt;1,"",J87=1,"Pass",J87&gt;1,_xlfn.TEXTJOIN("",TRUE,"Pass x",J87))</f>
        <v/>
      </c>
      <c r="M87" s="13" t="str" cm="1">
        <f t="array" ref="M87">_xlfn.IFS(K87&lt;1,"",K87=1,"Fail",K87&gt;1,_xlfn.TEXTJOIN("",TRUE,"Fail x",K87))</f>
        <v/>
      </c>
      <c r="N87" t="str">
        <f t="shared" si="7"/>
        <v/>
      </c>
    </row>
    <row r="88" spans="8:14">
      <c r="H88" s="13">
        <f t="shared" si="4"/>
        <v>0</v>
      </c>
      <c r="I88" t="str" cm="1">
        <f t="array" ref="I88">_xlfn.IFS(H88&lt;1,"No",H88=1,"Yes",H88&gt;1,_xlfn.TEXTJOIN("",TRUE,"Yes x",H88))</f>
        <v>No</v>
      </c>
      <c r="J88" s="13">
        <f t="shared" si="5"/>
        <v>0</v>
      </c>
      <c r="K88" s="13">
        <f t="shared" si="6"/>
        <v>0</v>
      </c>
      <c r="L88" s="13" t="str" cm="1">
        <f t="array" ref="L88">_xlfn.IFS(J88&lt;1,"",J88=1,"Pass",J88&gt;1,_xlfn.TEXTJOIN("",TRUE,"Pass x",J88))</f>
        <v/>
      </c>
      <c r="M88" s="13" t="str" cm="1">
        <f t="array" ref="M88">_xlfn.IFS(K88&lt;1,"",K88=1,"Fail",K88&gt;1,_xlfn.TEXTJOIN("",TRUE,"Fail x",K88))</f>
        <v/>
      </c>
      <c r="N88" t="str">
        <f t="shared" si="7"/>
        <v/>
      </c>
    </row>
    <row r="89" spans="8:14">
      <c r="H89" s="13">
        <f t="shared" si="4"/>
        <v>0</v>
      </c>
      <c r="I89" t="str" cm="1">
        <f t="array" ref="I89">_xlfn.IFS(H89&lt;1,"No",H89=1,"Yes",H89&gt;1,_xlfn.TEXTJOIN("",TRUE,"Yes x",H89))</f>
        <v>No</v>
      </c>
      <c r="J89" s="13">
        <f t="shared" si="5"/>
        <v>0</v>
      </c>
      <c r="K89" s="13">
        <f t="shared" si="6"/>
        <v>0</v>
      </c>
      <c r="L89" s="13" t="str" cm="1">
        <f t="array" ref="L89">_xlfn.IFS(J89&lt;1,"",J89=1,"Pass",J89&gt;1,_xlfn.TEXTJOIN("",TRUE,"Pass x",J89))</f>
        <v/>
      </c>
      <c r="M89" s="13" t="str" cm="1">
        <f t="array" ref="M89">_xlfn.IFS(K89&lt;1,"",K89=1,"Fail",K89&gt;1,_xlfn.TEXTJOIN("",TRUE,"Fail x",K89))</f>
        <v/>
      </c>
      <c r="N89" t="str">
        <f t="shared" si="7"/>
        <v/>
      </c>
    </row>
    <row r="90" spans="8:14">
      <c r="H90" s="13">
        <f t="shared" si="4"/>
        <v>0</v>
      </c>
      <c r="I90" t="str" cm="1">
        <f t="array" ref="I90">_xlfn.IFS(H90&lt;1,"No",H90=1,"Yes",H90&gt;1,_xlfn.TEXTJOIN("",TRUE,"Yes x",H90))</f>
        <v>No</v>
      </c>
      <c r="J90" s="13">
        <f t="shared" si="5"/>
        <v>0</v>
      </c>
      <c r="K90" s="13">
        <f t="shared" si="6"/>
        <v>0</v>
      </c>
      <c r="L90" s="13" t="str" cm="1">
        <f t="array" ref="L90">_xlfn.IFS(J90&lt;1,"",J90=1,"Pass",J90&gt;1,_xlfn.TEXTJOIN("",TRUE,"Pass x",J90))</f>
        <v/>
      </c>
      <c r="M90" s="13" t="str" cm="1">
        <f t="array" ref="M90">_xlfn.IFS(K90&lt;1,"",K90=1,"Fail",K90&gt;1,_xlfn.TEXTJOIN("",TRUE,"Fail x",K90))</f>
        <v/>
      </c>
      <c r="N90" t="str">
        <f t="shared" si="7"/>
        <v/>
      </c>
    </row>
    <row r="91" spans="8:14">
      <c r="H91" s="13">
        <f t="shared" si="4"/>
        <v>0</v>
      </c>
      <c r="I91" t="str" cm="1">
        <f t="array" ref="I91">_xlfn.IFS(H91&lt;1,"No",H91=1,"Yes",H91&gt;1,_xlfn.TEXTJOIN("",TRUE,"Yes x",H91))</f>
        <v>No</v>
      </c>
      <c r="J91" s="13">
        <f t="shared" si="5"/>
        <v>0</v>
      </c>
      <c r="K91" s="13">
        <f t="shared" si="6"/>
        <v>0</v>
      </c>
      <c r="L91" s="13" t="str" cm="1">
        <f t="array" ref="L91">_xlfn.IFS(J91&lt;1,"",J91=1,"Pass",J91&gt;1,_xlfn.TEXTJOIN("",TRUE,"Pass x",J91))</f>
        <v/>
      </c>
      <c r="M91" s="13" t="str" cm="1">
        <f t="array" ref="M91">_xlfn.IFS(K91&lt;1,"",K91=1,"Fail",K91&gt;1,_xlfn.TEXTJOIN("",TRUE,"Fail x",K91))</f>
        <v/>
      </c>
      <c r="N91" t="str">
        <f t="shared" si="7"/>
        <v/>
      </c>
    </row>
    <row r="92" spans="8:14">
      <c r="H92" s="13">
        <f t="shared" si="4"/>
        <v>0</v>
      </c>
      <c r="I92" t="str" cm="1">
        <f t="array" ref="I92">_xlfn.IFS(H92&lt;1,"No",H92=1,"Yes",H92&gt;1,_xlfn.TEXTJOIN("",TRUE,"Yes x",H92))</f>
        <v>No</v>
      </c>
      <c r="J92" s="13">
        <f t="shared" si="5"/>
        <v>0</v>
      </c>
      <c r="K92" s="13">
        <f t="shared" si="6"/>
        <v>0</v>
      </c>
      <c r="L92" s="13" t="str" cm="1">
        <f t="array" ref="L92">_xlfn.IFS(J92&lt;1,"",J92=1,"Pass",J92&gt;1,_xlfn.TEXTJOIN("",TRUE,"Pass x",J92))</f>
        <v/>
      </c>
      <c r="M92" s="13" t="str" cm="1">
        <f t="array" ref="M92">_xlfn.IFS(K92&lt;1,"",K92=1,"Fail",K92&gt;1,_xlfn.TEXTJOIN("",TRUE,"Fail x",K92))</f>
        <v/>
      </c>
      <c r="N92" t="str">
        <f t="shared" si="7"/>
        <v/>
      </c>
    </row>
    <row r="93" spans="8:14">
      <c r="H93" s="13">
        <f t="shared" si="4"/>
        <v>0</v>
      </c>
      <c r="I93" t="str" cm="1">
        <f t="array" ref="I93">_xlfn.IFS(H93&lt;1,"No",H93=1,"Yes",H93&gt;1,_xlfn.TEXTJOIN("",TRUE,"Yes x",H93))</f>
        <v>No</v>
      </c>
      <c r="J93" s="13">
        <f t="shared" si="5"/>
        <v>0</v>
      </c>
      <c r="K93" s="13">
        <f t="shared" si="6"/>
        <v>0</v>
      </c>
      <c r="L93" s="13" t="str" cm="1">
        <f t="array" ref="L93">_xlfn.IFS(J93&lt;1,"",J93=1,"Pass",J93&gt;1,_xlfn.TEXTJOIN("",TRUE,"Pass x",J93))</f>
        <v/>
      </c>
      <c r="M93" s="13" t="str" cm="1">
        <f t="array" ref="M93">_xlfn.IFS(K93&lt;1,"",K93=1,"Fail",K93&gt;1,_xlfn.TEXTJOIN("",TRUE,"Fail x",K93))</f>
        <v/>
      </c>
      <c r="N93" t="str">
        <f t="shared" si="7"/>
        <v/>
      </c>
    </row>
    <row r="94" spans="8:14">
      <c r="H94" s="13">
        <f t="shared" si="4"/>
        <v>0</v>
      </c>
      <c r="I94" t="str" cm="1">
        <f t="array" ref="I94">_xlfn.IFS(H94&lt;1,"No",H94=1,"Yes",H94&gt;1,_xlfn.TEXTJOIN("",TRUE,"Yes x",H94))</f>
        <v>No</v>
      </c>
      <c r="J94" s="13">
        <f t="shared" si="5"/>
        <v>0</v>
      </c>
      <c r="K94" s="13">
        <f t="shared" si="6"/>
        <v>0</v>
      </c>
      <c r="L94" s="13" t="str" cm="1">
        <f t="array" ref="L94">_xlfn.IFS(J94&lt;1,"",J94=1,"Pass",J94&gt;1,_xlfn.TEXTJOIN("",TRUE,"Pass x",J94))</f>
        <v/>
      </c>
      <c r="M94" s="13" t="str" cm="1">
        <f t="array" ref="M94">_xlfn.IFS(K94&lt;1,"",K94=1,"Fail",K94&gt;1,_xlfn.TEXTJOIN("",TRUE,"Fail x",K94))</f>
        <v/>
      </c>
      <c r="N94" t="str">
        <f t="shared" si="7"/>
        <v/>
      </c>
    </row>
    <row r="95" spans="8:14">
      <c r="H95" s="13">
        <f t="shared" si="4"/>
        <v>0</v>
      </c>
      <c r="I95" t="str" cm="1">
        <f t="array" ref="I95">_xlfn.IFS(H95&lt;1,"No",H95=1,"Yes",H95&gt;1,_xlfn.TEXTJOIN("",TRUE,"Yes x",H95))</f>
        <v>No</v>
      </c>
      <c r="J95" s="13">
        <f t="shared" si="5"/>
        <v>0</v>
      </c>
      <c r="K95" s="13">
        <f t="shared" si="6"/>
        <v>0</v>
      </c>
      <c r="L95" s="13" t="str" cm="1">
        <f t="array" ref="L95">_xlfn.IFS(J95&lt;1,"",J95=1,"Pass",J95&gt;1,_xlfn.TEXTJOIN("",TRUE,"Pass x",J95))</f>
        <v/>
      </c>
      <c r="M95" s="13" t="str" cm="1">
        <f t="array" ref="M95">_xlfn.IFS(K95&lt;1,"",K95=1,"Fail",K95&gt;1,_xlfn.TEXTJOIN("",TRUE,"Fail x",K95))</f>
        <v/>
      </c>
      <c r="N95" t="str">
        <f t="shared" si="7"/>
        <v/>
      </c>
    </row>
    <row r="96" spans="8:14">
      <c r="H96" s="13">
        <f t="shared" si="4"/>
        <v>0</v>
      </c>
      <c r="I96" t="str" cm="1">
        <f t="array" ref="I96">_xlfn.IFS(H96&lt;1,"No",H96=1,"Yes",H96&gt;1,_xlfn.TEXTJOIN("",TRUE,"Yes x",H96))</f>
        <v>No</v>
      </c>
      <c r="J96" s="13">
        <f t="shared" si="5"/>
        <v>0</v>
      </c>
      <c r="K96" s="13">
        <f t="shared" si="6"/>
        <v>0</v>
      </c>
      <c r="L96" s="13" t="str" cm="1">
        <f t="array" ref="L96">_xlfn.IFS(J96&lt;1,"",J96=1,"Pass",J96&gt;1,_xlfn.TEXTJOIN("",TRUE,"Pass x",J96))</f>
        <v/>
      </c>
      <c r="M96" s="13" t="str" cm="1">
        <f t="array" ref="M96">_xlfn.IFS(K96&lt;1,"",K96=1,"Fail",K96&gt;1,_xlfn.TEXTJOIN("",TRUE,"Fail x",K96))</f>
        <v/>
      </c>
      <c r="N96" t="str">
        <f t="shared" si="7"/>
        <v/>
      </c>
    </row>
    <row r="97" spans="8:14">
      <c r="H97" s="13">
        <f t="shared" si="4"/>
        <v>0</v>
      </c>
      <c r="I97" t="str" cm="1">
        <f t="array" ref="I97">_xlfn.IFS(H97&lt;1,"No",H97=1,"Yes",H97&gt;1,_xlfn.TEXTJOIN("",TRUE,"Yes x",H97))</f>
        <v>No</v>
      </c>
      <c r="J97" s="13">
        <f t="shared" si="5"/>
        <v>0</v>
      </c>
      <c r="K97" s="13">
        <f t="shared" si="6"/>
        <v>0</v>
      </c>
      <c r="L97" s="13" t="str" cm="1">
        <f t="array" ref="L97">_xlfn.IFS(J97&lt;1,"",J97=1,"Pass",J97&gt;1,_xlfn.TEXTJOIN("",TRUE,"Pass x",J97))</f>
        <v/>
      </c>
      <c r="M97" s="13" t="str" cm="1">
        <f t="array" ref="M97">_xlfn.IFS(K97&lt;1,"",K97=1,"Fail",K97&gt;1,_xlfn.TEXTJOIN("",TRUE,"Fail x",K97))</f>
        <v/>
      </c>
      <c r="N97" t="str">
        <f t="shared" si="7"/>
        <v/>
      </c>
    </row>
    <row r="98" spans="8:14">
      <c r="H98" s="13">
        <f t="shared" si="4"/>
        <v>0</v>
      </c>
      <c r="I98" t="str" cm="1">
        <f t="array" ref="I98">_xlfn.IFS(H98&lt;1,"No",H98=1,"Yes",H98&gt;1,_xlfn.TEXTJOIN("",TRUE,"Yes x",H98))</f>
        <v>No</v>
      </c>
      <c r="J98" s="13">
        <f t="shared" si="5"/>
        <v>0</v>
      </c>
      <c r="K98" s="13">
        <f t="shared" si="6"/>
        <v>0</v>
      </c>
      <c r="L98" s="13" t="str" cm="1">
        <f t="array" ref="L98">_xlfn.IFS(J98&lt;1,"",J98=1,"Pass",J98&gt;1,_xlfn.TEXTJOIN("",TRUE,"Pass x",J98))</f>
        <v/>
      </c>
      <c r="M98" s="13" t="str" cm="1">
        <f t="array" ref="M98">_xlfn.IFS(K98&lt;1,"",K98=1,"Fail",K98&gt;1,_xlfn.TEXTJOIN("",TRUE,"Fail x",K98))</f>
        <v/>
      </c>
      <c r="N98" t="str">
        <f t="shared" si="7"/>
        <v/>
      </c>
    </row>
    <row r="99" spans="8:14">
      <c r="H99" s="13">
        <f t="shared" si="4"/>
        <v>0</v>
      </c>
      <c r="I99" t="str" cm="1">
        <f t="array" ref="I99">_xlfn.IFS(H99&lt;1,"No",H99=1,"Yes",H99&gt;1,_xlfn.TEXTJOIN("",TRUE,"Yes x",H99))</f>
        <v>No</v>
      </c>
      <c r="J99" s="13">
        <f t="shared" si="5"/>
        <v>0</v>
      </c>
      <c r="K99" s="13">
        <f t="shared" si="6"/>
        <v>0</v>
      </c>
      <c r="L99" s="13" t="str" cm="1">
        <f t="array" ref="L99">_xlfn.IFS(J99&lt;1,"",J99=1,"Pass",J99&gt;1,_xlfn.TEXTJOIN("",TRUE,"Pass x",J99))</f>
        <v/>
      </c>
      <c r="M99" s="13" t="str" cm="1">
        <f t="array" ref="M99">_xlfn.IFS(K99&lt;1,"",K99=1,"Fail",K99&gt;1,_xlfn.TEXTJOIN("",TRUE,"Fail x",K99))</f>
        <v/>
      </c>
      <c r="N99" t="str">
        <f t="shared" si="7"/>
        <v/>
      </c>
    </row>
    <row r="100" spans="8:14">
      <c r="H100" s="13">
        <f t="shared" si="4"/>
        <v>0</v>
      </c>
      <c r="I100" t="str" cm="1">
        <f t="array" ref="I100">_xlfn.IFS(H100&lt;1,"No",H100=1,"Yes",H100&gt;1,_xlfn.TEXTJOIN("",TRUE,"Yes x",H100))</f>
        <v>No</v>
      </c>
      <c r="J100" s="13">
        <f t="shared" si="5"/>
        <v>0</v>
      </c>
      <c r="K100" s="13">
        <f t="shared" si="6"/>
        <v>0</v>
      </c>
      <c r="L100" s="13" t="str" cm="1">
        <f t="array" ref="L100">_xlfn.IFS(J100&lt;1,"",J100=1,"Pass",J100&gt;1,_xlfn.TEXTJOIN("",TRUE,"Pass x",J100))</f>
        <v/>
      </c>
      <c r="M100" s="13" t="str" cm="1">
        <f t="array" ref="M100">_xlfn.IFS(K100&lt;1,"",K100=1,"Fail",K100&gt;1,_xlfn.TEXTJOIN("",TRUE,"Fail x",K100))</f>
        <v/>
      </c>
      <c r="N100" t="str">
        <f t="shared" si="7"/>
        <v/>
      </c>
    </row>
    <row r="101" spans="8:14">
      <c r="H101" s="13">
        <f t="shared" si="4"/>
        <v>0</v>
      </c>
      <c r="J101" s="13">
        <f t="shared" si="5"/>
        <v>0</v>
      </c>
      <c r="K101" s="13">
        <f t="shared" si="6"/>
        <v>0</v>
      </c>
      <c r="L101" s="13" t="str" cm="1">
        <f t="array" ref="L101">_xlfn.IFS(J101&lt;1,"",J101=1,"Pass",J101&gt;1,_xlfn.TEXTJOIN("",TRUE,"Pass x",J101))</f>
        <v/>
      </c>
      <c r="M101" s="13" t="str" cm="1">
        <f t="array" ref="M101">_xlfn.IFS(K101&lt;1,"",K101=1,"Fail",K101&gt;1,_xlfn.TEXTJOIN("",TRUE,"Fail x",K101))</f>
        <v/>
      </c>
      <c r="N101" t="str">
        <f t="shared" si="7"/>
        <v/>
      </c>
    </row>
    <row r="102" spans="8:14">
      <c r="H102" s="13">
        <f t="shared" si="4"/>
        <v>0</v>
      </c>
      <c r="J102" s="13">
        <f t="shared" si="5"/>
        <v>0</v>
      </c>
      <c r="K102" s="13">
        <f t="shared" si="6"/>
        <v>0</v>
      </c>
      <c r="L102" s="13" t="str" cm="1">
        <f t="array" ref="L102">_xlfn.IFS(J102&lt;1,"",J102=1,"Pass",J102&gt;1,_xlfn.TEXTJOIN("",TRUE,"Pass x",J102))</f>
        <v/>
      </c>
      <c r="M102" s="13" t="str" cm="1">
        <f t="array" ref="M102">_xlfn.IFS(K102&lt;1,"",K102=1,"Fail",K102&gt;1,_xlfn.TEXTJOIN("",TRUE,"Fail x",K102))</f>
        <v/>
      </c>
      <c r="N102" t="str">
        <f t="shared" si="7"/>
        <v/>
      </c>
    </row>
    <row r="103" spans="8:14">
      <c r="H103" s="13">
        <f t="shared" si="4"/>
        <v>0</v>
      </c>
      <c r="J103" s="13">
        <f t="shared" si="5"/>
        <v>0</v>
      </c>
      <c r="K103" s="13">
        <f t="shared" si="6"/>
        <v>0</v>
      </c>
      <c r="L103" s="13" t="str" cm="1">
        <f t="array" ref="L103">_xlfn.IFS(J103&lt;1,"",J103=1,"Pass",J103&gt;1,_xlfn.TEXTJOIN("",TRUE,"Pass x",J103))</f>
        <v/>
      </c>
      <c r="M103" s="13" t="str" cm="1">
        <f t="array" ref="M103">_xlfn.IFS(K103&lt;1,"",K103=1,"Fail",K103&gt;1,_xlfn.TEXTJOIN("",TRUE,"Fail x",K103))</f>
        <v/>
      </c>
      <c r="N103" t="str">
        <f t="shared" si="7"/>
        <v/>
      </c>
    </row>
    <row r="104" spans="8:14">
      <c r="H104" s="13">
        <f t="shared" si="4"/>
        <v>0</v>
      </c>
      <c r="J104" s="13">
        <f t="shared" si="5"/>
        <v>0</v>
      </c>
      <c r="K104" s="13">
        <f t="shared" si="6"/>
        <v>0</v>
      </c>
      <c r="L104" s="13" t="str" cm="1">
        <f t="array" ref="L104">_xlfn.IFS(J104&lt;1,"",J104=1,"Pass",J104&gt;1,_xlfn.TEXTJOIN("",TRUE,"Pass x",J104))</f>
        <v/>
      </c>
      <c r="M104" s="13" t="str" cm="1">
        <f t="array" ref="M104">_xlfn.IFS(K104&lt;1,"",K104=1,"Fail",K104&gt;1,_xlfn.TEXTJOIN("",TRUE,"Fail x",K104))</f>
        <v/>
      </c>
      <c r="N104" t="str">
        <f t="shared" si="7"/>
        <v/>
      </c>
    </row>
    <row r="105" spans="8:14">
      <c r="H105" s="13">
        <f t="shared" si="4"/>
        <v>0</v>
      </c>
      <c r="J105" s="13">
        <f t="shared" si="5"/>
        <v>0</v>
      </c>
      <c r="K105" s="13">
        <f t="shared" si="6"/>
        <v>0</v>
      </c>
      <c r="L105" s="13" t="str" cm="1">
        <f t="array" ref="L105">_xlfn.IFS(J105&lt;1,"",J105=1,"Pass",J105&gt;1,_xlfn.TEXTJOIN("",TRUE,"Pass x",J105))</f>
        <v/>
      </c>
      <c r="M105" s="13" t="str" cm="1">
        <f t="array" ref="M105">_xlfn.IFS(K105&lt;1,"",K105=1,"Fail",K105&gt;1,_xlfn.TEXTJOIN("",TRUE,"Fail x",K105))</f>
        <v/>
      </c>
      <c r="N105" t="str">
        <f t="shared" si="7"/>
        <v/>
      </c>
    </row>
    <row r="106" spans="8:14">
      <c r="H106" s="13">
        <f t="shared" si="4"/>
        <v>0</v>
      </c>
      <c r="J106" s="13">
        <f t="shared" si="5"/>
        <v>0</v>
      </c>
      <c r="K106" s="13">
        <f t="shared" si="6"/>
        <v>0</v>
      </c>
      <c r="L106" s="13" t="str" cm="1">
        <f t="array" ref="L106">_xlfn.IFS(J106&lt;1,"",J106=1,"Pass",J106&gt;1,_xlfn.TEXTJOIN("",TRUE,"Pass x",J106))</f>
        <v/>
      </c>
      <c r="M106" s="13" t="str" cm="1">
        <f t="array" ref="M106">_xlfn.IFS(K106&lt;1,"",K106=1,"Fail",K106&gt;1,_xlfn.TEXTJOIN("",TRUE,"Fail x",K106))</f>
        <v/>
      </c>
      <c r="N106" t="str">
        <f t="shared" si="7"/>
        <v/>
      </c>
    </row>
    <row r="107" spans="8:14">
      <c r="H107" s="13">
        <f t="shared" si="4"/>
        <v>0</v>
      </c>
      <c r="J107" s="13">
        <f t="shared" si="5"/>
        <v>0</v>
      </c>
      <c r="K107" s="13">
        <f t="shared" si="6"/>
        <v>0</v>
      </c>
      <c r="L107" s="13" t="str" cm="1">
        <f t="array" ref="L107">_xlfn.IFS(J107&lt;1,"",J107=1,"Pass",J107&gt;1,_xlfn.TEXTJOIN("",TRUE,"Pass x",J107))</f>
        <v/>
      </c>
      <c r="M107" s="13" t="str" cm="1">
        <f t="array" ref="M107">_xlfn.IFS(K107&lt;1,"",K107=1,"Fail",K107&gt;1,_xlfn.TEXTJOIN("",TRUE,"Fail x",K107))</f>
        <v/>
      </c>
      <c r="N107" t="str">
        <f t="shared" si="7"/>
        <v/>
      </c>
    </row>
    <row r="108" spans="8:14">
      <c r="H108" s="13">
        <f t="shared" si="4"/>
        <v>0</v>
      </c>
      <c r="J108" s="13">
        <f t="shared" si="5"/>
        <v>0</v>
      </c>
      <c r="K108" s="13">
        <f t="shared" si="6"/>
        <v>0</v>
      </c>
      <c r="L108" s="13" t="str" cm="1">
        <f t="array" ref="L108">_xlfn.IFS(J108&lt;1,"",J108=1,"Pass",J108&gt;1,_xlfn.TEXTJOIN("",TRUE,"Pass x",J108))</f>
        <v/>
      </c>
      <c r="M108" s="13" t="str" cm="1">
        <f t="array" ref="M108">_xlfn.IFS(K108&lt;1,"",K108=1,"Fail",K108&gt;1,_xlfn.TEXTJOIN("",TRUE,"Fail x",K108))</f>
        <v/>
      </c>
      <c r="N108" t="str">
        <f t="shared" si="7"/>
        <v/>
      </c>
    </row>
    <row r="109" spans="8:14">
      <c r="H109" s="13">
        <f t="shared" si="4"/>
        <v>0</v>
      </c>
      <c r="J109" s="13">
        <f t="shared" si="5"/>
        <v>0</v>
      </c>
      <c r="K109" s="13">
        <f t="shared" si="6"/>
        <v>0</v>
      </c>
      <c r="L109" s="13" t="str" cm="1">
        <f t="array" ref="L109">_xlfn.IFS(J109&lt;1,"",J109=1,"Pass",J109&gt;1,_xlfn.TEXTJOIN("",TRUE,"Pass x",J109))</f>
        <v/>
      </c>
      <c r="M109" s="13" t="str" cm="1">
        <f t="array" ref="M109">_xlfn.IFS(K109&lt;1,"",K109=1,"Fail",K109&gt;1,_xlfn.TEXTJOIN("",TRUE,"Fail x",K109))</f>
        <v/>
      </c>
      <c r="N109" t="str">
        <f t="shared" si="7"/>
        <v/>
      </c>
    </row>
    <row r="110" spans="8:14">
      <c r="H110" s="13">
        <f t="shared" si="4"/>
        <v>0</v>
      </c>
      <c r="J110" s="13">
        <f t="shared" si="5"/>
        <v>0</v>
      </c>
      <c r="K110" s="13">
        <f t="shared" si="6"/>
        <v>0</v>
      </c>
      <c r="L110" s="13" t="str" cm="1">
        <f t="array" ref="L110">_xlfn.IFS(J110&lt;1,"",J110=1,"Pass",J110&gt;1,_xlfn.TEXTJOIN("",TRUE,"Pass x",J110))</f>
        <v/>
      </c>
      <c r="M110" s="13" t="str" cm="1">
        <f t="array" ref="M110">_xlfn.IFS(K110&lt;1,"",K110=1,"Fail",K110&gt;1,_xlfn.TEXTJOIN("",TRUE,"Fail x",K110))</f>
        <v/>
      </c>
      <c r="N110" t="str">
        <f t="shared" si="7"/>
        <v/>
      </c>
    </row>
    <row r="111" spans="8:14">
      <c r="H111" s="13">
        <f t="shared" si="4"/>
        <v>0</v>
      </c>
      <c r="J111" s="13">
        <f t="shared" si="5"/>
        <v>0</v>
      </c>
      <c r="K111" s="13">
        <f t="shared" si="6"/>
        <v>0</v>
      </c>
      <c r="L111" s="13" t="str" cm="1">
        <f t="array" ref="L111">_xlfn.IFS(J111&lt;1,"",J111=1,"Pass",J111&gt;1,_xlfn.TEXTJOIN("",TRUE,"Pass x",J111))</f>
        <v/>
      </c>
      <c r="M111" s="13" t="str" cm="1">
        <f t="array" ref="M111">_xlfn.IFS(K111&lt;1,"",K111=1,"Fail",K111&gt;1,_xlfn.TEXTJOIN("",TRUE,"Fail x",K111))</f>
        <v/>
      </c>
      <c r="N111" t="str">
        <f t="shared" si="7"/>
        <v/>
      </c>
    </row>
    <row r="112" spans="8:14">
      <c r="H112" s="13">
        <f t="shared" si="4"/>
        <v>0</v>
      </c>
      <c r="J112" s="13">
        <f t="shared" si="5"/>
        <v>0</v>
      </c>
      <c r="K112" s="13">
        <f t="shared" si="6"/>
        <v>0</v>
      </c>
      <c r="L112" s="13" t="str" cm="1">
        <f t="array" ref="L112">_xlfn.IFS(J112&lt;1,"",J112=1,"Pass",J112&gt;1,_xlfn.TEXTJOIN("",TRUE,"Pass x",J112))</f>
        <v/>
      </c>
      <c r="M112" s="13" t="str" cm="1">
        <f t="array" ref="M112">_xlfn.IFS(K112&lt;1,"",K112=1,"Fail",K112&gt;1,_xlfn.TEXTJOIN("",TRUE,"Fail x",K112))</f>
        <v/>
      </c>
      <c r="N112" t="str">
        <f t="shared" si="7"/>
        <v/>
      </c>
    </row>
    <row r="113" spans="8:14">
      <c r="H113" s="13">
        <f t="shared" si="4"/>
        <v>0</v>
      </c>
      <c r="J113" s="13">
        <f t="shared" si="5"/>
        <v>0</v>
      </c>
      <c r="K113" s="13">
        <f t="shared" si="6"/>
        <v>0</v>
      </c>
      <c r="L113" s="13" t="str" cm="1">
        <f t="array" ref="L113">_xlfn.IFS(J113&lt;1,"",J113=1,"Pass",J113&gt;1,_xlfn.TEXTJOIN("",TRUE,"Pass x",J113))</f>
        <v/>
      </c>
      <c r="M113" s="13" t="str" cm="1">
        <f t="array" ref="M113">_xlfn.IFS(K113&lt;1,"",K113=1,"Fail",K113&gt;1,_xlfn.TEXTJOIN("",TRUE,"Fail x",K113))</f>
        <v/>
      </c>
      <c r="N113" t="str">
        <f t="shared" si="7"/>
        <v/>
      </c>
    </row>
    <row r="114" spans="8:14">
      <c r="H114" s="13">
        <f t="shared" si="4"/>
        <v>0</v>
      </c>
      <c r="J114" s="13">
        <f t="shared" si="5"/>
        <v>0</v>
      </c>
      <c r="K114" s="13">
        <f t="shared" si="6"/>
        <v>0</v>
      </c>
      <c r="L114" s="13" t="str" cm="1">
        <f t="array" ref="L114">_xlfn.IFS(J114&lt;1,"",J114=1,"Pass",J114&gt;1,_xlfn.TEXTJOIN("",TRUE,"Pass x",J114))</f>
        <v/>
      </c>
      <c r="M114" s="13" t="str" cm="1">
        <f t="array" ref="M114">_xlfn.IFS(K114&lt;1,"",K114=1,"Fail",K114&gt;1,_xlfn.TEXTJOIN("",TRUE,"Fail x",K114))</f>
        <v/>
      </c>
    </row>
    <row r="115" spans="8:14">
      <c r="H115" s="13">
        <f t="shared" si="4"/>
        <v>0</v>
      </c>
      <c r="J115" s="13">
        <f t="shared" si="5"/>
        <v>0</v>
      </c>
      <c r="K115" s="13">
        <f t="shared" si="6"/>
        <v>0</v>
      </c>
      <c r="L115" s="13" t="str" cm="1">
        <f t="array" ref="L115">_xlfn.IFS(J115&lt;1,"",J115=1,"Pass",J115&gt;1,_xlfn.TEXTJOIN("",TRUE,"Pass x",J115))</f>
        <v/>
      </c>
      <c r="M115" s="13" t="str" cm="1">
        <f t="array" ref="M115">_xlfn.IFS(K115&lt;1,"",K115=1,"Fail",K115&gt;1,_xlfn.TEXTJOIN("",TRUE,"Fail x",K115))</f>
        <v/>
      </c>
    </row>
    <row r="116" spans="8:14">
      <c r="H116" s="13">
        <f t="shared" si="4"/>
        <v>0</v>
      </c>
      <c r="J116" s="13">
        <f t="shared" si="5"/>
        <v>0</v>
      </c>
      <c r="K116" s="13">
        <f t="shared" si="6"/>
        <v>0</v>
      </c>
      <c r="L116" s="13" t="str" cm="1">
        <f t="array" ref="L116">_xlfn.IFS(J116&lt;1,"",J116=1,"Pass",J116&gt;1,_xlfn.TEXTJOIN("",TRUE,"Pass x",J116))</f>
        <v/>
      </c>
      <c r="M116" s="13" t="str" cm="1">
        <f t="array" ref="M116">_xlfn.IFS(K116&lt;1,"",K116=1,"Fail",K116&gt;1,_xlfn.TEXTJOIN("",TRUE,"Fail x",K116))</f>
        <v/>
      </c>
    </row>
    <row r="117" spans="8:14">
      <c r="H117" s="13">
        <f t="shared" si="4"/>
        <v>0</v>
      </c>
      <c r="J117" s="13">
        <f t="shared" si="5"/>
        <v>0</v>
      </c>
      <c r="K117" s="13">
        <f t="shared" si="6"/>
        <v>0</v>
      </c>
      <c r="L117" s="13" t="str" cm="1">
        <f t="array" ref="L117">_xlfn.IFS(J117&lt;1,"",J117=1,"Pass",J117&gt;1,_xlfn.TEXTJOIN("",TRUE,"Pass x",J117))</f>
        <v/>
      </c>
      <c r="M117" s="13" t="str" cm="1">
        <f t="array" ref="M117">_xlfn.IFS(K117&lt;1,"",K117=1,"Fail",K117&gt;1,_xlfn.TEXTJOIN("",TRUE,"Fail x",K117))</f>
        <v/>
      </c>
    </row>
    <row r="118" spans="8:14">
      <c r="H118" s="13">
        <f t="shared" si="4"/>
        <v>0</v>
      </c>
      <c r="J118" s="13">
        <f t="shared" si="5"/>
        <v>0</v>
      </c>
      <c r="K118" s="13">
        <f t="shared" si="6"/>
        <v>0</v>
      </c>
      <c r="L118" s="13" t="str" cm="1">
        <f t="array" ref="L118">_xlfn.IFS(J118&lt;1,"",J118=1,"Pass",J118&gt;1,_xlfn.TEXTJOIN("",TRUE,"Pass x",J118))</f>
        <v/>
      </c>
      <c r="M118" s="13" t="str" cm="1">
        <f t="array" ref="M118">_xlfn.IFS(K118&lt;1,"",K118=1,"Fail",K118&gt;1,_xlfn.TEXTJOIN("",TRUE,"Fail x",K118))</f>
        <v/>
      </c>
    </row>
    <row r="119" spans="8:14">
      <c r="H119" s="13">
        <f t="shared" si="4"/>
        <v>0</v>
      </c>
      <c r="J119" s="13">
        <f t="shared" si="5"/>
        <v>0</v>
      </c>
      <c r="K119" s="13">
        <f t="shared" si="6"/>
        <v>0</v>
      </c>
      <c r="L119" s="13" t="str" cm="1">
        <f t="array" ref="L119">_xlfn.IFS(J119&lt;1,"",J119=1,"Pass",J119&gt;1,_xlfn.TEXTJOIN("",TRUE,"Pass x",J119))</f>
        <v/>
      </c>
      <c r="M119" s="13" t="str" cm="1">
        <f t="array" ref="M119">_xlfn.IFS(K119&lt;1,"",K119=1,"Fail",K119&gt;1,_xlfn.TEXTJOIN("",TRUE,"Fail x",K119))</f>
        <v/>
      </c>
    </row>
    <row r="120" spans="8:14">
      <c r="H120" s="13">
        <f t="shared" si="4"/>
        <v>0</v>
      </c>
      <c r="J120" s="13">
        <f t="shared" si="5"/>
        <v>0</v>
      </c>
      <c r="K120" s="13">
        <f t="shared" si="6"/>
        <v>0</v>
      </c>
      <c r="L120" s="13" t="str" cm="1">
        <f t="array" ref="L120">_xlfn.IFS(J120&lt;1,"",J120=1,"Pass",J120&gt;1,_xlfn.TEXTJOIN("",TRUE,"Pass x",J120))</f>
        <v/>
      </c>
      <c r="M120" s="13" t="str" cm="1">
        <f t="array" ref="M120">_xlfn.IFS(K120&lt;1,"",K120=1,"Fail",K120&gt;1,_xlfn.TEXTJOIN("",TRUE,"Fail x",K120))</f>
        <v/>
      </c>
    </row>
    <row r="121" spans="8:14">
      <c r="H121" s="13">
        <f t="shared" si="4"/>
        <v>0</v>
      </c>
      <c r="J121" s="13">
        <f t="shared" si="5"/>
        <v>0</v>
      </c>
      <c r="K121" s="13">
        <f t="shared" si="6"/>
        <v>0</v>
      </c>
      <c r="L121" s="13" t="str" cm="1">
        <f t="array" ref="L121">_xlfn.IFS(J121&lt;1,"",J121=1,"Pass",J121&gt;1,_xlfn.TEXTJOIN("",TRUE,"Pass x",J121))</f>
        <v/>
      </c>
      <c r="M121" s="13" t="str" cm="1">
        <f t="array" ref="M121">_xlfn.IFS(K121&lt;1,"",K121=1,"Fail",K121&gt;1,_xlfn.TEXTJOIN("",TRUE,"Fail x",K121))</f>
        <v/>
      </c>
    </row>
    <row r="122" spans="8:14">
      <c r="H122" s="13">
        <f t="shared" si="4"/>
        <v>0</v>
      </c>
      <c r="J122" s="13">
        <f t="shared" si="5"/>
        <v>0</v>
      </c>
      <c r="K122" s="13">
        <f t="shared" si="6"/>
        <v>0</v>
      </c>
      <c r="L122" s="13" t="str" cm="1">
        <f t="array" ref="L122">_xlfn.IFS(J122&lt;1,"",J122=1,"Pass",J122&gt;1,_xlfn.TEXTJOIN("",TRUE,"Pass x",J122))</f>
        <v/>
      </c>
      <c r="M122" s="13" t="str" cm="1">
        <f t="array" ref="M122">_xlfn.IFS(K122&lt;1,"",K122=1,"Fail",K122&gt;1,_xlfn.TEXTJOIN("",TRUE,"Fail x",K122))</f>
        <v/>
      </c>
    </row>
    <row r="123" spans="8:14">
      <c r="H123" s="13">
        <f t="shared" si="4"/>
        <v>0</v>
      </c>
      <c r="J123" s="13">
        <f t="shared" si="5"/>
        <v>0</v>
      </c>
      <c r="K123" s="13">
        <f t="shared" si="6"/>
        <v>0</v>
      </c>
      <c r="L123" s="13" t="str" cm="1">
        <f t="array" ref="L123">_xlfn.IFS(J123&lt;1,"",J123=1,"Pass",J123&gt;1,_xlfn.TEXTJOIN("",TRUE,"Pass x",J123))</f>
        <v/>
      </c>
      <c r="M123" s="13" t="str" cm="1">
        <f t="array" ref="M123">_xlfn.IFS(K123&lt;1,"",K123=1,"Fail",K123&gt;1,_xlfn.TEXTJOIN("",TRUE,"Fail x",K123))</f>
        <v/>
      </c>
    </row>
    <row r="124" spans="8:14">
      <c r="H124" s="13">
        <f t="shared" si="4"/>
        <v>0</v>
      </c>
      <c r="J124" s="13">
        <f t="shared" si="5"/>
        <v>0</v>
      </c>
      <c r="K124" s="13">
        <f t="shared" si="6"/>
        <v>0</v>
      </c>
      <c r="L124" s="13" t="str" cm="1">
        <f t="array" ref="L124">_xlfn.IFS(J124&lt;1,"",J124=1,"Pass",J124&gt;1,_xlfn.TEXTJOIN("",TRUE,"Pass x",J124))</f>
        <v/>
      </c>
      <c r="M124" s="13" t="str" cm="1">
        <f t="array" ref="M124">_xlfn.IFS(K124&lt;1,"",K124=1,"Fail",K124&gt;1,_xlfn.TEXTJOIN("",TRUE,"Fail x",K124))</f>
        <v/>
      </c>
    </row>
    <row r="125" spans="8:14">
      <c r="H125" s="13">
        <f t="shared" si="4"/>
        <v>0</v>
      </c>
      <c r="J125" s="13">
        <f t="shared" si="5"/>
        <v>0</v>
      </c>
      <c r="K125" s="13">
        <f t="shared" si="6"/>
        <v>0</v>
      </c>
      <c r="L125" s="13" t="str" cm="1">
        <f t="array" ref="L125">_xlfn.IFS(J125&lt;1,"",J125=1,"Pass",J125&gt;1,_xlfn.TEXTJOIN("",TRUE,"Pass x",J125))</f>
        <v/>
      </c>
      <c r="M125" s="13" t="str" cm="1">
        <f t="array" ref="M125">_xlfn.IFS(K125&lt;1,"",K125=1,"Fail",K125&gt;1,_xlfn.TEXTJOIN("",TRUE,"Fail x",K125))</f>
        <v/>
      </c>
    </row>
    <row r="126" spans="8:14">
      <c r="H126" s="13">
        <f t="shared" si="4"/>
        <v>0</v>
      </c>
      <c r="J126" s="13">
        <f t="shared" si="5"/>
        <v>0</v>
      </c>
      <c r="K126" s="13">
        <f t="shared" si="6"/>
        <v>0</v>
      </c>
      <c r="L126" s="13" t="str" cm="1">
        <f t="array" ref="L126">_xlfn.IFS(J126&lt;1,"",J126=1,"Pass",J126&gt;1,_xlfn.TEXTJOIN("",TRUE,"Pass x",J126))</f>
        <v/>
      </c>
      <c r="M126" s="13" t="str" cm="1">
        <f t="array" ref="M126">_xlfn.IFS(K126&lt;1,"",K126=1,"Fail",K126&gt;1,_xlfn.TEXTJOIN("",TRUE,"Fail x",K126))</f>
        <v/>
      </c>
    </row>
    <row r="127" spans="8:14">
      <c r="H127" s="13">
        <f t="shared" si="4"/>
        <v>0</v>
      </c>
      <c r="J127" s="13">
        <f t="shared" si="5"/>
        <v>0</v>
      </c>
      <c r="K127" s="13">
        <f t="shared" si="6"/>
        <v>0</v>
      </c>
      <c r="L127" s="13" t="str" cm="1">
        <f t="array" ref="L127">_xlfn.IFS(J127&lt;1,"",J127=1,"Pass",J127&gt;1,_xlfn.TEXTJOIN("",TRUE,"Pass x",J127))</f>
        <v/>
      </c>
      <c r="M127" s="13" t="str" cm="1">
        <f t="array" ref="M127">_xlfn.IFS(K127&lt;1,"",K127=1,"Fail",K127&gt;1,_xlfn.TEXTJOIN("",TRUE,"Fail x",K127))</f>
        <v/>
      </c>
    </row>
    <row r="128" spans="8:14">
      <c r="H128" s="13">
        <f t="shared" si="4"/>
        <v>0</v>
      </c>
      <c r="J128" s="13">
        <f t="shared" si="5"/>
        <v>0</v>
      </c>
      <c r="K128" s="13">
        <f t="shared" si="6"/>
        <v>0</v>
      </c>
      <c r="L128" s="13" t="str" cm="1">
        <f t="array" ref="L128">_xlfn.IFS(J128&lt;1,"",J128=1,"Pass",J128&gt;1,_xlfn.TEXTJOIN("",TRUE,"Pass x",J128))</f>
        <v/>
      </c>
      <c r="M128" s="13" t="str" cm="1">
        <f t="array" ref="M128">_xlfn.IFS(K128&lt;1,"",K128=1,"Fail",K128&gt;1,_xlfn.TEXTJOIN("",TRUE,"Fail x",K128))</f>
        <v/>
      </c>
    </row>
    <row r="129" spans="8:13">
      <c r="H129" s="13">
        <f t="shared" si="4"/>
        <v>0</v>
      </c>
      <c r="J129" s="13">
        <f t="shared" si="5"/>
        <v>0</v>
      </c>
      <c r="K129" s="13">
        <f t="shared" si="6"/>
        <v>0</v>
      </c>
      <c r="L129" s="13" t="str" cm="1">
        <f t="array" ref="L129">_xlfn.IFS(J129&lt;1,"",J129=1,"Pass",J129&gt;1,_xlfn.TEXTJOIN("",TRUE,"Pass x",J129))</f>
        <v/>
      </c>
      <c r="M129" s="13" t="str" cm="1">
        <f t="array" ref="M129">_xlfn.IFS(K129&lt;1,"",K129=1,"Fail",K129&gt;1,_xlfn.TEXTJOIN("",TRUE,"Fail x",K129))</f>
        <v/>
      </c>
    </row>
    <row r="130" spans="8:13">
      <c r="H130" s="13">
        <f t="shared" si="4"/>
        <v>0</v>
      </c>
      <c r="J130" s="13">
        <f t="shared" si="5"/>
        <v>0</v>
      </c>
      <c r="K130" s="13">
        <f t="shared" si="6"/>
        <v>0</v>
      </c>
      <c r="L130" s="13" t="str" cm="1">
        <f t="array" ref="L130">_xlfn.IFS(J130&lt;1,"",J130=1,"Pass",J130&gt;1,_xlfn.TEXTJOIN("",TRUE,"Pass x",J130))</f>
        <v/>
      </c>
      <c r="M130" s="13" t="str" cm="1">
        <f t="array" ref="M130">_xlfn.IFS(K130&lt;1,"",K130=1,"Fail",K130&gt;1,_xlfn.TEXTJOIN("",TRUE,"Fail x",K130))</f>
        <v/>
      </c>
    </row>
    <row r="131" spans="8:13">
      <c r="H131" s="13">
        <f t="shared" ref="H131:H194" si="8">IFERROR(GETPIVOTDATA("Successful / Failed",$A$1,"System serial",G131),0)</f>
        <v>0</v>
      </c>
      <c r="J131" s="13">
        <f t="shared" ref="J131:J194" si="9">IFERROR(GETPIVOTDATA("Successful / Failed",$A$1,"System serial",G131,"Successful / Failed","Successful"),0)</f>
        <v>0</v>
      </c>
      <c r="K131" s="13">
        <f t="shared" ref="K131:K194" si="10">IFERROR(GETPIVOTDATA("Successful / Failed",$A$1,"System serial",G131,"Successful / Failed","Failed"),0)</f>
        <v>0</v>
      </c>
      <c r="L131" s="13" t="str" cm="1">
        <f t="array" ref="L131">_xlfn.IFS(J131&lt;1,"",J131=1,"Pass",J131&gt;1,_xlfn.TEXTJOIN("",TRUE,"Pass x",J131))</f>
        <v/>
      </c>
      <c r="M131" s="13" t="str" cm="1">
        <f t="array" ref="M131">_xlfn.IFS(K131&lt;1,"",K131=1,"Fail",K131&gt;1,_xlfn.TEXTJOIN("",TRUE,"Fail x",K131))</f>
        <v/>
      </c>
    </row>
    <row r="132" spans="8:13">
      <c r="H132" s="13">
        <f t="shared" si="8"/>
        <v>0</v>
      </c>
      <c r="J132" s="13">
        <f t="shared" si="9"/>
        <v>0</v>
      </c>
      <c r="K132" s="13">
        <f t="shared" si="10"/>
        <v>0</v>
      </c>
      <c r="L132" s="13" t="str" cm="1">
        <f t="array" ref="L132">_xlfn.IFS(J132&lt;1,"",J132=1,"Pass",J132&gt;1,_xlfn.TEXTJOIN("",TRUE,"Pass x",J132))</f>
        <v/>
      </c>
      <c r="M132" s="13" t="str" cm="1">
        <f t="array" ref="M132">_xlfn.IFS(K132&lt;1,"",K132=1,"Fail",K132&gt;1,_xlfn.TEXTJOIN("",TRUE,"Fail x",K132))</f>
        <v/>
      </c>
    </row>
    <row r="133" spans="8:13">
      <c r="H133" s="13">
        <f t="shared" si="8"/>
        <v>0</v>
      </c>
      <c r="J133" s="13">
        <f t="shared" si="9"/>
        <v>0</v>
      </c>
      <c r="K133" s="13">
        <f t="shared" si="10"/>
        <v>0</v>
      </c>
      <c r="L133" s="13" t="str" cm="1">
        <f t="array" ref="L133">_xlfn.IFS(J133&lt;1,"",J133=1,"Pass",J133&gt;1,_xlfn.TEXTJOIN("",TRUE,"Pass x",J133))</f>
        <v/>
      </c>
      <c r="M133" s="13" t="str" cm="1">
        <f t="array" ref="M133">_xlfn.IFS(K133&lt;1,"",K133=1,"Fail",K133&gt;1,_xlfn.TEXTJOIN("",TRUE,"Fail x",K133))</f>
        <v/>
      </c>
    </row>
    <row r="134" spans="8:13">
      <c r="H134" s="13">
        <f t="shared" si="8"/>
        <v>0</v>
      </c>
      <c r="J134" s="13">
        <f t="shared" si="9"/>
        <v>0</v>
      </c>
      <c r="K134" s="13">
        <f t="shared" si="10"/>
        <v>0</v>
      </c>
      <c r="L134" s="13" t="str" cm="1">
        <f t="array" ref="L134">_xlfn.IFS(J134&lt;1,"",J134=1,"Pass",J134&gt;1,_xlfn.TEXTJOIN("",TRUE,"Pass x",J134))</f>
        <v/>
      </c>
      <c r="M134" s="13" t="str" cm="1">
        <f t="array" ref="M134">_xlfn.IFS(K134&lt;1,"",K134=1,"Fail",K134&gt;1,_xlfn.TEXTJOIN("",TRUE,"Fail x",K134))</f>
        <v/>
      </c>
    </row>
    <row r="135" spans="8:13">
      <c r="H135" s="13">
        <f t="shared" si="8"/>
        <v>0</v>
      </c>
      <c r="J135" s="13">
        <f t="shared" si="9"/>
        <v>0</v>
      </c>
      <c r="K135" s="13">
        <f t="shared" si="10"/>
        <v>0</v>
      </c>
      <c r="L135" s="13" t="str" cm="1">
        <f t="array" ref="L135">_xlfn.IFS(J135&lt;1,"",J135=1,"Pass",J135&gt;1,_xlfn.TEXTJOIN("",TRUE,"Pass x",J135))</f>
        <v/>
      </c>
      <c r="M135" s="13" t="str" cm="1">
        <f t="array" ref="M135">_xlfn.IFS(K135&lt;1,"",K135=1,"Fail",K135&gt;1,_xlfn.TEXTJOIN("",TRUE,"Fail x",K135))</f>
        <v/>
      </c>
    </row>
    <row r="136" spans="8:13">
      <c r="H136" s="13">
        <f t="shared" si="8"/>
        <v>0</v>
      </c>
      <c r="J136" s="13">
        <f t="shared" si="9"/>
        <v>0</v>
      </c>
      <c r="K136" s="13">
        <f t="shared" si="10"/>
        <v>0</v>
      </c>
      <c r="L136" s="13" t="str" cm="1">
        <f t="array" ref="L136">_xlfn.IFS(J136&lt;1,"",J136=1,"Pass",J136&gt;1,_xlfn.TEXTJOIN("",TRUE,"Pass x",J136))</f>
        <v/>
      </c>
      <c r="M136" s="13" t="str" cm="1">
        <f t="array" ref="M136">_xlfn.IFS(K136&lt;1,"",K136=1,"Fail",K136&gt;1,_xlfn.TEXTJOIN("",TRUE,"Fail x",K136))</f>
        <v/>
      </c>
    </row>
    <row r="137" spans="8:13">
      <c r="H137" s="13">
        <f t="shared" si="8"/>
        <v>0</v>
      </c>
      <c r="J137" s="13">
        <f t="shared" si="9"/>
        <v>0</v>
      </c>
      <c r="K137" s="13">
        <f t="shared" si="10"/>
        <v>0</v>
      </c>
      <c r="L137" s="13" t="str" cm="1">
        <f t="array" ref="L137">_xlfn.IFS(J137&lt;1,"",J137=1,"Pass",J137&gt;1,_xlfn.TEXTJOIN("",TRUE,"Pass x",J137))</f>
        <v/>
      </c>
      <c r="M137" s="13" t="str" cm="1">
        <f t="array" ref="M137">_xlfn.IFS(K137&lt;1,"",K137=1,"Fail",K137&gt;1,_xlfn.TEXTJOIN("",TRUE,"Fail x",K137))</f>
        <v/>
      </c>
    </row>
    <row r="138" spans="8:13">
      <c r="H138" s="13">
        <f t="shared" si="8"/>
        <v>0</v>
      </c>
      <c r="J138" s="13">
        <f t="shared" si="9"/>
        <v>0</v>
      </c>
      <c r="K138" s="13">
        <f t="shared" si="10"/>
        <v>0</v>
      </c>
      <c r="L138" s="13" t="str" cm="1">
        <f t="array" ref="L138">_xlfn.IFS(J138&lt;1,"",J138=1,"Pass",J138&gt;1,_xlfn.TEXTJOIN("",TRUE,"Pass x",J138))</f>
        <v/>
      </c>
      <c r="M138" s="13" t="str" cm="1">
        <f t="array" ref="M138">_xlfn.IFS(K138&lt;1,"",K138=1,"Fail",K138&gt;1,_xlfn.TEXTJOIN("",TRUE,"Fail x",K138))</f>
        <v/>
      </c>
    </row>
    <row r="139" spans="8:13">
      <c r="H139" s="13">
        <f t="shared" si="8"/>
        <v>0</v>
      </c>
      <c r="J139" s="13">
        <f t="shared" si="9"/>
        <v>0</v>
      </c>
      <c r="K139" s="13">
        <f t="shared" si="10"/>
        <v>0</v>
      </c>
      <c r="L139" s="13" t="str" cm="1">
        <f t="array" ref="L139">_xlfn.IFS(J139&lt;1,"",J139=1,"Pass",J139&gt;1,_xlfn.TEXTJOIN("",TRUE,"Pass x",J139))</f>
        <v/>
      </c>
      <c r="M139" s="13" t="str" cm="1">
        <f t="array" ref="M139">_xlfn.IFS(K139&lt;1,"",K139=1,"Fail",K139&gt;1,_xlfn.TEXTJOIN("",TRUE,"Fail x",K139))</f>
        <v/>
      </c>
    </row>
    <row r="140" spans="8:13">
      <c r="H140" s="13">
        <f t="shared" si="8"/>
        <v>0</v>
      </c>
      <c r="J140" s="13">
        <f t="shared" si="9"/>
        <v>0</v>
      </c>
      <c r="K140" s="13">
        <f t="shared" si="10"/>
        <v>0</v>
      </c>
      <c r="L140" s="13" t="str" cm="1">
        <f t="array" ref="L140">_xlfn.IFS(J140&lt;1,"",J140=1,"Pass",J140&gt;1,_xlfn.TEXTJOIN("",TRUE,"Pass x",J140))</f>
        <v/>
      </c>
      <c r="M140" s="13" t="str" cm="1">
        <f t="array" ref="M140">_xlfn.IFS(K140&lt;1,"",K140=1,"Fail",K140&gt;1,_xlfn.TEXTJOIN("",TRUE,"Fail x",K140))</f>
        <v/>
      </c>
    </row>
    <row r="141" spans="8:13">
      <c r="H141" s="13">
        <f t="shared" si="8"/>
        <v>0</v>
      </c>
      <c r="J141" s="13">
        <f t="shared" si="9"/>
        <v>0</v>
      </c>
      <c r="K141" s="13">
        <f t="shared" si="10"/>
        <v>0</v>
      </c>
      <c r="L141" s="13" t="str" cm="1">
        <f t="array" ref="L141">_xlfn.IFS(J141&lt;1,"",J141=1,"Pass",J141&gt;1,_xlfn.TEXTJOIN("",TRUE,"Pass x",J141))</f>
        <v/>
      </c>
      <c r="M141" s="13" t="str" cm="1">
        <f t="array" ref="M141">_xlfn.IFS(K141&lt;1,"",K141=1,"Fail",K141&gt;1,_xlfn.TEXTJOIN("",TRUE,"Fail x",K141))</f>
        <v/>
      </c>
    </row>
    <row r="142" spans="8:13">
      <c r="H142" s="13">
        <f t="shared" si="8"/>
        <v>0</v>
      </c>
      <c r="J142" s="13">
        <f t="shared" si="9"/>
        <v>0</v>
      </c>
      <c r="K142" s="13">
        <f t="shared" si="10"/>
        <v>0</v>
      </c>
      <c r="L142" s="13" t="str" cm="1">
        <f t="array" ref="L142">_xlfn.IFS(J142&lt;1,"",J142=1,"Pass",J142&gt;1,_xlfn.TEXTJOIN("",TRUE,"Pass x",J142))</f>
        <v/>
      </c>
      <c r="M142" s="13" t="str" cm="1">
        <f t="array" ref="M142">_xlfn.IFS(K142&lt;1,"",K142=1,"Fail",K142&gt;1,_xlfn.TEXTJOIN("",TRUE,"Fail x",K142))</f>
        <v/>
      </c>
    </row>
    <row r="143" spans="8:13">
      <c r="H143" s="13">
        <f t="shared" si="8"/>
        <v>0</v>
      </c>
      <c r="J143" s="13">
        <f t="shared" si="9"/>
        <v>0</v>
      </c>
      <c r="K143" s="13">
        <f t="shared" si="10"/>
        <v>0</v>
      </c>
      <c r="L143" s="13" t="str" cm="1">
        <f t="array" ref="L143">_xlfn.IFS(J143&lt;1,"",J143=1,"Pass",J143&gt;1,_xlfn.TEXTJOIN("",TRUE,"Pass x",J143))</f>
        <v/>
      </c>
      <c r="M143" s="13" t="str" cm="1">
        <f t="array" ref="M143">_xlfn.IFS(K143&lt;1,"",K143=1,"Fail",K143&gt;1,_xlfn.TEXTJOIN("",TRUE,"Fail x",K143))</f>
        <v/>
      </c>
    </row>
    <row r="144" spans="8:13">
      <c r="H144" s="13">
        <f t="shared" si="8"/>
        <v>0</v>
      </c>
      <c r="J144" s="13">
        <f t="shared" si="9"/>
        <v>0</v>
      </c>
      <c r="K144" s="13">
        <f t="shared" si="10"/>
        <v>0</v>
      </c>
      <c r="L144" s="13" t="str" cm="1">
        <f t="array" ref="L144">_xlfn.IFS(J144&lt;1,"",J144=1,"Pass",J144&gt;1,_xlfn.TEXTJOIN("",TRUE,"Pass x",J144))</f>
        <v/>
      </c>
      <c r="M144" s="13" t="str" cm="1">
        <f t="array" ref="M144">_xlfn.IFS(K144&lt;1,"",K144=1,"Fail",K144&gt;1,_xlfn.TEXTJOIN("",TRUE,"Fail x",K144))</f>
        <v/>
      </c>
    </row>
    <row r="145" spans="8:13">
      <c r="H145" s="13">
        <f t="shared" si="8"/>
        <v>0</v>
      </c>
      <c r="J145" s="13">
        <f t="shared" si="9"/>
        <v>0</v>
      </c>
      <c r="K145" s="13">
        <f t="shared" si="10"/>
        <v>0</v>
      </c>
      <c r="L145" s="13" t="str" cm="1">
        <f t="array" ref="L145">_xlfn.IFS(J145&lt;1,"",J145=1,"Pass",J145&gt;1,_xlfn.TEXTJOIN("",TRUE,"Pass x",J145))</f>
        <v/>
      </c>
      <c r="M145" s="13" t="str" cm="1">
        <f t="array" ref="M145">_xlfn.IFS(K145&lt;1,"",K145=1,"Fail",K145&gt;1,_xlfn.TEXTJOIN("",TRUE,"Fail x",K145))</f>
        <v/>
      </c>
    </row>
    <row r="146" spans="8:13">
      <c r="H146" s="13">
        <f t="shared" si="8"/>
        <v>0</v>
      </c>
      <c r="J146" s="13">
        <f t="shared" si="9"/>
        <v>0</v>
      </c>
      <c r="K146" s="13">
        <f t="shared" si="10"/>
        <v>0</v>
      </c>
      <c r="L146" s="13" t="str" cm="1">
        <f t="array" ref="L146">_xlfn.IFS(J146&lt;1,"",J146=1,"Pass",J146&gt;1,_xlfn.TEXTJOIN("",TRUE,"Pass x",J146))</f>
        <v/>
      </c>
      <c r="M146" s="13" t="str" cm="1">
        <f t="array" ref="M146">_xlfn.IFS(K146&lt;1,"",K146=1,"Fail",K146&gt;1,_xlfn.TEXTJOIN("",TRUE,"Fail x",K146))</f>
        <v/>
      </c>
    </row>
    <row r="147" spans="8:13">
      <c r="H147" s="13">
        <f t="shared" si="8"/>
        <v>0</v>
      </c>
      <c r="J147" s="13">
        <f t="shared" si="9"/>
        <v>0</v>
      </c>
      <c r="K147" s="13">
        <f t="shared" si="10"/>
        <v>0</v>
      </c>
      <c r="L147" s="13" t="str" cm="1">
        <f t="array" ref="L147">_xlfn.IFS(J147&lt;1,"",J147=1,"Pass",J147&gt;1,_xlfn.TEXTJOIN("",TRUE,"Pass x",J147))</f>
        <v/>
      </c>
      <c r="M147" s="13" t="str" cm="1">
        <f t="array" ref="M147">_xlfn.IFS(K147&lt;1,"",K147=1,"Fail",K147&gt;1,_xlfn.TEXTJOIN("",TRUE,"Fail x",K147))</f>
        <v/>
      </c>
    </row>
    <row r="148" spans="8:13">
      <c r="H148" s="13">
        <f t="shared" si="8"/>
        <v>0</v>
      </c>
      <c r="J148" s="13">
        <f t="shared" si="9"/>
        <v>0</v>
      </c>
      <c r="K148" s="13">
        <f t="shared" si="10"/>
        <v>0</v>
      </c>
      <c r="L148" s="13" t="str" cm="1">
        <f t="array" ref="L148">_xlfn.IFS(J148&lt;1,"",J148=1,"Pass",J148&gt;1,_xlfn.TEXTJOIN("",TRUE,"Pass x",J148))</f>
        <v/>
      </c>
      <c r="M148" s="13" t="str" cm="1">
        <f t="array" ref="M148">_xlfn.IFS(K148&lt;1,"",K148=1,"Fail",K148&gt;1,_xlfn.TEXTJOIN("",TRUE,"Fail x",K148))</f>
        <v/>
      </c>
    </row>
    <row r="149" spans="8:13">
      <c r="H149" s="13">
        <f t="shared" si="8"/>
        <v>0</v>
      </c>
      <c r="J149" s="13">
        <f t="shared" si="9"/>
        <v>0</v>
      </c>
      <c r="K149" s="13">
        <f t="shared" si="10"/>
        <v>0</v>
      </c>
      <c r="L149" s="13" t="str" cm="1">
        <f t="array" ref="L149">_xlfn.IFS(J149&lt;1,"",J149=1,"Pass",J149&gt;1,_xlfn.TEXTJOIN("",TRUE,"Pass x",J149))</f>
        <v/>
      </c>
      <c r="M149" s="13" t="str" cm="1">
        <f t="array" ref="M149">_xlfn.IFS(K149&lt;1,"",K149=1,"Fail",K149&gt;1,_xlfn.TEXTJOIN("",TRUE,"Fail x",K149))</f>
        <v/>
      </c>
    </row>
    <row r="150" spans="8:13">
      <c r="H150" s="13">
        <f t="shared" si="8"/>
        <v>0</v>
      </c>
      <c r="J150" s="13">
        <f t="shared" si="9"/>
        <v>0</v>
      </c>
      <c r="K150" s="13">
        <f t="shared" si="10"/>
        <v>0</v>
      </c>
      <c r="L150" s="13" t="str" cm="1">
        <f t="array" ref="L150">_xlfn.IFS(J150&lt;1,"",J150=1,"Pass",J150&gt;1,_xlfn.TEXTJOIN("",TRUE,"Pass x",J150))</f>
        <v/>
      </c>
      <c r="M150" s="13" t="str" cm="1">
        <f t="array" ref="M150">_xlfn.IFS(K150&lt;1,"",K150=1,"Fail",K150&gt;1,_xlfn.TEXTJOIN("",TRUE,"Fail x",K150))</f>
        <v/>
      </c>
    </row>
    <row r="151" spans="8:13">
      <c r="H151" s="13">
        <f t="shared" si="8"/>
        <v>0</v>
      </c>
      <c r="J151" s="13">
        <f t="shared" si="9"/>
        <v>0</v>
      </c>
      <c r="K151" s="13">
        <f t="shared" si="10"/>
        <v>0</v>
      </c>
      <c r="L151" s="13" t="str" cm="1">
        <f t="array" ref="L151">_xlfn.IFS(J151&lt;1,"",J151=1,"Pass",J151&gt;1,_xlfn.TEXTJOIN("",TRUE,"Pass x",J151))</f>
        <v/>
      </c>
      <c r="M151" s="13" t="str" cm="1">
        <f t="array" ref="M151">_xlfn.IFS(K151&lt;1,"",K151=1,"Fail",K151&gt;1,_xlfn.TEXTJOIN("",TRUE,"Fail x",K151))</f>
        <v/>
      </c>
    </row>
    <row r="152" spans="8:13">
      <c r="H152" s="13">
        <f t="shared" si="8"/>
        <v>0</v>
      </c>
      <c r="J152" s="13">
        <f t="shared" si="9"/>
        <v>0</v>
      </c>
      <c r="K152" s="13">
        <f t="shared" si="10"/>
        <v>0</v>
      </c>
      <c r="L152" s="13" t="str" cm="1">
        <f t="array" ref="L152">_xlfn.IFS(J152&lt;1,"",J152=1,"Pass",J152&gt;1,_xlfn.TEXTJOIN("",TRUE,"Pass x",J152))</f>
        <v/>
      </c>
      <c r="M152" s="13" t="str" cm="1">
        <f t="array" ref="M152">_xlfn.IFS(K152&lt;1,"",K152=1,"Fail",K152&gt;1,_xlfn.TEXTJOIN("",TRUE,"Fail x",K152))</f>
        <v/>
      </c>
    </row>
    <row r="153" spans="8:13">
      <c r="H153" s="13">
        <f t="shared" si="8"/>
        <v>0</v>
      </c>
      <c r="J153" s="13">
        <f t="shared" si="9"/>
        <v>0</v>
      </c>
      <c r="K153" s="13">
        <f t="shared" si="10"/>
        <v>0</v>
      </c>
      <c r="L153" s="13" t="str" cm="1">
        <f t="array" ref="L153">_xlfn.IFS(J153&lt;1,"",J153=1,"Pass",J153&gt;1,_xlfn.TEXTJOIN("",TRUE,"Pass x",J153))</f>
        <v/>
      </c>
      <c r="M153" s="13" t="str" cm="1">
        <f t="array" ref="M153">_xlfn.IFS(K153&lt;1,"",K153=1,"Fail",K153&gt;1,_xlfn.TEXTJOIN("",TRUE,"Fail x",K153))</f>
        <v/>
      </c>
    </row>
    <row r="154" spans="8:13">
      <c r="H154" s="13">
        <f t="shared" si="8"/>
        <v>0</v>
      </c>
      <c r="J154" s="13">
        <f t="shared" si="9"/>
        <v>0</v>
      </c>
      <c r="K154" s="13">
        <f t="shared" si="10"/>
        <v>0</v>
      </c>
      <c r="L154" s="13" t="str" cm="1">
        <f t="array" ref="L154">_xlfn.IFS(J154&lt;1,"",J154=1,"Pass",J154&gt;1,_xlfn.TEXTJOIN("",TRUE,"Pass x",J154))</f>
        <v/>
      </c>
      <c r="M154" s="13" t="str" cm="1">
        <f t="array" ref="M154">_xlfn.IFS(K154&lt;1,"",K154=1,"Fail",K154&gt;1,_xlfn.TEXTJOIN("",TRUE,"Fail x",K154))</f>
        <v/>
      </c>
    </row>
    <row r="155" spans="8:13">
      <c r="H155" s="13">
        <f t="shared" si="8"/>
        <v>0</v>
      </c>
      <c r="J155" s="13">
        <f t="shared" si="9"/>
        <v>0</v>
      </c>
      <c r="K155" s="13">
        <f t="shared" si="10"/>
        <v>0</v>
      </c>
      <c r="L155" s="13" t="str" cm="1">
        <f t="array" ref="L155">_xlfn.IFS(J155&lt;1,"",J155=1,"Pass",J155&gt;1,_xlfn.TEXTJOIN("",TRUE,"Pass x",J155))</f>
        <v/>
      </c>
      <c r="M155" s="13" t="str" cm="1">
        <f t="array" ref="M155">_xlfn.IFS(K155&lt;1,"",K155=1,"Fail",K155&gt;1,_xlfn.TEXTJOIN("",TRUE,"Fail x",K155))</f>
        <v/>
      </c>
    </row>
    <row r="156" spans="8:13">
      <c r="H156" s="13">
        <f t="shared" si="8"/>
        <v>0</v>
      </c>
      <c r="J156" s="13">
        <f t="shared" si="9"/>
        <v>0</v>
      </c>
      <c r="K156" s="13">
        <f t="shared" si="10"/>
        <v>0</v>
      </c>
      <c r="L156" s="13" t="str" cm="1">
        <f t="array" ref="L156">_xlfn.IFS(J156&lt;1,"",J156=1,"Pass",J156&gt;1,_xlfn.TEXTJOIN("",TRUE,"Pass x",J156))</f>
        <v/>
      </c>
      <c r="M156" s="13" t="str" cm="1">
        <f t="array" ref="M156">_xlfn.IFS(K156&lt;1,"",K156=1,"Fail",K156&gt;1,_xlfn.TEXTJOIN("",TRUE,"Fail x",K156))</f>
        <v/>
      </c>
    </row>
    <row r="157" spans="8:13">
      <c r="H157" s="13">
        <f t="shared" si="8"/>
        <v>0</v>
      </c>
      <c r="J157" s="13">
        <f t="shared" si="9"/>
        <v>0</v>
      </c>
      <c r="K157" s="13">
        <f t="shared" si="10"/>
        <v>0</v>
      </c>
      <c r="L157" s="13" t="str" cm="1">
        <f t="array" ref="L157">_xlfn.IFS(J157&lt;1,"",J157=1,"Pass",J157&gt;1,_xlfn.TEXTJOIN("",TRUE,"Pass x",J157))</f>
        <v/>
      </c>
      <c r="M157" s="13" t="str" cm="1">
        <f t="array" ref="M157">_xlfn.IFS(K157&lt;1,"",K157=1,"Fail",K157&gt;1,_xlfn.TEXTJOIN("",TRUE,"Fail x",K157))</f>
        <v/>
      </c>
    </row>
    <row r="158" spans="8:13">
      <c r="H158" s="13">
        <f t="shared" si="8"/>
        <v>0</v>
      </c>
      <c r="J158" s="13">
        <f t="shared" si="9"/>
        <v>0</v>
      </c>
      <c r="K158" s="13">
        <f t="shared" si="10"/>
        <v>0</v>
      </c>
      <c r="L158" s="13" t="str" cm="1">
        <f t="array" ref="L158">_xlfn.IFS(J158&lt;1,"",J158=1,"Pass",J158&gt;1,_xlfn.TEXTJOIN("",TRUE,"Pass x",J158))</f>
        <v/>
      </c>
      <c r="M158" s="13" t="str" cm="1">
        <f t="array" ref="M158">_xlfn.IFS(K158&lt;1,"",K158=1,"Fail",K158&gt;1,_xlfn.TEXTJOIN("",TRUE,"Fail x",K158))</f>
        <v/>
      </c>
    </row>
    <row r="159" spans="8:13">
      <c r="H159" s="13">
        <f t="shared" si="8"/>
        <v>0</v>
      </c>
      <c r="J159" s="13">
        <f t="shared" si="9"/>
        <v>0</v>
      </c>
      <c r="K159" s="13">
        <f t="shared" si="10"/>
        <v>0</v>
      </c>
      <c r="L159" s="13" t="str" cm="1">
        <f t="array" ref="L159">_xlfn.IFS(J159&lt;1,"",J159=1,"Pass",J159&gt;1,_xlfn.TEXTJOIN("",TRUE,"Pass x",J159))</f>
        <v/>
      </c>
      <c r="M159" s="13" t="str" cm="1">
        <f t="array" ref="M159">_xlfn.IFS(K159&lt;1,"",K159=1,"Fail",K159&gt;1,_xlfn.TEXTJOIN("",TRUE,"Fail x",K159))</f>
        <v/>
      </c>
    </row>
    <row r="160" spans="8:13">
      <c r="H160" s="13">
        <f t="shared" si="8"/>
        <v>0</v>
      </c>
      <c r="J160" s="13">
        <f t="shared" si="9"/>
        <v>0</v>
      </c>
      <c r="K160" s="13">
        <f t="shared" si="10"/>
        <v>0</v>
      </c>
      <c r="L160" s="13" t="str" cm="1">
        <f t="array" ref="L160">_xlfn.IFS(J160&lt;1,"",J160=1,"Pass",J160&gt;1,_xlfn.TEXTJOIN("",TRUE,"Pass x",J160))</f>
        <v/>
      </c>
      <c r="M160" s="13" t="str" cm="1">
        <f t="array" ref="M160">_xlfn.IFS(K160&lt;1,"",K160=1,"Fail",K160&gt;1,_xlfn.TEXTJOIN("",TRUE,"Fail x",K160))</f>
        <v/>
      </c>
    </row>
    <row r="161" spans="8:13">
      <c r="H161" s="13">
        <f t="shared" si="8"/>
        <v>0</v>
      </c>
      <c r="J161" s="13">
        <f t="shared" si="9"/>
        <v>0</v>
      </c>
      <c r="K161" s="13">
        <f t="shared" si="10"/>
        <v>0</v>
      </c>
      <c r="L161" s="13" t="str" cm="1">
        <f t="array" ref="L161">_xlfn.IFS(J161&lt;1,"",J161=1,"Pass",J161&gt;1,_xlfn.TEXTJOIN("",TRUE,"Pass x",J161))</f>
        <v/>
      </c>
      <c r="M161" s="13" t="str" cm="1">
        <f t="array" ref="M161">_xlfn.IFS(K161&lt;1,"",K161=1,"Fail",K161&gt;1,_xlfn.TEXTJOIN("",TRUE,"Fail x",K161))</f>
        <v/>
      </c>
    </row>
    <row r="162" spans="8:13">
      <c r="H162" s="13">
        <f t="shared" si="8"/>
        <v>0</v>
      </c>
      <c r="J162" s="13">
        <f t="shared" si="9"/>
        <v>0</v>
      </c>
      <c r="K162" s="13">
        <f t="shared" si="10"/>
        <v>0</v>
      </c>
      <c r="L162" s="13" t="str" cm="1">
        <f t="array" ref="L162">_xlfn.IFS(J162&lt;1,"",J162=1,"Pass",J162&gt;1,_xlfn.TEXTJOIN("",TRUE,"Pass x",J162))</f>
        <v/>
      </c>
      <c r="M162" s="13" t="str" cm="1">
        <f t="array" ref="M162">_xlfn.IFS(K162&lt;1,"",K162=1,"Fail",K162&gt;1,_xlfn.TEXTJOIN("",TRUE,"Fail x",K162))</f>
        <v/>
      </c>
    </row>
    <row r="163" spans="8:13">
      <c r="H163" s="13">
        <f t="shared" si="8"/>
        <v>0</v>
      </c>
      <c r="J163" s="13">
        <f t="shared" si="9"/>
        <v>0</v>
      </c>
      <c r="K163" s="13">
        <f t="shared" si="10"/>
        <v>0</v>
      </c>
      <c r="L163" s="13" t="str" cm="1">
        <f t="array" ref="L163">_xlfn.IFS(J163&lt;1,"",J163=1,"Pass",J163&gt;1,_xlfn.TEXTJOIN("",TRUE,"Pass x",J163))</f>
        <v/>
      </c>
      <c r="M163" s="13" t="str" cm="1">
        <f t="array" ref="M163">_xlfn.IFS(K163&lt;1,"",K163=1,"Fail",K163&gt;1,_xlfn.TEXTJOIN("",TRUE,"Fail x",K163))</f>
        <v/>
      </c>
    </row>
    <row r="164" spans="8:13">
      <c r="H164" s="13">
        <f t="shared" si="8"/>
        <v>0</v>
      </c>
      <c r="J164" s="13">
        <f t="shared" si="9"/>
        <v>0</v>
      </c>
      <c r="K164" s="13">
        <f t="shared" si="10"/>
        <v>0</v>
      </c>
      <c r="L164" s="13" t="str" cm="1">
        <f t="array" ref="L164">_xlfn.IFS(J164&lt;1,"",J164=1,"Pass",J164&gt;1,_xlfn.TEXTJOIN("",TRUE,"Pass x",J164))</f>
        <v/>
      </c>
      <c r="M164" s="13" t="str" cm="1">
        <f t="array" ref="M164">_xlfn.IFS(K164&lt;1,"",K164=1,"Fail",K164&gt;1,_xlfn.TEXTJOIN("",TRUE,"Fail x",K164))</f>
        <v/>
      </c>
    </row>
    <row r="165" spans="8:13">
      <c r="H165" s="13">
        <f t="shared" si="8"/>
        <v>0</v>
      </c>
      <c r="J165" s="13">
        <f t="shared" si="9"/>
        <v>0</v>
      </c>
      <c r="K165" s="13">
        <f t="shared" si="10"/>
        <v>0</v>
      </c>
      <c r="L165" s="13" t="str" cm="1">
        <f t="array" ref="L165">_xlfn.IFS(J165&lt;1,"",J165=1,"Pass",J165&gt;1,_xlfn.TEXTJOIN("",TRUE,"Pass x",J165))</f>
        <v/>
      </c>
      <c r="M165" s="13" t="str" cm="1">
        <f t="array" ref="M165">_xlfn.IFS(K165&lt;1,"",K165=1,"Fail",K165&gt;1,_xlfn.TEXTJOIN("",TRUE,"Fail x",K165))</f>
        <v/>
      </c>
    </row>
    <row r="166" spans="8:13">
      <c r="H166" s="13">
        <f t="shared" si="8"/>
        <v>0</v>
      </c>
      <c r="J166" s="13">
        <f t="shared" si="9"/>
        <v>0</v>
      </c>
      <c r="K166" s="13">
        <f t="shared" si="10"/>
        <v>0</v>
      </c>
      <c r="L166" s="13" t="str" cm="1">
        <f t="array" ref="L166">_xlfn.IFS(J166&lt;1,"",J166=1,"Pass",J166&gt;1,_xlfn.TEXTJOIN("",TRUE,"Pass x",J166))</f>
        <v/>
      </c>
      <c r="M166" s="13" t="str" cm="1">
        <f t="array" ref="M166">_xlfn.IFS(K166&lt;1,"",K166=1,"Fail",K166&gt;1,_xlfn.TEXTJOIN("",TRUE,"Fail x",K166))</f>
        <v/>
      </c>
    </row>
    <row r="167" spans="8:13">
      <c r="H167" s="13">
        <f t="shared" si="8"/>
        <v>0</v>
      </c>
      <c r="J167" s="13">
        <f t="shared" si="9"/>
        <v>0</v>
      </c>
      <c r="K167" s="13">
        <f t="shared" si="10"/>
        <v>0</v>
      </c>
      <c r="L167" s="13" t="str" cm="1">
        <f t="array" ref="L167">_xlfn.IFS(J167&lt;1,"",J167=1,"Pass",J167&gt;1,_xlfn.TEXTJOIN("",TRUE,"Pass x",J167))</f>
        <v/>
      </c>
      <c r="M167" s="13" t="str" cm="1">
        <f t="array" ref="M167">_xlfn.IFS(K167&lt;1,"",K167=1,"Fail",K167&gt;1,_xlfn.TEXTJOIN("",TRUE,"Fail x",K167))</f>
        <v/>
      </c>
    </row>
    <row r="168" spans="8:13">
      <c r="H168" s="13">
        <f t="shared" si="8"/>
        <v>0</v>
      </c>
      <c r="J168" s="13">
        <f t="shared" si="9"/>
        <v>0</v>
      </c>
      <c r="K168" s="13">
        <f t="shared" si="10"/>
        <v>0</v>
      </c>
      <c r="L168" s="13" t="str" cm="1">
        <f t="array" ref="L168">_xlfn.IFS(J168&lt;1,"",J168=1,"Pass",J168&gt;1,_xlfn.TEXTJOIN("",TRUE,"Pass x",J168))</f>
        <v/>
      </c>
      <c r="M168" s="13" t="str" cm="1">
        <f t="array" ref="M168">_xlfn.IFS(K168&lt;1,"",K168=1,"Fail",K168&gt;1,_xlfn.TEXTJOIN("",TRUE,"Fail x",K168))</f>
        <v/>
      </c>
    </row>
    <row r="169" spans="8:13">
      <c r="H169" s="13">
        <f t="shared" si="8"/>
        <v>0</v>
      </c>
      <c r="J169" s="13">
        <f t="shared" si="9"/>
        <v>0</v>
      </c>
      <c r="K169" s="13">
        <f t="shared" si="10"/>
        <v>0</v>
      </c>
      <c r="L169" s="13" t="str" cm="1">
        <f t="array" ref="L169">_xlfn.IFS(J169&lt;1,"",J169=1,"Pass",J169&gt;1,_xlfn.TEXTJOIN("",TRUE,"Pass x",J169))</f>
        <v/>
      </c>
      <c r="M169" s="13" t="str" cm="1">
        <f t="array" ref="M169">_xlfn.IFS(K169&lt;1,"",K169=1,"Fail",K169&gt;1,_xlfn.TEXTJOIN("",TRUE,"Fail x",K169))</f>
        <v/>
      </c>
    </row>
    <row r="170" spans="8:13">
      <c r="H170" s="13">
        <f t="shared" si="8"/>
        <v>0</v>
      </c>
      <c r="J170" s="13">
        <f t="shared" si="9"/>
        <v>0</v>
      </c>
      <c r="K170" s="13">
        <f t="shared" si="10"/>
        <v>0</v>
      </c>
      <c r="L170" s="13" t="str" cm="1">
        <f t="array" ref="L170">_xlfn.IFS(J170&lt;1,"",J170=1,"Pass",J170&gt;1,_xlfn.TEXTJOIN("",TRUE,"Pass x",J170))</f>
        <v/>
      </c>
      <c r="M170" s="13" t="str" cm="1">
        <f t="array" ref="M170">_xlfn.IFS(K170&lt;1,"",K170=1,"Fail",K170&gt;1,_xlfn.TEXTJOIN("",TRUE,"Fail x",K170))</f>
        <v/>
      </c>
    </row>
    <row r="171" spans="8:13">
      <c r="H171" s="13">
        <f t="shared" si="8"/>
        <v>0</v>
      </c>
      <c r="J171" s="13">
        <f t="shared" si="9"/>
        <v>0</v>
      </c>
      <c r="K171" s="13">
        <f t="shared" si="10"/>
        <v>0</v>
      </c>
      <c r="L171" s="13" t="str" cm="1">
        <f t="array" ref="L171">_xlfn.IFS(J171&lt;1,"",J171=1,"Pass",J171&gt;1,_xlfn.TEXTJOIN("",TRUE,"Pass x",J171))</f>
        <v/>
      </c>
      <c r="M171" s="13" t="str" cm="1">
        <f t="array" ref="M171">_xlfn.IFS(K171&lt;1,"",K171=1,"Fail",K171&gt;1,_xlfn.TEXTJOIN("",TRUE,"Fail x",K171))</f>
        <v/>
      </c>
    </row>
    <row r="172" spans="8:13">
      <c r="H172" s="13">
        <f t="shared" si="8"/>
        <v>0</v>
      </c>
      <c r="J172" s="13">
        <f t="shared" si="9"/>
        <v>0</v>
      </c>
      <c r="K172" s="13">
        <f t="shared" si="10"/>
        <v>0</v>
      </c>
      <c r="L172" s="13" t="str" cm="1">
        <f t="array" ref="L172">_xlfn.IFS(J172&lt;1,"",J172=1,"Pass",J172&gt;1,_xlfn.TEXTJOIN("",TRUE,"Pass x",J172))</f>
        <v/>
      </c>
      <c r="M172" s="13" t="str" cm="1">
        <f t="array" ref="M172">_xlfn.IFS(K172&lt;1,"",K172=1,"Fail",K172&gt;1,_xlfn.TEXTJOIN("",TRUE,"Fail x",K172))</f>
        <v/>
      </c>
    </row>
    <row r="173" spans="8:13">
      <c r="H173" s="13">
        <f t="shared" si="8"/>
        <v>0</v>
      </c>
      <c r="J173" s="13">
        <f t="shared" si="9"/>
        <v>0</v>
      </c>
      <c r="K173" s="13">
        <f t="shared" si="10"/>
        <v>0</v>
      </c>
      <c r="L173" s="13" t="str" cm="1">
        <f t="array" ref="L173">_xlfn.IFS(J173&lt;1,"",J173=1,"Pass",J173&gt;1,_xlfn.TEXTJOIN("",TRUE,"Pass x",J173))</f>
        <v/>
      </c>
      <c r="M173" s="13" t="str" cm="1">
        <f t="array" ref="M173">_xlfn.IFS(K173&lt;1,"",K173=1,"Fail",K173&gt;1,_xlfn.TEXTJOIN("",TRUE,"Fail x",K173))</f>
        <v/>
      </c>
    </row>
    <row r="174" spans="8:13">
      <c r="H174" s="13">
        <f t="shared" si="8"/>
        <v>0</v>
      </c>
      <c r="J174" s="13">
        <f t="shared" si="9"/>
        <v>0</v>
      </c>
      <c r="K174" s="13">
        <f t="shared" si="10"/>
        <v>0</v>
      </c>
      <c r="L174" s="13" t="str" cm="1">
        <f t="array" ref="L174">_xlfn.IFS(J174&lt;1,"",J174=1,"Pass",J174&gt;1,_xlfn.TEXTJOIN("",TRUE,"Pass x",J174))</f>
        <v/>
      </c>
      <c r="M174" s="13" t="str" cm="1">
        <f t="array" ref="M174">_xlfn.IFS(K174&lt;1,"",K174=1,"Fail",K174&gt;1,_xlfn.TEXTJOIN("",TRUE,"Fail x",K174))</f>
        <v/>
      </c>
    </row>
    <row r="175" spans="8:13">
      <c r="H175" s="13">
        <f t="shared" si="8"/>
        <v>0</v>
      </c>
      <c r="J175" s="13">
        <f t="shared" si="9"/>
        <v>0</v>
      </c>
      <c r="K175" s="13">
        <f t="shared" si="10"/>
        <v>0</v>
      </c>
      <c r="L175" s="13" t="str" cm="1">
        <f t="array" ref="L175">_xlfn.IFS(J175&lt;1,"",J175=1,"Pass",J175&gt;1,_xlfn.TEXTJOIN("",TRUE,"Pass x",J175))</f>
        <v/>
      </c>
      <c r="M175" s="13" t="str" cm="1">
        <f t="array" ref="M175">_xlfn.IFS(K175&lt;1,"",K175=1,"Fail",K175&gt;1,_xlfn.TEXTJOIN("",TRUE,"Fail x",K175))</f>
        <v/>
      </c>
    </row>
    <row r="176" spans="8:13">
      <c r="H176" s="13">
        <f t="shared" si="8"/>
        <v>0</v>
      </c>
      <c r="J176" s="13">
        <f t="shared" si="9"/>
        <v>0</v>
      </c>
      <c r="K176" s="13">
        <f t="shared" si="10"/>
        <v>0</v>
      </c>
      <c r="L176" s="13" t="str" cm="1">
        <f t="array" ref="L176">_xlfn.IFS(J176&lt;1,"",J176=1,"Pass",J176&gt;1,_xlfn.TEXTJOIN("",TRUE,"Pass x",J176))</f>
        <v/>
      </c>
      <c r="M176" s="13" t="str" cm="1">
        <f t="array" ref="M176">_xlfn.IFS(K176&lt;1,"",K176=1,"Fail",K176&gt;1,_xlfn.TEXTJOIN("",TRUE,"Fail x",K176))</f>
        <v/>
      </c>
    </row>
    <row r="177" spans="8:13">
      <c r="H177" s="13">
        <f t="shared" si="8"/>
        <v>0</v>
      </c>
      <c r="J177" s="13">
        <f t="shared" si="9"/>
        <v>0</v>
      </c>
      <c r="K177" s="13">
        <f t="shared" si="10"/>
        <v>0</v>
      </c>
      <c r="L177" s="13" t="str" cm="1">
        <f t="array" ref="L177">_xlfn.IFS(J177&lt;1,"",J177=1,"Pass",J177&gt;1,_xlfn.TEXTJOIN("",TRUE,"Pass x",J177))</f>
        <v/>
      </c>
      <c r="M177" s="13" t="str" cm="1">
        <f t="array" ref="M177">_xlfn.IFS(K177&lt;1,"",K177=1,"Fail",K177&gt;1,_xlfn.TEXTJOIN("",TRUE,"Fail x",K177))</f>
        <v/>
      </c>
    </row>
    <row r="178" spans="8:13">
      <c r="H178" s="13">
        <f t="shared" si="8"/>
        <v>0</v>
      </c>
      <c r="J178" s="13">
        <f t="shared" si="9"/>
        <v>0</v>
      </c>
      <c r="K178" s="13">
        <f t="shared" si="10"/>
        <v>0</v>
      </c>
      <c r="L178" s="13" t="str" cm="1">
        <f t="array" ref="L178">_xlfn.IFS(J178&lt;1,"",J178=1,"Pass",J178&gt;1,_xlfn.TEXTJOIN("",TRUE,"Pass x",J178))</f>
        <v/>
      </c>
      <c r="M178" s="13" t="str" cm="1">
        <f t="array" ref="M178">_xlfn.IFS(K178&lt;1,"",K178=1,"Fail",K178&gt;1,_xlfn.TEXTJOIN("",TRUE,"Fail x",K178))</f>
        <v/>
      </c>
    </row>
    <row r="179" spans="8:13">
      <c r="H179" s="13">
        <f t="shared" si="8"/>
        <v>0</v>
      </c>
      <c r="J179" s="13">
        <f t="shared" si="9"/>
        <v>0</v>
      </c>
      <c r="K179" s="13">
        <f t="shared" si="10"/>
        <v>0</v>
      </c>
      <c r="L179" s="13" t="str" cm="1">
        <f t="array" ref="L179">_xlfn.IFS(J179&lt;1,"",J179=1,"Pass",J179&gt;1,_xlfn.TEXTJOIN("",TRUE,"Pass x",J179))</f>
        <v/>
      </c>
      <c r="M179" s="13" t="str" cm="1">
        <f t="array" ref="M179">_xlfn.IFS(K179&lt;1,"",K179=1,"Fail",K179&gt;1,_xlfn.TEXTJOIN("",TRUE,"Fail x",K179))</f>
        <v/>
      </c>
    </row>
    <row r="180" spans="8:13">
      <c r="H180" s="13">
        <f t="shared" si="8"/>
        <v>0</v>
      </c>
      <c r="J180" s="13">
        <f t="shared" si="9"/>
        <v>0</v>
      </c>
      <c r="K180" s="13">
        <f t="shared" si="10"/>
        <v>0</v>
      </c>
      <c r="L180" s="13" t="str" cm="1">
        <f t="array" ref="L180">_xlfn.IFS(J180&lt;1,"",J180=1,"Pass",J180&gt;1,_xlfn.TEXTJOIN("",TRUE,"Pass x",J180))</f>
        <v/>
      </c>
      <c r="M180" s="13" t="str" cm="1">
        <f t="array" ref="M180">_xlfn.IFS(K180&lt;1,"",K180=1,"Fail",K180&gt;1,_xlfn.TEXTJOIN("",TRUE,"Fail x",K180))</f>
        <v/>
      </c>
    </row>
    <row r="181" spans="8:13">
      <c r="H181" s="13">
        <f t="shared" si="8"/>
        <v>0</v>
      </c>
      <c r="J181" s="13">
        <f t="shared" si="9"/>
        <v>0</v>
      </c>
      <c r="K181" s="13">
        <f t="shared" si="10"/>
        <v>0</v>
      </c>
      <c r="L181" s="13" t="str" cm="1">
        <f t="array" ref="L181">_xlfn.IFS(J181&lt;1,"",J181=1,"Pass",J181&gt;1,_xlfn.TEXTJOIN("",TRUE,"Pass x",J181))</f>
        <v/>
      </c>
      <c r="M181" s="13" t="str" cm="1">
        <f t="array" ref="M181">_xlfn.IFS(K181&lt;1,"",K181=1,"Fail",K181&gt;1,_xlfn.TEXTJOIN("",TRUE,"Fail x",K181))</f>
        <v/>
      </c>
    </row>
    <row r="182" spans="8:13">
      <c r="H182" s="13">
        <f t="shared" si="8"/>
        <v>0</v>
      </c>
      <c r="J182" s="13">
        <f t="shared" si="9"/>
        <v>0</v>
      </c>
      <c r="K182" s="13">
        <f t="shared" si="10"/>
        <v>0</v>
      </c>
      <c r="L182" s="13" t="str" cm="1">
        <f t="array" ref="L182">_xlfn.IFS(J182&lt;1,"",J182=1,"Pass",J182&gt;1,_xlfn.TEXTJOIN("",TRUE,"Pass x",J182))</f>
        <v/>
      </c>
      <c r="M182" s="13" t="str" cm="1">
        <f t="array" ref="M182">_xlfn.IFS(K182&lt;1,"",K182=1,"Fail",K182&gt;1,_xlfn.TEXTJOIN("",TRUE,"Fail x",K182))</f>
        <v/>
      </c>
    </row>
    <row r="183" spans="8:13">
      <c r="H183" s="13">
        <f t="shared" si="8"/>
        <v>0</v>
      </c>
      <c r="J183" s="13">
        <f t="shared" si="9"/>
        <v>0</v>
      </c>
      <c r="K183" s="13">
        <f t="shared" si="10"/>
        <v>0</v>
      </c>
      <c r="L183" s="13" t="str" cm="1">
        <f t="array" ref="L183">_xlfn.IFS(J183&lt;1,"",J183=1,"Pass",J183&gt;1,_xlfn.TEXTJOIN("",TRUE,"Pass x",J183))</f>
        <v/>
      </c>
      <c r="M183" s="13" t="str" cm="1">
        <f t="array" ref="M183">_xlfn.IFS(K183&lt;1,"",K183=1,"Fail",K183&gt;1,_xlfn.TEXTJOIN("",TRUE,"Fail x",K183))</f>
        <v/>
      </c>
    </row>
    <row r="184" spans="8:13">
      <c r="H184" s="13">
        <f t="shared" si="8"/>
        <v>0</v>
      </c>
      <c r="J184" s="13">
        <f t="shared" si="9"/>
        <v>0</v>
      </c>
      <c r="K184" s="13">
        <f t="shared" si="10"/>
        <v>0</v>
      </c>
      <c r="L184" s="13" t="str" cm="1">
        <f t="array" ref="L184">_xlfn.IFS(J184&lt;1,"",J184=1,"Pass",J184&gt;1,_xlfn.TEXTJOIN("",TRUE,"Pass x",J184))</f>
        <v/>
      </c>
      <c r="M184" s="13" t="str" cm="1">
        <f t="array" ref="M184">_xlfn.IFS(K184&lt;1,"",K184=1,"Fail",K184&gt;1,_xlfn.TEXTJOIN("",TRUE,"Fail x",K184))</f>
        <v/>
      </c>
    </row>
    <row r="185" spans="8:13">
      <c r="H185" s="13">
        <f t="shared" si="8"/>
        <v>0</v>
      </c>
      <c r="J185" s="13">
        <f t="shared" si="9"/>
        <v>0</v>
      </c>
      <c r="K185" s="13">
        <f t="shared" si="10"/>
        <v>0</v>
      </c>
      <c r="L185" s="13" t="str" cm="1">
        <f t="array" ref="L185">_xlfn.IFS(J185&lt;1,"",J185=1,"Pass",J185&gt;1,_xlfn.TEXTJOIN("",TRUE,"Pass x",J185))</f>
        <v/>
      </c>
      <c r="M185" s="13" t="str" cm="1">
        <f t="array" ref="M185">_xlfn.IFS(K185&lt;1,"",K185=1,"Fail",K185&gt;1,_xlfn.TEXTJOIN("",TRUE,"Fail x",K185))</f>
        <v/>
      </c>
    </row>
    <row r="186" spans="8:13">
      <c r="H186" s="13">
        <f t="shared" si="8"/>
        <v>0</v>
      </c>
      <c r="J186" s="13">
        <f t="shared" si="9"/>
        <v>0</v>
      </c>
      <c r="K186" s="13">
        <f t="shared" si="10"/>
        <v>0</v>
      </c>
      <c r="L186" s="13" t="str" cm="1">
        <f t="array" ref="L186">_xlfn.IFS(J186&lt;1,"",J186=1,"Pass",J186&gt;1,_xlfn.TEXTJOIN("",TRUE,"Pass x",J186))</f>
        <v/>
      </c>
      <c r="M186" s="13" t="str" cm="1">
        <f t="array" ref="M186">_xlfn.IFS(K186&lt;1,"",K186=1,"Fail",K186&gt;1,_xlfn.TEXTJOIN("",TRUE,"Fail x",K186))</f>
        <v/>
      </c>
    </row>
    <row r="187" spans="8:13">
      <c r="H187" s="13">
        <f t="shared" si="8"/>
        <v>0</v>
      </c>
      <c r="J187" s="13">
        <f t="shared" si="9"/>
        <v>0</v>
      </c>
      <c r="K187" s="13">
        <f t="shared" si="10"/>
        <v>0</v>
      </c>
      <c r="L187" s="13" t="str" cm="1">
        <f t="array" ref="L187">_xlfn.IFS(J187&lt;1,"",J187=1,"Pass",J187&gt;1,_xlfn.TEXTJOIN("",TRUE,"Pass x",J187))</f>
        <v/>
      </c>
      <c r="M187" s="13" t="str" cm="1">
        <f t="array" ref="M187">_xlfn.IFS(K187&lt;1,"",K187=1,"Fail",K187&gt;1,_xlfn.TEXTJOIN("",TRUE,"Fail x",K187))</f>
        <v/>
      </c>
    </row>
    <row r="188" spans="8:13">
      <c r="H188" s="13">
        <f t="shared" si="8"/>
        <v>0</v>
      </c>
      <c r="J188" s="13">
        <f t="shared" si="9"/>
        <v>0</v>
      </c>
      <c r="K188" s="13">
        <f t="shared" si="10"/>
        <v>0</v>
      </c>
      <c r="L188" s="13" t="str" cm="1">
        <f t="array" ref="L188">_xlfn.IFS(J188&lt;1,"",J188=1,"Pass",J188&gt;1,_xlfn.TEXTJOIN("",TRUE,"Pass x",J188))</f>
        <v/>
      </c>
      <c r="M188" s="13" t="str" cm="1">
        <f t="array" ref="M188">_xlfn.IFS(K188&lt;1,"",K188=1,"Fail",K188&gt;1,_xlfn.TEXTJOIN("",TRUE,"Fail x",K188))</f>
        <v/>
      </c>
    </row>
    <row r="189" spans="8:13">
      <c r="H189" s="13">
        <f t="shared" si="8"/>
        <v>0</v>
      </c>
      <c r="J189" s="13">
        <f t="shared" si="9"/>
        <v>0</v>
      </c>
      <c r="K189" s="13">
        <f t="shared" si="10"/>
        <v>0</v>
      </c>
      <c r="L189" s="13" t="str" cm="1">
        <f t="array" ref="L189">_xlfn.IFS(J189&lt;1,"",J189=1,"Pass",J189&gt;1,_xlfn.TEXTJOIN("",TRUE,"Pass x",J189))</f>
        <v/>
      </c>
      <c r="M189" s="13" t="str" cm="1">
        <f t="array" ref="M189">_xlfn.IFS(K189&lt;1,"",K189=1,"Fail",K189&gt;1,_xlfn.TEXTJOIN("",TRUE,"Fail x",K189))</f>
        <v/>
      </c>
    </row>
    <row r="190" spans="8:13">
      <c r="H190" s="13">
        <f t="shared" si="8"/>
        <v>0</v>
      </c>
      <c r="J190" s="13">
        <f t="shared" si="9"/>
        <v>0</v>
      </c>
      <c r="K190" s="13">
        <f t="shared" si="10"/>
        <v>0</v>
      </c>
      <c r="L190" s="13" t="str" cm="1">
        <f t="array" ref="L190">_xlfn.IFS(J190&lt;1,"",J190=1,"Pass",J190&gt;1,_xlfn.TEXTJOIN("",TRUE,"Pass x",J190))</f>
        <v/>
      </c>
      <c r="M190" s="13" t="str" cm="1">
        <f t="array" ref="M190">_xlfn.IFS(K190&lt;1,"",K190=1,"Fail",K190&gt;1,_xlfn.TEXTJOIN("",TRUE,"Fail x",K190))</f>
        <v/>
      </c>
    </row>
    <row r="191" spans="8:13">
      <c r="H191" s="13">
        <f t="shared" si="8"/>
        <v>0</v>
      </c>
      <c r="J191" s="13">
        <f t="shared" si="9"/>
        <v>0</v>
      </c>
      <c r="K191" s="13">
        <f t="shared" si="10"/>
        <v>0</v>
      </c>
      <c r="L191" s="13" t="str" cm="1">
        <f t="array" ref="L191">_xlfn.IFS(J191&lt;1,"",J191=1,"Pass",J191&gt;1,_xlfn.TEXTJOIN("",TRUE,"Pass x",J191))</f>
        <v/>
      </c>
      <c r="M191" s="13" t="str" cm="1">
        <f t="array" ref="M191">_xlfn.IFS(K191&lt;1,"",K191=1,"Fail",K191&gt;1,_xlfn.TEXTJOIN("",TRUE,"Fail x",K191))</f>
        <v/>
      </c>
    </row>
    <row r="192" spans="8:13">
      <c r="H192" s="13">
        <f t="shared" si="8"/>
        <v>0</v>
      </c>
      <c r="J192" s="13">
        <f t="shared" si="9"/>
        <v>0</v>
      </c>
      <c r="K192" s="13">
        <f t="shared" si="10"/>
        <v>0</v>
      </c>
      <c r="L192" s="13" t="str" cm="1">
        <f t="array" ref="L192">_xlfn.IFS(J192&lt;1,"",J192=1,"Pass",J192&gt;1,_xlfn.TEXTJOIN("",TRUE,"Pass x",J192))</f>
        <v/>
      </c>
      <c r="M192" s="13" t="str" cm="1">
        <f t="array" ref="M192">_xlfn.IFS(K192&lt;1,"",K192=1,"Fail",K192&gt;1,_xlfn.TEXTJOIN("",TRUE,"Fail x",K192))</f>
        <v/>
      </c>
    </row>
    <row r="193" spans="8:13">
      <c r="H193" s="13">
        <f t="shared" si="8"/>
        <v>0</v>
      </c>
      <c r="J193" s="13">
        <f t="shared" si="9"/>
        <v>0</v>
      </c>
      <c r="K193" s="13">
        <f t="shared" si="10"/>
        <v>0</v>
      </c>
      <c r="L193" s="13" t="str" cm="1">
        <f t="array" ref="L193">_xlfn.IFS(J193&lt;1,"",J193=1,"Pass",J193&gt;1,_xlfn.TEXTJOIN("",TRUE,"Pass x",J193))</f>
        <v/>
      </c>
      <c r="M193" s="13" t="str" cm="1">
        <f t="array" ref="M193">_xlfn.IFS(K193&lt;1,"",K193=1,"Fail",K193&gt;1,_xlfn.TEXTJOIN("",TRUE,"Fail x",K193))</f>
        <v/>
      </c>
    </row>
    <row r="194" spans="8:13">
      <c r="H194" s="13">
        <f t="shared" si="8"/>
        <v>0</v>
      </c>
      <c r="J194" s="13">
        <f t="shared" si="9"/>
        <v>0</v>
      </c>
      <c r="K194" s="13">
        <f t="shared" si="10"/>
        <v>0</v>
      </c>
      <c r="L194" s="13" t="str" cm="1">
        <f t="array" ref="L194">_xlfn.IFS(J194&lt;1,"",J194=1,"Pass",J194&gt;1,_xlfn.TEXTJOIN("",TRUE,"Pass x",J194))</f>
        <v/>
      </c>
      <c r="M194" s="13" t="str" cm="1">
        <f t="array" ref="M194">_xlfn.IFS(K194&lt;1,"",K194=1,"Fail",K194&gt;1,_xlfn.TEXTJOIN("",TRUE,"Fail x",K194))</f>
        <v/>
      </c>
    </row>
    <row r="195" spans="8:13">
      <c r="H195" s="13">
        <f t="shared" ref="H195:H258" si="11">IFERROR(GETPIVOTDATA("Successful / Failed",$A$1,"System serial",G195),0)</f>
        <v>0</v>
      </c>
      <c r="J195" s="13">
        <f t="shared" ref="J195:J258" si="12">IFERROR(GETPIVOTDATA("Successful / Failed",$A$1,"System serial",G195,"Successful / Failed","Successful"),0)</f>
        <v>0</v>
      </c>
      <c r="K195" s="13">
        <f t="shared" ref="K195:K253" si="13">IFERROR(GETPIVOTDATA("Successful / Failed",$A$1,"System serial",G195,"Successful / Failed","Failed"),0)</f>
        <v>0</v>
      </c>
      <c r="L195" s="13" t="str" cm="1">
        <f t="array" ref="L195">_xlfn.IFS(J195&lt;1,"",J195=1,"Pass",J195&gt;1,_xlfn.TEXTJOIN("",TRUE,"Pass x",J195))</f>
        <v/>
      </c>
      <c r="M195" s="13" t="str" cm="1">
        <f t="array" ref="M195">_xlfn.IFS(K195&lt;1,"",K195=1,"Fail",K195&gt;1,_xlfn.TEXTJOIN("",TRUE,"Fail x",K195))</f>
        <v/>
      </c>
    </row>
    <row r="196" spans="8:13">
      <c r="H196" s="13">
        <f t="shared" si="11"/>
        <v>0</v>
      </c>
      <c r="J196" s="13">
        <f t="shared" si="12"/>
        <v>0</v>
      </c>
      <c r="K196" s="13">
        <f t="shared" si="13"/>
        <v>0</v>
      </c>
      <c r="L196" s="13" t="str" cm="1">
        <f t="array" ref="L196">_xlfn.IFS(J196&lt;1,"",J196=1,"Pass",J196&gt;1,_xlfn.TEXTJOIN("",TRUE,"Pass x",J196))</f>
        <v/>
      </c>
      <c r="M196" s="13" t="str" cm="1">
        <f t="array" ref="M196">_xlfn.IFS(K196&lt;1,"",K196=1,"Fail",K196&gt;1,_xlfn.TEXTJOIN("",TRUE,"Fail x",K196))</f>
        <v/>
      </c>
    </row>
    <row r="197" spans="8:13">
      <c r="H197" s="13">
        <f t="shared" si="11"/>
        <v>0</v>
      </c>
      <c r="J197" s="13">
        <f t="shared" si="12"/>
        <v>0</v>
      </c>
      <c r="K197" s="13">
        <f t="shared" si="13"/>
        <v>0</v>
      </c>
      <c r="L197" s="13" t="str" cm="1">
        <f t="array" ref="L197">_xlfn.IFS(J197&lt;1,"",J197=1,"Pass",J197&gt;1,_xlfn.TEXTJOIN("",TRUE,"Pass x",J197))</f>
        <v/>
      </c>
      <c r="M197" s="13" t="str" cm="1">
        <f t="array" ref="M197">_xlfn.IFS(K197&lt;1,"",K197=1,"Fail",K197&gt;1,_xlfn.TEXTJOIN("",TRUE,"Fail x",K197))</f>
        <v/>
      </c>
    </row>
    <row r="198" spans="8:13">
      <c r="H198" s="13">
        <f t="shared" si="11"/>
        <v>0</v>
      </c>
      <c r="J198" s="13">
        <f t="shared" si="12"/>
        <v>0</v>
      </c>
      <c r="K198" s="13">
        <f t="shared" si="13"/>
        <v>0</v>
      </c>
      <c r="L198" s="13" t="str" cm="1">
        <f t="array" ref="L198">_xlfn.IFS(J198&lt;1,"",J198=1,"Pass",J198&gt;1,_xlfn.TEXTJOIN("",TRUE,"Pass x",J198))</f>
        <v/>
      </c>
      <c r="M198" s="13" t="str" cm="1">
        <f t="array" ref="M198">_xlfn.IFS(K198&lt;1,"",K198=1,"Fail",K198&gt;1,_xlfn.TEXTJOIN("",TRUE,"Fail x",K198))</f>
        <v/>
      </c>
    </row>
    <row r="199" spans="8:13">
      <c r="H199" s="13">
        <f t="shared" si="11"/>
        <v>0</v>
      </c>
      <c r="J199" s="13">
        <f t="shared" si="12"/>
        <v>0</v>
      </c>
      <c r="K199" s="13">
        <f t="shared" si="13"/>
        <v>0</v>
      </c>
      <c r="L199" s="13" t="str" cm="1">
        <f t="array" ref="L199">_xlfn.IFS(J199&lt;1,"",J199=1,"Pass",J199&gt;1,_xlfn.TEXTJOIN("",TRUE,"Pass x",J199))</f>
        <v/>
      </c>
      <c r="M199" s="13" t="str" cm="1">
        <f t="array" ref="M199">_xlfn.IFS(K199&lt;1,"",K199=1,"Fail",K199&gt;1,_xlfn.TEXTJOIN("",TRUE,"Fail x",K199))</f>
        <v/>
      </c>
    </row>
    <row r="200" spans="8:13">
      <c r="H200" s="13">
        <f t="shared" si="11"/>
        <v>0</v>
      </c>
      <c r="J200" s="13">
        <f t="shared" si="12"/>
        <v>0</v>
      </c>
      <c r="K200" s="13">
        <f t="shared" si="13"/>
        <v>0</v>
      </c>
      <c r="L200" s="13" t="str" cm="1">
        <f t="array" ref="L200">_xlfn.IFS(J200&lt;1,"",J200=1,"Pass",J200&gt;1,_xlfn.TEXTJOIN("",TRUE,"Pass x",J200))</f>
        <v/>
      </c>
      <c r="M200" s="13" t="str" cm="1">
        <f t="array" ref="M200">_xlfn.IFS(K200&lt;1,"",K200=1,"Fail",K200&gt;1,_xlfn.TEXTJOIN("",TRUE,"Fail x",K200))</f>
        <v/>
      </c>
    </row>
    <row r="201" spans="8:13">
      <c r="H201" s="13">
        <f t="shared" si="11"/>
        <v>0</v>
      </c>
      <c r="J201" s="13">
        <f t="shared" si="12"/>
        <v>0</v>
      </c>
      <c r="K201" s="13">
        <f t="shared" si="13"/>
        <v>0</v>
      </c>
      <c r="L201" s="13" t="str" cm="1">
        <f t="array" ref="L201">_xlfn.IFS(J201&lt;1,"",J201=1,"Pass",J201&gt;1,_xlfn.TEXTJOIN("",TRUE,"Pass x",J201))</f>
        <v/>
      </c>
      <c r="M201" s="13" t="str" cm="1">
        <f t="array" ref="M201">_xlfn.IFS(K201&lt;1,"",K201=1,"Fail",K201&gt;1,_xlfn.TEXTJOIN("",TRUE,"Fail x",K201))</f>
        <v/>
      </c>
    </row>
    <row r="202" spans="8:13">
      <c r="H202" s="13">
        <f t="shared" si="11"/>
        <v>0</v>
      </c>
      <c r="J202" s="13">
        <f t="shared" si="12"/>
        <v>0</v>
      </c>
      <c r="K202" s="13">
        <f t="shared" si="13"/>
        <v>0</v>
      </c>
      <c r="L202" s="13" t="str" cm="1">
        <f t="array" ref="L202">_xlfn.IFS(J202&lt;1,"",J202=1,"Pass",J202&gt;1,_xlfn.TEXTJOIN("",TRUE,"Pass x",J202))</f>
        <v/>
      </c>
      <c r="M202" s="13" t="str" cm="1">
        <f t="array" ref="M202">_xlfn.IFS(K202&lt;1,"",K202=1,"Fail",K202&gt;1,_xlfn.TEXTJOIN("",TRUE,"Fail x",K202))</f>
        <v/>
      </c>
    </row>
    <row r="203" spans="8:13">
      <c r="H203" s="13">
        <f t="shared" si="11"/>
        <v>0</v>
      </c>
      <c r="J203" s="13">
        <f t="shared" si="12"/>
        <v>0</v>
      </c>
      <c r="K203" s="13">
        <f t="shared" si="13"/>
        <v>0</v>
      </c>
      <c r="L203" s="13" t="str" cm="1">
        <f t="array" ref="L203">_xlfn.IFS(J203&lt;1,"",J203=1,"Pass",J203&gt;1,_xlfn.TEXTJOIN("",TRUE,"Pass x",J203))</f>
        <v/>
      </c>
      <c r="M203" s="13" t="str" cm="1">
        <f t="array" ref="M203">_xlfn.IFS(K203&lt;1,"",K203=1,"Fail",K203&gt;1,_xlfn.TEXTJOIN("",TRUE,"Fail x",K203))</f>
        <v/>
      </c>
    </row>
    <row r="204" spans="8:13">
      <c r="H204" s="13">
        <f t="shared" si="11"/>
        <v>0</v>
      </c>
      <c r="J204" s="13">
        <f t="shared" si="12"/>
        <v>0</v>
      </c>
      <c r="K204" s="13">
        <f t="shared" si="13"/>
        <v>0</v>
      </c>
      <c r="L204" s="13" t="str" cm="1">
        <f t="array" ref="L204">_xlfn.IFS(J204&lt;1,"",J204=1,"Pass",J204&gt;1,_xlfn.TEXTJOIN("",TRUE,"Pass x",J204))</f>
        <v/>
      </c>
      <c r="M204" s="13" t="str" cm="1">
        <f t="array" ref="M204">_xlfn.IFS(K204&lt;1,"",K204=1,"Fail",K204&gt;1,_xlfn.TEXTJOIN("",TRUE,"Fail x",K204))</f>
        <v/>
      </c>
    </row>
    <row r="205" spans="8:13">
      <c r="H205" s="13">
        <f t="shared" si="11"/>
        <v>0</v>
      </c>
      <c r="J205" s="13">
        <f t="shared" si="12"/>
        <v>0</v>
      </c>
      <c r="K205" s="13">
        <f t="shared" si="13"/>
        <v>0</v>
      </c>
      <c r="L205" s="13" t="str" cm="1">
        <f t="array" ref="L205">_xlfn.IFS(J205&lt;1,"",J205=1,"Pass",J205&gt;1,_xlfn.TEXTJOIN("",TRUE,"Pass x",J205))</f>
        <v/>
      </c>
      <c r="M205" s="13" t="str" cm="1">
        <f t="array" ref="M205">_xlfn.IFS(K205&lt;1,"",K205=1,"Fail",K205&gt;1,_xlfn.TEXTJOIN("",TRUE,"Fail x",K205))</f>
        <v/>
      </c>
    </row>
    <row r="206" spans="8:13">
      <c r="H206" s="13">
        <f t="shared" si="11"/>
        <v>0</v>
      </c>
      <c r="J206" s="13">
        <f t="shared" si="12"/>
        <v>0</v>
      </c>
      <c r="K206" s="13">
        <f t="shared" si="13"/>
        <v>0</v>
      </c>
      <c r="L206" s="13" t="str" cm="1">
        <f t="array" ref="L206">_xlfn.IFS(J206&lt;1,"",J206=1,"Pass",J206&gt;1,_xlfn.TEXTJOIN("",TRUE,"Pass x",J206))</f>
        <v/>
      </c>
      <c r="M206" s="13" t="str" cm="1">
        <f t="array" ref="M206">_xlfn.IFS(K206&lt;1,"",K206=1,"Fail",K206&gt;1,_xlfn.TEXTJOIN("",TRUE,"Fail x",K206))</f>
        <v/>
      </c>
    </row>
    <row r="207" spans="8:13">
      <c r="H207" s="13">
        <f t="shared" si="11"/>
        <v>0</v>
      </c>
      <c r="J207" s="13">
        <f t="shared" si="12"/>
        <v>0</v>
      </c>
      <c r="K207" s="13">
        <f t="shared" si="13"/>
        <v>0</v>
      </c>
      <c r="L207" s="13" t="str" cm="1">
        <f t="array" ref="L207">_xlfn.IFS(J207&lt;1,"",J207=1,"Pass",J207&gt;1,_xlfn.TEXTJOIN("",TRUE,"Pass x",J207))</f>
        <v/>
      </c>
      <c r="M207" s="13" t="str" cm="1">
        <f t="array" ref="M207">_xlfn.IFS(K207&lt;1,"",K207=1,"Fail",K207&gt;1,_xlfn.TEXTJOIN("",TRUE,"Fail x",K207))</f>
        <v/>
      </c>
    </row>
    <row r="208" spans="8:13">
      <c r="H208" s="13">
        <f t="shared" si="11"/>
        <v>0</v>
      </c>
      <c r="J208" s="13">
        <f t="shared" si="12"/>
        <v>0</v>
      </c>
      <c r="K208" s="13">
        <f t="shared" si="13"/>
        <v>0</v>
      </c>
      <c r="L208" s="13" t="str" cm="1">
        <f t="array" ref="L208">_xlfn.IFS(J208&lt;1,"",J208=1,"Pass",J208&gt;1,_xlfn.TEXTJOIN("",TRUE,"Pass x",J208))</f>
        <v/>
      </c>
      <c r="M208" s="13" t="str" cm="1">
        <f t="array" ref="M208">_xlfn.IFS(K208&lt;1,"",K208=1,"Fail",K208&gt;1,_xlfn.TEXTJOIN("",TRUE,"Fail x",K208))</f>
        <v/>
      </c>
    </row>
    <row r="209" spans="8:13">
      <c r="H209" s="13">
        <f t="shared" si="11"/>
        <v>0</v>
      </c>
      <c r="J209" s="13">
        <f t="shared" si="12"/>
        <v>0</v>
      </c>
      <c r="K209" s="13">
        <f t="shared" si="13"/>
        <v>0</v>
      </c>
      <c r="L209" s="13" t="str" cm="1">
        <f t="array" ref="L209">_xlfn.IFS(J209&lt;1,"",J209=1,"Pass",J209&gt;1,_xlfn.TEXTJOIN("",TRUE,"Pass x",J209))</f>
        <v/>
      </c>
      <c r="M209" s="13" t="str" cm="1">
        <f t="array" ref="M209">_xlfn.IFS(K209&lt;1,"",K209=1,"Fail",K209&gt;1,_xlfn.TEXTJOIN("",TRUE,"Fail x",K209))</f>
        <v/>
      </c>
    </row>
    <row r="210" spans="8:13">
      <c r="H210" s="13">
        <f t="shared" si="11"/>
        <v>0</v>
      </c>
      <c r="J210" s="13">
        <f t="shared" si="12"/>
        <v>0</v>
      </c>
      <c r="K210" s="13">
        <f t="shared" si="13"/>
        <v>0</v>
      </c>
      <c r="L210" s="13" t="str" cm="1">
        <f t="array" ref="L210">_xlfn.IFS(J210&lt;1,"",J210=1,"Pass",J210&gt;1,_xlfn.TEXTJOIN("",TRUE,"Pass x",J210))</f>
        <v/>
      </c>
      <c r="M210" s="13" t="str" cm="1">
        <f t="array" ref="M210">_xlfn.IFS(K210&lt;1,"",K210=1,"Fail",K210&gt;1,_xlfn.TEXTJOIN("",TRUE,"Fail x",K210))</f>
        <v/>
      </c>
    </row>
    <row r="211" spans="8:13">
      <c r="H211" s="13">
        <f t="shared" si="11"/>
        <v>0</v>
      </c>
      <c r="J211" s="13">
        <f t="shared" si="12"/>
        <v>0</v>
      </c>
      <c r="K211" s="13">
        <f t="shared" si="13"/>
        <v>0</v>
      </c>
      <c r="L211" s="13" t="str" cm="1">
        <f t="array" ref="L211">_xlfn.IFS(J211&lt;1,"",J211=1,"Pass",J211&gt;1,_xlfn.TEXTJOIN("",TRUE,"Pass x",J211))</f>
        <v/>
      </c>
      <c r="M211" s="13" t="str" cm="1">
        <f t="array" ref="M211">_xlfn.IFS(K211&lt;1,"",K211=1,"Fail",K211&gt;1,_xlfn.TEXTJOIN("",TRUE,"Fail x",K211))</f>
        <v/>
      </c>
    </row>
    <row r="212" spans="8:13">
      <c r="H212" s="13">
        <f t="shared" si="11"/>
        <v>0</v>
      </c>
      <c r="J212" s="13">
        <f t="shared" si="12"/>
        <v>0</v>
      </c>
      <c r="K212" s="13">
        <f t="shared" si="13"/>
        <v>0</v>
      </c>
      <c r="L212" s="13" t="str" cm="1">
        <f t="array" ref="L212">_xlfn.IFS(J212&lt;1,"",J212=1,"Pass",J212&gt;1,_xlfn.TEXTJOIN("",TRUE,"Pass x",J212))</f>
        <v/>
      </c>
      <c r="M212" s="13" t="str" cm="1">
        <f t="array" ref="M212">_xlfn.IFS(K212&lt;1,"",K212=1,"Fail",K212&gt;1,_xlfn.TEXTJOIN("",TRUE,"Fail x",K212))</f>
        <v/>
      </c>
    </row>
    <row r="213" spans="8:13">
      <c r="H213" s="13">
        <f t="shared" si="11"/>
        <v>0</v>
      </c>
      <c r="J213" s="13">
        <f t="shared" si="12"/>
        <v>0</v>
      </c>
      <c r="K213" s="13">
        <f t="shared" si="13"/>
        <v>0</v>
      </c>
      <c r="L213" s="13" t="str" cm="1">
        <f t="array" ref="L213">_xlfn.IFS(J213&lt;1,"",J213=1,"Pass",J213&gt;1,_xlfn.TEXTJOIN("",TRUE,"Pass x",J213))</f>
        <v/>
      </c>
      <c r="M213" s="13" t="str" cm="1">
        <f t="array" ref="M213">_xlfn.IFS(K213&lt;1,"",K213=1,"Fail",K213&gt;1,_xlfn.TEXTJOIN("",TRUE,"Fail x",K213))</f>
        <v/>
      </c>
    </row>
    <row r="214" spans="8:13">
      <c r="H214" s="13">
        <f t="shared" si="11"/>
        <v>0</v>
      </c>
      <c r="J214" s="13">
        <f t="shared" si="12"/>
        <v>0</v>
      </c>
      <c r="K214" s="13">
        <f t="shared" si="13"/>
        <v>0</v>
      </c>
      <c r="L214" s="13" t="str" cm="1">
        <f t="array" ref="L214">_xlfn.IFS(J214&lt;1,"",J214=1,"Pass",J214&gt;1,_xlfn.TEXTJOIN("",TRUE,"Pass x",J214))</f>
        <v/>
      </c>
      <c r="M214" s="13" t="str" cm="1">
        <f t="array" ref="M214">_xlfn.IFS(K214&lt;1,"",K214=1,"Fail",K214&gt;1,_xlfn.TEXTJOIN("",TRUE,"Fail x",K214))</f>
        <v/>
      </c>
    </row>
    <row r="215" spans="8:13">
      <c r="H215" s="13">
        <f t="shared" si="11"/>
        <v>0</v>
      </c>
      <c r="J215" s="13">
        <f t="shared" si="12"/>
        <v>0</v>
      </c>
      <c r="K215" s="13">
        <f t="shared" si="13"/>
        <v>0</v>
      </c>
      <c r="L215" s="13" t="str" cm="1">
        <f t="array" ref="L215">_xlfn.IFS(J215&lt;1,"",J215=1,"Pass",J215&gt;1,_xlfn.TEXTJOIN("",TRUE,"Pass x",J215))</f>
        <v/>
      </c>
      <c r="M215" s="13" t="str" cm="1">
        <f t="array" ref="M215">_xlfn.IFS(K215&lt;1,"",K215=1,"Fail",K215&gt;1,_xlfn.TEXTJOIN("",TRUE,"Fail x",K215))</f>
        <v/>
      </c>
    </row>
    <row r="216" spans="8:13">
      <c r="H216" s="13">
        <f t="shared" si="11"/>
        <v>0</v>
      </c>
      <c r="J216" s="13">
        <f t="shared" si="12"/>
        <v>0</v>
      </c>
      <c r="K216" s="13">
        <f t="shared" si="13"/>
        <v>0</v>
      </c>
      <c r="L216" s="13" t="str" cm="1">
        <f t="array" ref="L216">_xlfn.IFS(J216&lt;1,"",J216=1,"Pass",J216&gt;1,_xlfn.TEXTJOIN("",TRUE,"Pass x",J216))</f>
        <v/>
      </c>
      <c r="M216" s="13" t="str" cm="1">
        <f t="array" ref="M216">_xlfn.IFS(K216&lt;1,"",K216=1,"Fail",K216&gt;1,_xlfn.TEXTJOIN("",TRUE,"Fail x",K216))</f>
        <v/>
      </c>
    </row>
    <row r="217" spans="8:13">
      <c r="H217" s="13">
        <f t="shared" si="11"/>
        <v>0</v>
      </c>
      <c r="J217" s="13">
        <f t="shared" si="12"/>
        <v>0</v>
      </c>
      <c r="K217" s="13">
        <f t="shared" si="13"/>
        <v>0</v>
      </c>
      <c r="L217" s="13" t="str" cm="1">
        <f t="array" ref="L217">_xlfn.IFS(J217&lt;1,"",J217=1,"Pass",J217&gt;1,_xlfn.TEXTJOIN("",TRUE,"Pass x",J217))</f>
        <v/>
      </c>
      <c r="M217" s="13" t="str" cm="1">
        <f t="array" ref="M217">_xlfn.IFS(K217&lt;1,"",K217=1,"Fail",K217&gt;1,_xlfn.TEXTJOIN("",TRUE,"Fail x",K217))</f>
        <v/>
      </c>
    </row>
    <row r="218" spans="8:13">
      <c r="H218" s="13">
        <f t="shared" si="11"/>
        <v>0</v>
      </c>
      <c r="J218" s="13">
        <f t="shared" si="12"/>
        <v>0</v>
      </c>
      <c r="K218" s="13">
        <f t="shared" si="13"/>
        <v>0</v>
      </c>
      <c r="L218" s="13" t="str" cm="1">
        <f t="array" ref="L218">_xlfn.IFS(J218&lt;1,"",J218=1,"Pass",J218&gt;1,_xlfn.TEXTJOIN("",TRUE,"Pass x",J218))</f>
        <v/>
      </c>
      <c r="M218" s="13" t="str" cm="1">
        <f t="array" ref="M218">_xlfn.IFS(K218&lt;1,"",K218=1,"Fail",K218&gt;1,_xlfn.TEXTJOIN("",TRUE,"Fail x",K218))</f>
        <v/>
      </c>
    </row>
    <row r="219" spans="8:13">
      <c r="H219" s="13">
        <f t="shared" si="11"/>
        <v>0</v>
      </c>
      <c r="J219" s="13">
        <f t="shared" si="12"/>
        <v>0</v>
      </c>
      <c r="K219" s="13">
        <f t="shared" si="13"/>
        <v>0</v>
      </c>
      <c r="L219" s="13" t="str" cm="1">
        <f t="array" ref="L219">_xlfn.IFS(J219&lt;1,"",J219=1,"Pass",J219&gt;1,_xlfn.TEXTJOIN("",TRUE,"Pass x",J219))</f>
        <v/>
      </c>
      <c r="M219" s="13" t="str" cm="1">
        <f t="array" ref="M219">_xlfn.IFS(K219&lt;1,"",K219=1,"Fail",K219&gt;1,_xlfn.TEXTJOIN("",TRUE,"Fail x",K219))</f>
        <v/>
      </c>
    </row>
    <row r="220" spans="8:13">
      <c r="H220" s="13">
        <f t="shared" si="11"/>
        <v>0</v>
      </c>
      <c r="J220" s="13">
        <f t="shared" si="12"/>
        <v>0</v>
      </c>
      <c r="K220" s="13">
        <f t="shared" si="13"/>
        <v>0</v>
      </c>
      <c r="L220" s="13" t="str" cm="1">
        <f t="array" ref="L220">_xlfn.IFS(J220&lt;1,"",J220=1,"Pass",J220&gt;1,_xlfn.TEXTJOIN("",TRUE,"Pass x",J220))</f>
        <v/>
      </c>
      <c r="M220" s="13" t="str" cm="1">
        <f t="array" ref="M220">_xlfn.IFS(K220&lt;1,"",K220=1,"Fail",K220&gt;1,_xlfn.TEXTJOIN("",TRUE,"Fail x",K220))</f>
        <v/>
      </c>
    </row>
    <row r="221" spans="8:13">
      <c r="H221" s="13">
        <f t="shared" si="11"/>
        <v>0</v>
      </c>
      <c r="J221" s="13">
        <f t="shared" si="12"/>
        <v>0</v>
      </c>
      <c r="K221" s="13">
        <f t="shared" si="13"/>
        <v>0</v>
      </c>
      <c r="L221" s="13" t="str" cm="1">
        <f t="array" ref="L221">_xlfn.IFS(J221&lt;1,"",J221=1,"Pass",J221&gt;1,_xlfn.TEXTJOIN("",TRUE,"Pass x",J221))</f>
        <v/>
      </c>
      <c r="M221" s="13" t="str" cm="1">
        <f t="array" ref="M221">_xlfn.IFS(K221&lt;1,"",K221=1,"Fail",K221&gt;1,_xlfn.TEXTJOIN("",TRUE,"Fail x",K221))</f>
        <v/>
      </c>
    </row>
    <row r="222" spans="8:13">
      <c r="H222" s="13">
        <f t="shared" si="11"/>
        <v>0</v>
      </c>
      <c r="J222" s="13">
        <f t="shared" si="12"/>
        <v>0</v>
      </c>
      <c r="K222" s="13">
        <f t="shared" si="13"/>
        <v>0</v>
      </c>
      <c r="L222" s="13" t="str" cm="1">
        <f t="array" ref="L222">_xlfn.IFS(J222&lt;1,"",J222=1,"Pass",J222&gt;1,_xlfn.TEXTJOIN("",TRUE,"Pass x",J222))</f>
        <v/>
      </c>
      <c r="M222" s="13" t="str" cm="1">
        <f t="array" ref="M222">_xlfn.IFS(K222&lt;1,"",K222=1,"Fail",K222&gt;1,_xlfn.TEXTJOIN("",TRUE,"Fail x",K222))</f>
        <v/>
      </c>
    </row>
    <row r="223" spans="8:13">
      <c r="H223" s="13">
        <f t="shared" si="11"/>
        <v>0</v>
      </c>
      <c r="J223" s="13">
        <f t="shared" si="12"/>
        <v>0</v>
      </c>
      <c r="K223" s="13">
        <f t="shared" si="13"/>
        <v>0</v>
      </c>
      <c r="L223" s="13" t="str" cm="1">
        <f t="array" ref="L223">_xlfn.IFS(J223&lt;1,"",J223=1,"Pass",J223&gt;1,_xlfn.TEXTJOIN("",TRUE,"Pass x",J223))</f>
        <v/>
      </c>
      <c r="M223" s="13" t="str" cm="1">
        <f t="array" ref="M223">_xlfn.IFS(K223&lt;1,"",K223=1,"Fail",K223&gt;1,_xlfn.TEXTJOIN("",TRUE,"Fail x",K223))</f>
        <v/>
      </c>
    </row>
    <row r="224" spans="8:13">
      <c r="H224" s="13">
        <f t="shared" si="11"/>
        <v>0</v>
      </c>
      <c r="J224" s="13">
        <f t="shared" si="12"/>
        <v>0</v>
      </c>
      <c r="K224" s="13">
        <f t="shared" si="13"/>
        <v>0</v>
      </c>
      <c r="L224" s="13" t="str" cm="1">
        <f t="array" ref="L224">_xlfn.IFS(J224&lt;1,"",J224=1,"Pass",J224&gt;1,_xlfn.TEXTJOIN("",TRUE,"Pass x",J224))</f>
        <v/>
      </c>
      <c r="M224" s="13" t="str" cm="1">
        <f t="array" ref="M224">_xlfn.IFS(K224&lt;1,"",K224=1,"Fail",K224&gt;1,_xlfn.TEXTJOIN("",TRUE,"Fail x",K224))</f>
        <v/>
      </c>
    </row>
    <row r="225" spans="8:13">
      <c r="H225" s="13">
        <f t="shared" si="11"/>
        <v>0</v>
      </c>
      <c r="J225" s="13">
        <f t="shared" si="12"/>
        <v>0</v>
      </c>
      <c r="K225" s="13">
        <f t="shared" si="13"/>
        <v>0</v>
      </c>
      <c r="L225" s="13" t="str" cm="1">
        <f t="array" ref="L225">_xlfn.IFS(J225&lt;1,"",J225=1,"Pass",J225&gt;1,_xlfn.TEXTJOIN("",TRUE,"Pass x",J225))</f>
        <v/>
      </c>
      <c r="M225" s="13" t="str" cm="1">
        <f t="array" ref="M225">_xlfn.IFS(K225&lt;1,"",K225=1,"Fail",K225&gt;1,_xlfn.TEXTJOIN("",TRUE,"Fail x",K225))</f>
        <v/>
      </c>
    </row>
    <row r="226" spans="8:13">
      <c r="H226" s="13">
        <f t="shared" si="11"/>
        <v>0</v>
      </c>
      <c r="J226" s="13">
        <f t="shared" si="12"/>
        <v>0</v>
      </c>
      <c r="K226" s="13">
        <f t="shared" si="13"/>
        <v>0</v>
      </c>
      <c r="L226" s="13" t="str" cm="1">
        <f t="array" ref="L226">_xlfn.IFS(J226&lt;1,"",J226=1,"Pass",J226&gt;1,_xlfn.TEXTJOIN("",TRUE,"Pass x",J226))</f>
        <v/>
      </c>
      <c r="M226" s="13" t="str" cm="1">
        <f t="array" ref="M226">_xlfn.IFS(K226&lt;1,"",K226=1,"Fail",K226&gt;1,_xlfn.TEXTJOIN("",TRUE,"Fail x",K226))</f>
        <v/>
      </c>
    </row>
    <row r="227" spans="8:13">
      <c r="H227" s="13">
        <f t="shared" si="11"/>
        <v>0</v>
      </c>
      <c r="J227" s="13">
        <f t="shared" si="12"/>
        <v>0</v>
      </c>
      <c r="K227" s="13">
        <f t="shared" si="13"/>
        <v>0</v>
      </c>
      <c r="L227" s="13" t="str" cm="1">
        <f t="array" ref="L227">_xlfn.IFS(J227&lt;1,"",J227=1,"Pass",J227&gt;1,_xlfn.TEXTJOIN("",TRUE,"Pass x",J227))</f>
        <v/>
      </c>
      <c r="M227" s="13" t="str" cm="1">
        <f t="array" ref="M227">_xlfn.IFS(K227&lt;1,"",K227=1,"Fail",K227&gt;1,_xlfn.TEXTJOIN("",TRUE,"Fail x",K227))</f>
        <v/>
      </c>
    </row>
    <row r="228" spans="8:13">
      <c r="H228" s="13">
        <f t="shared" si="11"/>
        <v>0</v>
      </c>
      <c r="J228" s="13">
        <f t="shared" si="12"/>
        <v>0</v>
      </c>
      <c r="K228" s="13">
        <f t="shared" si="13"/>
        <v>0</v>
      </c>
      <c r="L228" s="13" t="str" cm="1">
        <f t="array" ref="L228">_xlfn.IFS(J228&lt;1,"",J228=1,"Pass",J228&gt;1,_xlfn.TEXTJOIN("",TRUE,"Pass x",J228))</f>
        <v/>
      </c>
      <c r="M228" s="13" t="str" cm="1">
        <f t="array" ref="M228">_xlfn.IFS(K228&lt;1,"",K228=1,"Fail",K228&gt;1,_xlfn.TEXTJOIN("",TRUE,"Fail x",K228))</f>
        <v/>
      </c>
    </row>
    <row r="229" spans="8:13">
      <c r="H229" s="13">
        <f t="shared" si="11"/>
        <v>0</v>
      </c>
      <c r="J229" s="13">
        <f t="shared" si="12"/>
        <v>0</v>
      </c>
      <c r="K229" s="13">
        <f t="shared" si="13"/>
        <v>0</v>
      </c>
      <c r="L229" s="13" t="str" cm="1">
        <f t="array" ref="L229">_xlfn.IFS(J229&lt;1,"",J229=1,"Pass",J229&gt;1,_xlfn.TEXTJOIN("",TRUE,"Pass x",J229))</f>
        <v/>
      </c>
      <c r="M229" s="13" t="str" cm="1">
        <f t="array" ref="M229">_xlfn.IFS(K229&lt;1,"",K229=1,"Fail",K229&gt;1,_xlfn.TEXTJOIN("",TRUE,"Fail x",K229))</f>
        <v/>
      </c>
    </row>
    <row r="230" spans="8:13">
      <c r="H230" s="13">
        <f t="shared" si="11"/>
        <v>0</v>
      </c>
      <c r="J230" s="13">
        <f t="shared" si="12"/>
        <v>0</v>
      </c>
      <c r="K230" s="13">
        <f t="shared" si="13"/>
        <v>0</v>
      </c>
      <c r="L230" s="13" t="str" cm="1">
        <f t="array" ref="L230">_xlfn.IFS(J230&lt;1,"",J230=1,"Pass",J230&gt;1,_xlfn.TEXTJOIN("",TRUE,"Pass x",J230))</f>
        <v/>
      </c>
      <c r="M230" s="13" t="str" cm="1">
        <f t="array" ref="M230">_xlfn.IFS(K230&lt;1,"",K230=1,"Fail",K230&gt;1,_xlfn.TEXTJOIN("",TRUE,"Fail x",K230))</f>
        <v/>
      </c>
    </row>
    <row r="231" spans="8:13">
      <c r="H231" s="13">
        <f t="shared" si="11"/>
        <v>0</v>
      </c>
      <c r="J231" s="13">
        <f t="shared" si="12"/>
        <v>0</v>
      </c>
      <c r="K231" s="13">
        <f t="shared" si="13"/>
        <v>0</v>
      </c>
      <c r="L231" s="13" t="str" cm="1">
        <f t="array" ref="L231">_xlfn.IFS(J231&lt;1,"",J231=1,"Pass",J231&gt;1,_xlfn.TEXTJOIN("",TRUE,"Pass x",J231))</f>
        <v/>
      </c>
      <c r="M231" s="13" t="str" cm="1">
        <f t="array" ref="M231">_xlfn.IFS(K231&lt;1,"",K231=1,"Fail",K231&gt;1,_xlfn.TEXTJOIN("",TRUE,"Fail x",K231))</f>
        <v/>
      </c>
    </row>
    <row r="232" spans="8:13">
      <c r="H232" s="13">
        <f t="shared" si="11"/>
        <v>0</v>
      </c>
      <c r="J232" s="13">
        <f t="shared" si="12"/>
        <v>0</v>
      </c>
      <c r="K232" s="13">
        <f t="shared" si="13"/>
        <v>0</v>
      </c>
      <c r="L232" s="13" t="str" cm="1">
        <f t="array" ref="L232">_xlfn.IFS(J232&lt;1,"",J232=1,"Pass",J232&gt;1,_xlfn.TEXTJOIN("",TRUE,"Pass x",J232))</f>
        <v/>
      </c>
      <c r="M232" s="13" t="str" cm="1">
        <f t="array" ref="M232">_xlfn.IFS(K232&lt;1,"",K232=1,"Fail",K232&gt;1,_xlfn.TEXTJOIN("",TRUE,"Fail x",K232))</f>
        <v/>
      </c>
    </row>
    <row r="233" spans="8:13">
      <c r="H233" s="13">
        <f t="shared" si="11"/>
        <v>0</v>
      </c>
      <c r="J233" s="13">
        <f t="shared" si="12"/>
        <v>0</v>
      </c>
      <c r="K233" s="13">
        <f t="shared" si="13"/>
        <v>0</v>
      </c>
      <c r="L233" s="13" t="str" cm="1">
        <f t="array" ref="L233">_xlfn.IFS(J233&lt;1,"",J233=1,"Pass",J233&gt;1,_xlfn.TEXTJOIN("",TRUE,"Pass x",J233))</f>
        <v/>
      </c>
      <c r="M233" s="13" t="str" cm="1">
        <f t="array" ref="M233">_xlfn.IFS(K233&lt;1,"",K233=1,"Fail",K233&gt;1,_xlfn.TEXTJOIN("",TRUE,"Fail x",K233))</f>
        <v/>
      </c>
    </row>
    <row r="234" spans="8:13">
      <c r="H234" s="13">
        <f t="shared" si="11"/>
        <v>0</v>
      </c>
      <c r="J234" s="13">
        <f t="shared" si="12"/>
        <v>0</v>
      </c>
      <c r="K234" s="13">
        <f t="shared" si="13"/>
        <v>0</v>
      </c>
      <c r="L234" s="13" t="str" cm="1">
        <f t="array" ref="L234">_xlfn.IFS(J234&lt;1,"",J234=1,"Pass",J234&gt;1,_xlfn.TEXTJOIN("",TRUE,"Pass x",J234))</f>
        <v/>
      </c>
      <c r="M234" s="13" t="str" cm="1">
        <f t="array" ref="M234">_xlfn.IFS(K234&lt;1,"",K234=1,"Fail",K234&gt;1,_xlfn.TEXTJOIN("",TRUE,"Fail x",K234))</f>
        <v/>
      </c>
    </row>
    <row r="235" spans="8:13">
      <c r="H235" s="13">
        <f t="shared" si="11"/>
        <v>0</v>
      </c>
      <c r="J235" s="13">
        <f t="shared" si="12"/>
        <v>0</v>
      </c>
      <c r="K235" s="13">
        <f t="shared" si="13"/>
        <v>0</v>
      </c>
      <c r="L235" s="13" t="str" cm="1">
        <f t="array" ref="L235">_xlfn.IFS(J235&lt;1,"",J235=1,"Pass",J235&gt;1,_xlfn.TEXTJOIN("",TRUE,"Pass x",J235))</f>
        <v/>
      </c>
      <c r="M235" s="13" t="str" cm="1">
        <f t="array" ref="M235">_xlfn.IFS(K235&lt;1,"",K235=1,"Fail",K235&gt;1,_xlfn.TEXTJOIN("",TRUE,"Fail x",K235))</f>
        <v/>
      </c>
    </row>
    <row r="236" spans="8:13">
      <c r="H236" s="13">
        <f t="shared" si="11"/>
        <v>0</v>
      </c>
      <c r="J236" s="13">
        <f t="shared" si="12"/>
        <v>0</v>
      </c>
      <c r="K236" s="13">
        <f t="shared" si="13"/>
        <v>0</v>
      </c>
      <c r="L236" s="13" t="str" cm="1">
        <f t="array" ref="L236">_xlfn.IFS(J236&lt;1,"",J236=1,"Pass",J236&gt;1,_xlfn.TEXTJOIN("",TRUE,"Pass x",J236))</f>
        <v/>
      </c>
    </row>
    <row r="237" spans="8:13">
      <c r="H237" s="13">
        <f t="shared" si="11"/>
        <v>0</v>
      </c>
      <c r="J237" s="13">
        <f t="shared" si="12"/>
        <v>0</v>
      </c>
      <c r="K237" s="13">
        <f t="shared" si="13"/>
        <v>0</v>
      </c>
      <c r="L237" s="13" t="str" cm="1">
        <f t="array" ref="L237">_xlfn.IFS(J237&lt;1,"",J237=1,"Pass",J237&gt;1,_xlfn.TEXTJOIN("",TRUE,"Pass x",J237))</f>
        <v/>
      </c>
    </row>
    <row r="238" spans="8:13">
      <c r="H238" s="13">
        <f t="shared" si="11"/>
        <v>0</v>
      </c>
      <c r="J238" s="13">
        <f t="shared" si="12"/>
        <v>0</v>
      </c>
      <c r="K238" s="13">
        <f t="shared" si="13"/>
        <v>0</v>
      </c>
      <c r="L238" s="13" t="str" cm="1">
        <f t="array" ref="L238">_xlfn.IFS(J238&lt;1,"",J238=1,"Pass",J238&gt;1,_xlfn.TEXTJOIN("",TRUE,"Pass x",J238))</f>
        <v/>
      </c>
    </row>
    <row r="239" spans="8:13">
      <c r="H239" s="13">
        <f t="shared" si="11"/>
        <v>0</v>
      </c>
      <c r="J239" s="13">
        <f t="shared" si="12"/>
        <v>0</v>
      </c>
      <c r="K239" s="13">
        <f t="shared" si="13"/>
        <v>0</v>
      </c>
      <c r="L239" s="13" t="str" cm="1">
        <f t="array" ref="L239">_xlfn.IFS(J239&lt;1,"",J239=1,"Pass",J239&gt;1,_xlfn.TEXTJOIN("",TRUE,"Pass x",J239))</f>
        <v/>
      </c>
    </row>
    <row r="240" spans="8:13">
      <c r="H240" s="13">
        <f t="shared" si="11"/>
        <v>0</v>
      </c>
      <c r="J240" s="13">
        <f t="shared" si="12"/>
        <v>0</v>
      </c>
      <c r="K240" s="13">
        <f t="shared" si="13"/>
        <v>0</v>
      </c>
      <c r="L240" s="13" t="str" cm="1">
        <f t="array" ref="L240">_xlfn.IFS(J240&lt;1,"",J240=1,"Pass",J240&gt;1,_xlfn.TEXTJOIN("",TRUE,"Pass x",J240))</f>
        <v/>
      </c>
    </row>
    <row r="241" spans="8:12">
      <c r="H241" s="13">
        <f t="shared" si="11"/>
        <v>0</v>
      </c>
      <c r="J241" s="13">
        <f t="shared" si="12"/>
        <v>0</v>
      </c>
      <c r="K241" s="13">
        <f t="shared" si="13"/>
        <v>0</v>
      </c>
      <c r="L241" s="13" t="str" cm="1">
        <f t="array" ref="L241">_xlfn.IFS(J241&lt;1,"",J241=1,"Pass",J241&gt;1,_xlfn.TEXTJOIN("",TRUE,"Pass x",J241))</f>
        <v/>
      </c>
    </row>
    <row r="242" spans="8:12">
      <c r="H242" s="13">
        <f t="shared" si="11"/>
        <v>0</v>
      </c>
      <c r="J242" s="13">
        <f t="shared" si="12"/>
        <v>0</v>
      </c>
      <c r="K242" s="13">
        <f t="shared" si="13"/>
        <v>0</v>
      </c>
      <c r="L242" s="13" t="str" cm="1">
        <f t="array" ref="L242">_xlfn.IFS(J242&lt;1,"",J242=1,"Pass",J242&gt;1,_xlfn.TEXTJOIN("",TRUE,"Pass x",J242))</f>
        <v/>
      </c>
    </row>
    <row r="243" spans="8:12">
      <c r="H243" s="13">
        <f t="shared" si="11"/>
        <v>0</v>
      </c>
      <c r="J243" s="13">
        <f t="shared" si="12"/>
        <v>0</v>
      </c>
      <c r="K243" s="13">
        <f t="shared" si="13"/>
        <v>0</v>
      </c>
      <c r="L243" s="13" t="str" cm="1">
        <f t="array" ref="L243">_xlfn.IFS(J243&lt;1,"",J243=1,"Pass",J243&gt;1,_xlfn.TEXTJOIN("",TRUE,"Pass x",J243))</f>
        <v/>
      </c>
    </row>
    <row r="244" spans="8:12">
      <c r="H244" s="13">
        <f t="shared" si="11"/>
        <v>0</v>
      </c>
      <c r="J244" s="13">
        <f t="shared" si="12"/>
        <v>0</v>
      </c>
      <c r="K244" s="13">
        <f t="shared" si="13"/>
        <v>0</v>
      </c>
      <c r="L244" s="13" t="str" cm="1">
        <f t="array" ref="L244">_xlfn.IFS(J244&lt;1,"",J244=1,"Pass",J244&gt;1,_xlfn.TEXTJOIN("",TRUE,"Pass x",J244))</f>
        <v/>
      </c>
    </row>
    <row r="245" spans="8:12">
      <c r="H245" s="13">
        <f t="shared" si="11"/>
        <v>0</v>
      </c>
      <c r="J245" s="13">
        <f t="shared" si="12"/>
        <v>0</v>
      </c>
      <c r="K245" s="13">
        <f t="shared" si="13"/>
        <v>0</v>
      </c>
      <c r="L245" s="13" t="str" cm="1">
        <f t="array" ref="L245">_xlfn.IFS(J245&lt;1,"",J245=1,"Pass",J245&gt;1,_xlfn.TEXTJOIN("",TRUE,"Pass x",J245))</f>
        <v/>
      </c>
    </row>
    <row r="246" spans="8:12">
      <c r="H246" s="13">
        <f t="shared" si="11"/>
        <v>0</v>
      </c>
      <c r="J246" s="13">
        <f t="shared" si="12"/>
        <v>0</v>
      </c>
      <c r="K246" s="13">
        <f t="shared" si="13"/>
        <v>0</v>
      </c>
      <c r="L246" s="13" t="str" cm="1">
        <f t="array" ref="L246">_xlfn.IFS(J246&lt;1,"",J246=1,"Pass",J246&gt;1,_xlfn.TEXTJOIN("",TRUE,"Pass x",J246))</f>
        <v/>
      </c>
    </row>
    <row r="247" spans="8:12">
      <c r="H247" s="13">
        <f t="shared" si="11"/>
        <v>0</v>
      </c>
      <c r="J247" s="13">
        <f t="shared" si="12"/>
        <v>0</v>
      </c>
      <c r="K247" s="13">
        <f t="shared" si="13"/>
        <v>0</v>
      </c>
      <c r="L247" s="13" t="str" cm="1">
        <f t="array" ref="L247">_xlfn.IFS(J247&lt;1,"",J247=1,"Pass",J247&gt;1,_xlfn.TEXTJOIN("",TRUE,"Pass x",J247))</f>
        <v/>
      </c>
    </row>
    <row r="248" spans="8:12">
      <c r="H248" s="13">
        <f t="shared" si="11"/>
        <v>0</v>
      </c>
      <c r="J248" s="13">
        <f t="shared" si="12"/>
        <v>0</v>
      </c>
      <c r="K248" s="13">
        <f t="shared" si="13"/>
        <v>0</v>
      </c>
      <c r="L248" s="13" t="str" cm="1">
        <f t="array" ref="L248">_xlfn.IFS(J248&lt;1,"",J248=1,"Pass",J248&gt;1,_xlfn.TEXTJOIN("",TRUE,"Pass x",J248))</f>
        <v/>
      </c>
    </row>
    <row r="249" spans="8:12">
      <c r="H249" s="13">
        <f t="shared" si="11"/>
        <v>0</v>
      </c>
      <c r="J249" s="13">
        <f t="shared" si="12"/>
        <v>0</v>
      </c>
      <c r="K249" s="13">
        <f t="shared" si="13"/>
        <v>0</v>
      </c>
      <c r="L249" s="13" t="str" cm="1">
        <f t="array" ref="L249">_xlfn.IFS(J249&lt;1,"",J249=1,"Pass",J249&gt;1,_xlfn.TEXTJOIN("",TRUE,"Pass x",J249))</f>
        <v/>
      </c>
    </row>
    <row r="250" spans="8:12">
      <c r="H250" s="13">
        <f t="shared" si="11"/>
        <v>0</v>
      </c>
      <c r="J250" s="13">
        <f t="shared" si="12"/>
        <v>0</v>
      </c>
      <c r="K250" s="13">
        <f t="shared" si="13"/>
        <v>0</v>
      </c>
      <c r="L250" s="13" t="str" cm="1">
        <f t="array" ref="L250">_xlfn.IFS(J250&lt;1,"",J250=1,"Pass",J250&gt;1,_xlfn.TEXTJOIN("",TRUE,"Pass x",J250))</f>
        <v/>
      </c>
    </row>
    <row r="251" spans="8:12">
      <c r="H251" s="13">
        <f t="shared" si="11"/>
        <v>0</v>
      </c>
      <c r="J251" s="13">
        <f t="shared" si="12"/>
        <v>0</v>
      </c>
      <c r="K251" s="13">
        <f t="shared" si="13"/>
        <v>0</v>
      </c>
      <c r="L251" s="13" t="str" cm="1">
        <f t="array" ref="L251">_xlfn.IFS(J251&lt;1,"",J251=1,"Pass",J251&gt;1,_xlfn.TEXTJOIN("",TRUE,"Pass x",J251))</f>
        <v/>
      </c>
    </row>
    <row r="252" spans="8:12">
      <c r="H252" s="13">
        <f t="shared" si="11"/>
        <v>0</v>
      </c>
      <c r="J252" s="13">
        <f t="shared" si="12"/>
        <v>0</v>
      </c>
      <c r="K252" s="13">
        <f t="shared" si="13"/>
        <v>0</v>
      </c>
      <c r="L252" s="13" t="str" cm="1">
        <f t="array" ref="L252">_xlfn.IFS(J252&lt;1,"",J252=1,"Pass",J252&gt;1,_xlfn.TEXTJOIN("",TRUE,"Pass x",J252))</f>
        <v/>
      </c>
    </row>
    <row r="253" spans="8:12">
      <c r="H253" s="13">
        <f t="shared" si="11"/>
        <v>0</v>
      </c>
      <c r="J253" s="13">
        <f t="shared" si="12"/>
        <v>0</v>
      </c>
      <c r="K253" s="13">
        <f t="shared" si="13"/>
        <v>0</v>
      </c>
      <c r="L253" s="13" t="str" cm="1">
        <f t="array" ref="L253">_xlfn.IFS(J253&lt;1,"",J253=1,"Pass",J253&gt;1,_xlfn.TEXTJOIN("",TRUE,"Pass x",J253))</f>
        <v/>
      </c>
    </row>
    <row r="254" spans="8:12">
      <c r="H254" s="13">
        <f t="shared" si="11"/>
        <v>0</v>
      </c>
      <c r="J254" s="13">
        <f t="shared" si="12"/>
        <v>0</v>
      </c>
    </row>
    <row r="255" spans="8:12">
      <c r="H255" s="13">
        <f t="shared" si="11"/>
        <v>0</v>
      </c>
      <c r="J255" s="13">
        <f t="shared" si="12"/>
        <v>0</v>
      </c>
    </row>
    <row r="256" spans="8:12">
      <c r="H256" s="13">
        <f t="shared" si="11"/>
        <v>0</v>
      </c>
      <c r="J256" s="13">
        <f t="shared" si="12"/>
        <v>0</v>
      </c>
    </row>
    <row r="257" spans="8:10">
      <c r="H257" s="13">
        <f t="shared" si="11"/>
        <v>0</v>
      </c>
      <c r="J257" s="13">
        <f t="shared" si="12"/>
        <v>0</v>
      </c>
    </row>
    <row r="258" spans="8:10">
      <c r="H258" s="13">
        <f t="shared" si="11"/>
        <v>0</v>
      </c>
      <c r="J258" s="13">
        <f t="shared" si="12"/>
        <v>0</v>
      </c>
    </row>
    <row r="259" spans="8:10">
      <c r="H259" s="13">
        <f t="shared" ref="H259:H322" si="14">IFERROR(GETPIVOTDATA("Successful / Failed",$A$1,"System serial",G259),0)</f>
        <v>0</v>
      </c>
      <c r="J259" s="13">
        <f t="shared" ref="J259:J322" si="15">IFERROR(GETPIVOTDATA("Successful / Failed",$A$1,"System serial",G259,"Successful / Failed","Successful"),0)</f>
        <v>0</v>
      </c>
    </row>
    <row r="260" spans="8:10">
      <c r="H260" s="13">
        <f t="shared" si="14"/>
        <v>0</v>
      </c>
      <c r="J260" s="13">
        <f t="shared" si="15"/>
        <v>0</v>
      </c>
    </row>
    <row r="261" spans="8:10">
      <c r="H261" s="13">
        <f t="shared" si="14"/>
        <v>0</v>
      </c>
      <c r="J261" s="13">
        <f t="shared" si="15"/>
        <v>0</v>
      </c>
    </row>
    <row r="262" spans="8:10">
      <c r="H262" s="13">
        <f t="shared" si="14"/>
        <v>0</v>
      </c>
      <c r="J262" s="13">
        <f t="shared" si="15"/>
        <v>0</v>
      </c>
    </row>
    <row r="263" spans="8:10">
      <c r="H263" s="13">
        <f t="shared" si="14"/>
        <v>0</v>
      </c>
      <c r="J263" s="13">
        <f t="shared" si="15"/>
        <v>0</v>
      </c>
    </row>
    <row r="264" spans="8:10">
      <c r="H264" s="13">
        <f t="shared" si="14"/>
        <v>0</v>
      </c>
      <c r="J264" s="13">
        <f t="shared" si="15"/>
        <v>0</v>
      </c>
    </row>
    <row r="265" spans="8:10">
      <c r="H265" s="13">
        <f t="shared" si="14"/>
        <v>0</v>
      </c>
      <c r="J265" s="13">
        <f t="shared" si="15"/>
        <v>0</v>
      </c>
    </row>
    <row r="266" spans="8:10">
      <c r="H266" s="13">
        <f t="shared" si="14"/>
        <v>0</v>
      </c>
      <c r="J266" s="13">
        <f t="shared" si="15"/>
        <v>0</v>
      </c>
    </row>
    <row r="267" spans="8:10">
      <c r="H267" s="13">
        <f t="shared" si="14"/>
        <v>0</v>
      </c>
      <c r="J267" s="13">
        <f t="shared" si="15"/>
        <v>0</v>
      </c>
    </row>
    <row r="268" spans="8:10">
      <c r="H268" s="13">
        <f t="shared" si="14"/>
        <v>0</v>
      </c>
      <c r="J268" s="13">
        <f t="shared" si="15"/>
        <v>0</v>
      </c>
    </row>
    <row r="269" spans="8:10">
      <c r="H269" s="13">
        <f t="shared" si="14"/>
        <v>0</v>
      </c>
      <c r="J269" s="13">
        <f t="shared" si="15"/>
        <v>0</v>
      </c>
    </row>
    <row r="270" spans="8:10">
      <c r="H270" s="13">
        <f t="shared" si="14"/>
        <v>0</v>
      </c>
      <c r="J270" s="13">
        <f t="shared" si="15"/>
        <v>0</v>
      </c>
    </row>
    <row r="271" spans="8:10">
      <c r="H271" s="13">
        <f t="shared" si="14"/>
        <v>0</v>
      </c>
      <c r="J271" s="13">
        <f t="shared" si="15"/>
        <v>0</v>
      </c>
    </row>
    <row r="272" spans="8:10">
      <c r="H272" s="13">
        <f t="shared" si="14"/>
        <v>0</v>
      </c>
      <c r="J272" s="13">
        <f t="shared" si="15"/>
        <v>0</v>
      </c>
    </row>
    <row r="273" spans="8:10">
      <c r="H273" s="13">
        <f t="shared" si="14"/>
        <v>0</v>
      </c>
      <c r="J273" s="13">
        <f t="shared" si="15"/>
        <v>0</v>
      </c>
    </row>
    <row r="274" spans="8:10">
      <c r="H274" s="13">
        <f t="shared" si="14"/>
        <v>0</v>
      </c>
      <c r="J274" s="13">
        <f t="shared" si="15"/>
        <v>0</v>
      </c>
    </row>
    <row r="275" spans="8:10">
      <c r="H275" s="13">
        <f t="shared" si="14"/>
        <v>0</v>
      </c>
      <c r="J275" s="13">
        <f t="shared" si="15"/>
        <v>0</v>
      </c>
    </row>
    <row r="276" spans="8:10">
      <c r="H276" s="13">
        <f t="shared" si="14"/>
        <v>0</v>
      </c>
      <c r="J276" s="13">
        <f t="shared" si="15"/>
        <v>0</v>
      </c>
    </row>
    <row r="277" spans="8:10">
      <c r="H277" s="13">
        <f t="shared" si="14"/>
        <v>0</v>
      </c>
      <c r="J277" s="13">
        <f t="shared" si="15"/>
        <v>0</v>
      </c>
    </row>
    <row r="278" spans="8:10">
      <c r="H278" s="13">
        <f t="shared" si="14"/>
        <v>0</v>
      </c>
      <c r="J278" s="13">
        <f t="shared" si="15"/>
        <v>0</v>
      </c>
    </row>
    <row r="279" spans="8:10">
      <c r="H279" s="13">
        <f t="shared" si="14"/>
        <v>0</v>
      </c>
      <c r="J279" s="13">
        <f t="shared" si="15"/>
        <v>0</v>
      </c>
    </row>
    <row r="280" spans="8:10">
      <c r="H280" s="13">
        <f t="shared" si="14"/>
        <v>0</v>
      </c>
      <c r="J280" s="13">
        <f t="shared" si="15"/>
        <v>0</v>
      </c>
    </row>
    <row r="281" spans="8:10">
      <c r="H281" s="13">
        <f t="shared" si="14"/>
        <v>0</v>
      </c>
      <c r="J281" s="13">
        <f t="shared" si="15"/>
        <v>0</v>
      </c>
    </row>
    <row r="282" spans="8:10">
      <c r="H282" s="13">
        <f t="shared" si="14"/>
        <v>0</v>
      </c>
      <c r="J282" s="13">
        <f t="shared" si="15"/>
        <v>0</v>
      </c>
    </row>
    <row r="283" spans="8:10">
      <c r="H283" s="13">
        <f t="shared" si="14"/>
        <v>0</v>
      </c>
      <c r="J283" s="13">
        <f t="shared" si="15"/>
        <v>0</v>
      </c>
    </row>
    <row r="284" spans="8:10">
      <c r="H284" s="13">
        <f t="shared" si="14"/>
        <v>0</v>
      </c>
      <c r="J284" s="13">
        <f t="shared" si="15"/>
        <v>0</v>
      </c>
    </row>
    <row r="285" spans="8:10">
      <c r="H285" s="13">
        <f t="shared" si="14"/>
        <v>0</v>
      </c>
      <c r="J285" s="13">
        <f t="shared" si="15"/>
        <v>0</v>
      </c>
    </row>
    <row r="286" spans="8:10">
      <c r="H286" s="13">
        <f t="shared" si="14"/>
        <v>0</v>
      </c>
      <c r="J286" s="13">
        <f t="shared" si="15"/>
        <v>0</v>
      </c>
    </row>
    <row r="287" spans="8:10">
      <c r="H287" s="13">
        <f t="shared" si="14"/>
        <v>0</v>
      </c>
      <c r="J287" s="13">
        <f t="shared" si="15"/>
        <v>0</v>
      </c>
    </row>
    <row r="288" spans="8:10">
      <c r="H288" s="13">
        <f t="shared" si="14"/>
        <v>0</v>
      </c>
      <c r="J288" s="13">
        <f t="shared" si="15"/>
        <v>0</v>
      </c>
    </row>
    <row r="289" spans="8:10">
      <c r="H289" s="13">
        <f t="shared" si="14"/>
        <v>0</v>
      </c>
      <c r="J289" s="13">
        <f t="shared" si="15"/>
        <v>0</v>
      </c>
    </row>
    <row r="290" spans="8:10">
      <c r="H290" s="13">
        <f t="shared" si="14"/>
        <v>0</v>
      </c>
      <c r="J290" s="13">
        <f t="shared" si="15"/>
        <v>0</v>
      </c>
    </row>
    <row r="291" spans="8:10">
      <c r="H291" s="13">
        <f t="shared" si="14"/>
        <v>0</v>
      </c>
      <c r="J291" s="13">
        <f t="shared" si="15"/>
        <v>0</v>
      </c>
    </row>
    <row r="292" spans="8:10">
      <c r="H292" s="13">
        <f t="shared" si="14"/>
        <v>0</v>
      </c>
      <c r="J292" s="13">
        <f t="shared" si="15"/>
        <v>0</v>
      </c>
    </row>
    <row r="293" spans="8:10">
      <c r="H293" s="13">
        <f t="shared" si="14"/>
        <v>0</v>
      </c>
      <c r="J293" s="13">
        <f t="shared" si="15"/>
        <v>0</v>
      </c>
    </row>
    <row r="294" spans="8:10">
      <c r="H294" s="13">
        <f t="shared" si="14"/>
        <v>0</v>
      </c>
      <c r="J294" s="13">
        <f t="shared" si="15"/>
        <v>0</v>
      </c>
    </row>
    <row r="295" spans="8:10">
      <c r="H295" s="13">
        <f t="shared" si="14"/>
        <v>0</v>
      </c>
      <c r="J295" s="13">
        <f t="shared" si="15"/>
        <v>0</v>
      </c>
    </row>
    <row r="296" spans="8:10">
      <c r="H296" s="13">
        <f t="shared" si="14"/>
        <v>0</v>
      </c>
      <c r="J296" s="13">
        <f t="shared" si="15"/>
        <v>0</v>
      </c>
    </row>
    <row r="297" spans="8:10">
      <c r="H297" s="13">
        <f t="shared" si="14"/>
        <v>0</v>
      </c>
      <c r="J297" s="13">
        <f t="shared" si="15"/>
        <v>0</v>
      </c>
    </row>
    <row r="298" spans="8:10">
      <c r="H298" s="13">
        <f t="shared" si="14"/>
        <v>0</v>
      </c>
      <c r="J298" s="13">
        <f t="shared" si="15"/>
        <v>0</v>
      </c>
    </row>
    <row r="299" spans="8:10">
      <c r="H299" s="13">
        <f t="shared" si="14"/>
        <v>0</v>
      </c>
      <c r="J299" s="13">
        <f t="shared" si="15"/>
        <v>0</v>
      </c>
    </row>
    <row r="300" spans="8:10">
      <c r="H300" s="13">
        <f t="shared" si="14"/>
        <v>0</v>
      </c>
      <c r="J300" s="13">
        <f t="shared" si="15"/>
        <v>0</v>
      </c>
    </row>
    <row r="301" spans="8:10">
      <c r="H301" s="13">
        <f t="shared" si="14"/>
        <v>0</v>
      </c>
      <c r="J301" s="13">
        <f t="shared" si="15"/>
        <v>0</v>
      </c>
    </row>
    <row r="302" spans="8:10">
      <c r="H302" s="13">
        <f t="shared" si="14"/>
        <v>0</v>
      </c>
      <c r="J302" s="13">
        <f t="shared" si="15"/>
        <v>0</v>
      </c>
    </row>
    <row r="303" spans="8:10">
      <c r="H303" s="13">
        <f t="shared" si="14"/>
        <v>0</v>
      </c>
      <c r="J303" s="13">
        <f t="shared" si="15"/>
        <v>0</v>
      </c>
    </row>
    <row r="304" spans="8:10">
      <c r="H304" s="13">
        <f t="shared" si="14"/>
        <v>0</v>
      </c>
      <c r="J304" s="13">
        <f t="shared" si="15"/>
        <v>0</v>
      </c>
    </row>
    <row r="305" spans="8:10">
      <c r="H305" s="13">
        <f t="shared" si="14"/>
        <v>0</v>
      </c>
      <c r="J305" s="13">
        <f t="shared" si="15"/>
        <v>0</v>
      </c>
    </row>
    <row r="306" spans="8:10">
      <c r="H306" s="13">
        <f t="shared" si="14"/>
        <v>0</v>
      </c>
      <c r="J306" s="13">
        <f t="shared" si="15"/>
        <v>0</v>
      </c>
    </row>
    <row r="307" spans="8:10">
      <c r="H307" s="13">
        <f t="shared" si="14"/>
        <v>0</v>
      </c>
      <c r="J307" s="13">
        <f t="shared" si="15"/>
        <v>0</v>
      </c>
    </row>
    <row r="308" spans="8:10">
      <c r="H308" s="13">
        <f t="shared" si="14"/>
        <v>0</v>
      </c>
      <c r="J308" s="13">
        <f t="shared" si="15"/>
        <v>0</v>
      </c>
    </row>
    <row r="309" spans="8:10">
      <c r="H309" s="13">
        <f t="shared" si="14"/>
        <v>0</v>
      </c>
      <c r="J309" s="13">
        <f t="shared" si="15"/>
        <v>0</v>
      </c>
    </row>
    <row r="310" spans="8:10">
      <c r="H310" s="13">
        <f t="shared" si="14"/>
        <v>0</v>
      </c>
      <c r="J310" s="13">
        <f t="shared" si="15"/>
        <v>0</v>
      </c>
    </row>
    <row r="311" spans="8:10">
      <c r="H311" s="13">
        <f t="shared" si="14"/>
        <v>0</v>
      </c>
      <c r="J311" s="13">
        <f t="shared" si="15"/>
        <v>0</v>
      </c>
    </row>
    <row r="312" spans="8:10">
      <c r="H312" s="13">
        <f t="shared" si="14"/>
        <v>0</v>
      </c>
      <c r="J312" s="13">
        <f t="shared" si="15"/>
        <v>0</v>
      </c>
    </row>
    <row r="313" spans="8:10">
      <c r="H313" s="13">
        <f t="shared" si="14"/>
        <v>0</v>
      </c>
      <c r="J313" s="13">
        <f t="shared" si="15"/>
        <v>0</v>
      </c>
    </row>
    <row r="314" spans="8:10">
      <c r="H314" s="13">
        <f t="shared" si="14"/>
        <v>0</v>
      </c>
      <c r="J314" s="13">
        <f t="shared" si="15"/>
        <v>0</v>
      </c>
    </row>
    <row r="315" spans="8:10">
      <c r="H315" s="13">
        <f t="shared" si="14"/>
        <v>0</v>
      </c>
      <c r="J315" s="13">
        <f t="shared" si="15"/>
        <v>0</v>
      </c>
    </row>
    <row r="316" spans="8:10">
      <c r="H316" s="13">
        <f t="shared" si="14"/>
        <v>0</v>
      </c>
      <c r="J316" s="13">
        <f t="shared" si="15"/>
        <v>0</v>
      </c>
    </row>
    <row r="317" spans="8:10">
      <c r="H317" s="13">
        <f t="shared" si="14"/>
        <v>0</v>
      </c>
      <c r="J317" s="13">
        <f t="shared" si="15"/>
        <v>0</v>
      </c>
    </row>
    <row r="318" spans="8:10">
      <c r="H318" s="13">
        <f t="shared" si="14"/>
        <v>0</v>
      </c>
      <c r="J318" s="13">
        <f t="shared" si="15"/>
        <v>0</v>
      </c>
    </row>
    <row r="319" spans="8:10">
      <c r="H319" s="13">
        <f t="shared" si="14"/>
        <v>0</v>
      </c>
      <c r="J319" s="13">
        <f t="shared" si="15"/>
        <v>0</v>
      </c>
    </row>
    <row r="320" spans="8:10">
      <c r="H320" s="13">
        <f t="shared" si="14"/>
        <v>0</v>
      </c>
      <c r="J320" s="13">
        <f t="shared" si="15"/>
        <v>0</v>
      </c>
    </row>
    <row r="321" spans="8:10">
      <c r="H321" s="13">
        <f t="shared" si="14"/>
        <v>0</v>
      </c>
      <c r="J321" s="13">
        <f t="shared" si="15"/>
        <v>0</v>
      </c>
    </row>
    <row r="322" spans="8:10">
      <c r="H322" s="13">
        <f t="shared" si="14"/>
        <v>0</v>
      </c>
      <c r="J322" s="13">
        <f t="shared" si="15"/>
        <v>0</v>
      </c>
    </row>
    <row r="323" spans="8:10">
      <c r="H323" s="13">
        <f t="shared" ref="H323:H386" si="16">IFERROR(GETPIVOTDATA("Successful / Failed",$A$1,"System serial",G323),0)</f>
        <v>0</v>
      </c>
      <c r="J323" s="13">
        <f t="shared" ref="J323:J386" si="17">IFERROR(GETPIVOTDATA("Successful / Failed",$A$1,"System serial",G323,"Successful / Failed","Successful"),0)</f>
        <v>0</v>
      </c>
    </row>
    <row r="324" spans="8:10">
      <c r="H324" s="13">
        <f t="shared" si="16"/>
        <v>0</v>
      </c>
      <c r="J324" s="13">
        <f t="shared" si="17"/>
        <v>0</v>
      </c>
    </row>
    <row r="325" spans="8:10">
      <c r="H325" s="13">
        <f t="shared" si="16"/>
        <v>0</v>
      </c>
      <c r="J325" s="13">
        <f t="shared" si="17"/>
        <v>0</v>
      </c>
    </row>
    <row r="326" spans="8:10">
      <c r="H326" s="13">
        <f t="shared" si="16"/>
        <v>0</v>
      </c>
      <c r="J326" s="13">
        <f t="shared" si="17"/>
        <v>0</v>
      </c>
    </row>
    <row r="327" spans="8:10">
      <c r="H327" s="13">
        <f t="shared" si="16"/>
        <v>0</v>
      </c>
      <c r="J327" s="13">
        <f t="shared" si="17"/>
        <v>0</v>
      </c>
    </row>
    <row r="328" spans="8:10">
      <c r="H328" s="13">
        <f t="shared" si="16"/>
        <v>0</v>
      </c>
      <c r="J328" s="13">
        <f t="shared" si="17"/>
        <v>0</v>
      </c>
    </row>
    <row r="329" spans="8:10">
      <c r="H329" s="13">
        <f t="shared" si="16"/>
        <v>0</v>
      </c>
      <c r="J329" s="13">
        <f t="shared" si="17"/>
        <v>0</v>
      </c>
    </row>
    <row r="330" spans="8:10">
      <c r="H330" s="13">
        <f t="shared" si="16"/>
        <v>0</v>
      </c>
      <c r="J330" s="13">
        <f t="shared" si="17"/>
        <v>0</v>
      </c>
    </row>
    <row r="331" spans="8:10">
      <c r="H331" s="13">
        <f t="shared" si="16"/>
        <v>0</v>
      </c>
      <c r="J331" s="13">
        <f t="shared" si="17"/>
        <v>0</v>
      </c>
    </row>
    <row r="332" spans="8:10">
      <c r="H332" s="13">
        <f t="shared" si="16"/>
        <v>0</v>
      </c>
      <c r="J332" s="13">
        <f t="shared" si="17"/>
        <v>0</v>
      </c>
    </row>
    <row r="333" spans="8:10">
      <c r="H333" s="13">
        <f t="shared" si="16"/>
        <v>0</v>
      </c>
      <c r="J333" s="13">
        <f t="shared" si="17"/>
        <v>0</v>
      </c>
    </row>
    <row r="334" spans="8:10">
      <c r="H334" s="13">
        <f t="shared" si="16"/>
        <v>0</v>
      </c>
      <c r="J334" s="13">
        <f t="shared" si="17"/>
        <v>0</v>
      </c>
    </row>
    <row r="335" spans="8:10">
      <c r="H335" s="13">
        <f t="shared" si="16"/>
        <v>0</v>
      </c>
      <c r="J335" s="13">
        <f t="shared" si="17"/>
        <v>0</v>
      </c>
    </row>
    <row r="336" spans="8:10">
      <c r="H336" s="13">
        <f t="shared" si="16"/>
        <v>0</v>
      </c>
      <c r="J336" s="13">
        <f t="shared" si="17"/>
        <v>0</v>
      </c>
    </row>
    <row r="337" spans="8:10">
      <c r="H337" s="13">
        <f t="shared" si="16"/>
        <v>0</v>
      </c>
      <c r="J337" s="13">
        <f t="shared" si="17"/>
        <v>0</v>
      </c>
    </row>
    <row r="338" spans="8:10">
      <c r="H338" s="13">
        <f t="shared" si="16"/>
        <v>0</v>
      </c>
      <c r="J338" s="13">
        <f t="shared" si="17"/>
        <v>0</v>
      </c>
    </row>
    <row r="339" spans="8:10">
      <c r="H339" s="13">
        <f t="shared" si="16"/>
        <v>0</v>
      </c>
      <c r="J339" s="13">
        <f t="shared" si="17"/>
        <v>0</v>
      </c>
    </row>
    <row r="340" spans="8:10">
      <c r="H340" s="13">
        <f t="shared" si="16"/>
        <v>0</v>
      </c>
      <c r="J340" s="13">
        <f t="shared" si="17"/>
        <v>0</v>
      </c>
    </row>
    <row r="341" spans="8:10">
      <c r="H341" s="13">
        <f t="shared" si="16"/>
        <v>0</v>
      </c>
      <c r="J341" s="13">
        <f t="shared" si="17"/>
        <v>0</v>
      </c>
    </row>
    <row r="342" spans="8:10">
      <c r="H342" s="13">
        <f t="shared" si="16"/>
        <v>0</v>
      </c>
      <c r="J342" s="13">
        <f t="shared" si="17"/>
        <v>0</v>
      </c>
    </row>
    <row r="343" spans="8:10">
      <c r="H343" s="13">
        <f t="shared" si="16"/>
        <v>0</v>
      </c>
      <c r="J343" s="13">
        <f t="shared" si="17"/>
        <v>0</v>
      </c>
    </row>
    <row r="344" spans="8:10">
      <c r="H344" s="13">
        <f t="shared" si="16"/>
        <v>0</v>
      </c>
      <c r="J344" s="13">
        <f t="shared" si="17"/>
        <v>0</v>
      </c>
    </row>
    <row r="345" spans="8:10">
      <c r="H345" s="13">
        <f t="shared" si="16"/>
        <v>0</v>
      </c>
      <c r="J345" s="13">
        <f t="shared" si="17"/>
        <v>0</v>
      </c>
    </row>
    <row r="346" spans="8:10">
      <c r="H346" s="13">
        <f t="shared" si="16"/>
        <v>0</v>
      </c>
      <c r="J346" s="13">
        <f t="shared" si="17"/>
        <v>0</v>
      </c>
    </row>
    <row r="347" spans="8:10">
      <c r="H347" s="13">
        <f t="shared" si="16"/>
        <v>0</v>
      </c>
      <c r="J347" s="13">
        <f t="shared" si="17"/>
        <v>0</v>
      </c>
    </row>
    <row r="348" spans="8:10">
      <c r="H348" s="13">
        <f t="shared" si="16"/>
        <v>0</v>
      </c>
      <c r="J348" s="13">
        <f t="shared" si="17"/>
        <v>0</v>
      </c>
    </row>
    <row r="349" spans="8:10">
      <c r="H349" s="13">
        <f t="shared" si="16"/>
        <v>0</v>
      </c>
      <c r="J349" s="13">
        <f t="shared" si="17"/>
        <v>0</v>
      </c>
    </row>
    <row r="350" spans="8:10">
      <c r="H350" s="13">
        <f t="shared" si="16"/>
        <v>0</v>
      </c>
      <c r="J350" s="13">
        <f t="shared" si="17"/>
        <v>0</v>
      </c>
    </row>
    <row r="351" spans="8:10">
      <c r="H351" s="13">
        <f t="shared" si="16"/>
        <v>0</v>
      </c>
      <c r="J351" s="13">
        <f t="shared" si="17"/>
        <v>0</v>
      </c>
    </row>
    <row r="352" spans="8:10">
      <c r="H352" s="13">
        <f t="shared" si="16"/>
        <v>0</v>
      </c>
      <c r="J352" s="13">
        <f t="shared" si="17"/>
        <v>0</v>
      </c>
    </row>
    <row r="353" spans="8:10">
      <c r="H353" s="13">
        <f t="shared" si="16"/>
        <v>0</v>
      </c>
      <c r="J353" s="13">
        <f t="shared" si="17"/>
        <v>0</v>
      </c>
    </row>
    <row r="354" spans="8:10">
      <c r="H354" s="13">
        <f t="shared" si="16"/>
        <v>0</v>
      </c>
      <c r="J354" s="13">
        <f t="shared" si="17"/>
        <v>0</v>
      </c>
    </row>
    <row r="355" spans="8:10">
      <c r="H355" s="13">
        <f t="shared" si="16"/>
        <v>0</v>
      </c>
      <c r="J355" s="13">
        <f t="shared" si="17"/>
        <v>0</v>
      </c>
    </row>
    <row r="356" spans="8:10">
      <c r="H356" s="13">
        <f t="shared" si="16"/>
        <v>0</v>
      </c>
      <c r="J356" s="13">
        <f t="shared" si="17"/>
        <v>0</v>
      </c>
    </row>
    <row r="357" spans="8:10">
      <c r="H357" s="13">
        <f t="shared" si="16"/>
        <v>0</v>
      </c>
      <c r="J357" s="13">
        <f t="shared" si="17"/>
        <v>0</v>
      </c>
    </row>
    <row r="358" spans="8:10">
      <c r="H358" s="13">
        <f t="shared" si="16"/>
        <v>0</v>
      </c>
      <c r="J358" s="13">
        <f t="shared" si="17"/>
        <v>0</v>
      </c>
    </row>
    <row r="359" spans="8:10">
      <c r="H359" s="13">
        <f t="shared" si="16"/>
        <v>0</v>
      </c>
      <c r="J359" s="13">
        <f t="shared" si="17"/>
        <v>0</v>
      </c>
    </row>
    <row r="360" spans="8:10">
      <c r="H360" s="13">
        <f t="shared" si="16"/>
        <v>0</v>
      </c>
      <c r="J360" s="13">
        <f t="shared" si="17"/>
        <v>0</v>
      </c>
    </row>
    <row r="361" spans="8:10">
      <c r="H361" s="13">
        <f t="shared" si="16"/>
        <v>0</v>
      </c>
      <c r="J361" s="13">
        <f t="shared" si="17"/>
        <v>0</v>
      </c>
    </row>
    <row r="362" spans="8:10">
      <c r="H362" s="13">
        <f t="shared" si="16"/>
        <v>0</v>
      </c>
      <c r="J362" s="13">
        <f t="shared" si="17"/>
        <v>0</v>
      </c>
    </row>
    <row r="363" spans="8:10">
      <c r="H363" s="13">
        <f t="shared" si="16"/>
        <v>0</v>
      </c>
      <c r="J363" s="13">
        <f t="shared" si="17"/>
        <v>0</v>
      </c>
    </row>
    <row r="364" spans="8:10">
      <c r="H364" s="13">
        <f t="shared" si="16"/>
        <v>0</v>
      </c>
      <c r="J364" s="13">
        <f t="shared" si="17"/>
        <v>0</v>
      </c>
    </row>
    <row r="365" spans="8:10">
      <c r="H365" s="13">
        <f t="shared" si="16"/>
        <v>0</v>
      </c>
      <c r="J365" s="13">
        <f t="shared" si="17"/>
        <v>0</v>
      </c>
    </row>
    <row r="366" spans="8:10">
      <c r="H366" s="13">
        <f t="shared" si="16"/>
        <v>0</v>
      </c>
      <c r="J366" s="13">
        <f t="shared" si="17"/>
        <v>0</v>
      </c>
    </row>
    <row r="367" spans="8:10">
      <c r="H367" s="13">
        <f t="shared" si="16"/>
        <v>0</v>
      </c>
      <c r="J367" s="13">
        <f t="shared" si="17"/>
        <v>0</v>
      </c>
    </row>
    <row r="368" spans="8:10">
      <c r="H368" s="13">
        <f t="shared" si="16"/>
        <v>0</v>
      </c>
      <c r="J368" s="13">
        <f t="shared" si="17"/>
        <v>0</v>
      </c>
    </row>
    <row r="369" spans="8:10">
      <c r="H369" s="13">
        <f t="shared" si="16"/>
        <v>0</v>
      </c>
      <c r="J369" s="13">
        <f t="shared" si="17"/>
        <v>0</v>
      </c>
    </row>
    <row r="370" spans="8:10">
      <c r="H370" s="13">
        <f t="shared" si="16"/>
        <v>0</v>
      </c>
      <c r="J370" s="13">
        <f t="shared" si="17"/>
        <v>0</v>
      </c>
    </row>
    <row r="371" spans="8:10">
      <c r="H371" s="13">
        <f t="shared" si="16"/>
        <v>0</v>
      </c>
      <c r="J371" s="13">
        <f t="shared" si="17"/>
        <v>0</v>
      </c>
    </row>
    <row r="372" spans="8:10">
      <c r="H372" s="13">
        <f t="shared" si="16"/>
        <v>0</v>
      </c>
      <c r="J372" s="13">
        <f t="shared" si="17"/>
        <v>0</v>
      </c>
    </row>
    <row r="373" spans="8:10">
      <c r="H373" s="13">
        <f t="shared" si="16"/>
        <v>0</v>
      </c>
      <c r="J373" s="13">
        <f t="shared" si="17"/>
        <v>0</v>
      </c>
    </row>
    <row r="374" spans="8:10">
      <c r="H374" s="13">
        <f t="shared" si="16"/>
        <v>0</v>
      </c>
      <c r="J374" s="13">
        <f t="shared" si="17"/>
        <v>0</v>
      </c>
    </row>
    <row r="375" spans="8:10">
      <c r="H375" s="13">
        <f t="shared" si="16"/>
        <v>0</v>
      </c>
      <c r="J375" s="13">
        <f t="shared" si="17"/>
        <v>0</v>
      </c>
    </row>
    <row r="376" spans="8:10">
      <c r="H376" s="13">
        <f t="shared" si="16"/>
        <v>0</v>
      </c>
      <c r="J376" s="13">
        <f t="shared" si="17"/>
        <v>0</v>
      </c>
    </row>
    <row r="377" spans="8:10">
      <c r="H377" s="13">
        <f t="shared" si="16"/>
        <v>0</v>
      </c>
      <c r="J377" s="13">
        <f t="shared" si="17"/>
        <v>0</v>
      </c>
    </row>
    <row r="378" spans="8:10">
      <c r="H378" s="13">
        <f t="shared" si="16"/>
        <v>0</v>
      </c>
      <c r="J378" s="13">
        <f t="shared" si="17"/>
        <v>0</v>
      </c>
    </row>
    <row r="379" spans="8:10">
      <c r="H379" s="13">
        <f t="shared" si="16"/>
        <v>0</v>
      </c>
      <c r="J379" s="13">
        <f t="shared" si="17"/>
        <v>0</v>
      </c>
    </row>
    <row r="380" spans="8:10">
      <c r="H380" s="13">
        <f t="shared" si="16"/>
        <v>0</v>
      </c>
      <c r="J380" s="13">
        <f t="shared" si="17"/>
        <v>0</v>
      </c>
    </row>
    <row r="381" spans="8:10">
      <c r="H381" s="13">
        <f t="shared" si="16"/>
        <v>0</v>
      </c>
      <c r="J381" s="13">
        <f t="shared" si="17"/>
        <v>0</v>
      </c>
    </row>
    <row r="382" spans="8:10">
      <c r="H382" s="13">
        <f t="shared" si="16"/>
        <v>0</v>
      </c>
      <c r="J382" s="13">
        <f t="shared" si="17"/>
        <v>0</v>
      </c>
    </row>
    <row r="383" spans="8:10">
      <c r="H383" s="13">
        <f t="shared" si="16"/>
        <v>0</v>
      </c>
      <c r="J383" s="13">
        <f t="shared" si="17"/>
        <v>0</v>
      </c>
    </row>
    <row r="384" spans="8:10">
      <c r="H384" s="13">
        <f t="shared" si="16"/>
        <v>0</v>
      </c>
      <c r="J384" s="13">
        <f t="shared" si="17"/>
        <v>0</v>
      </c>
    </row>
    <row r="385" spans="8:10">
      <c r="H385" s="13">
        <f t="shared" si="16"/>
        <v>0</v>
      </c>
      <c r="J385" s="13">
        <f t="shared" si="17"/>
        <v>0</v>
      </c>
    </row>
    <row r="386" spans="8:10">
      <c r="H386" s="13">
        <f t="shared" si="16"/>
        <v>0</v>
      </c>
      <c r="J386" s="13">
        <f t="shared" si="17"/>
        <v>0</v>
      </c>
    </row>
    <row r="387" spans="8:10">
      <c r="H387" s="13">
        <f t="shared" ref="H387:H436" si="18">IFERROR(GETPIVOTDATA("Successful / Failed",$A$1,"System serial",G387),0)</f>
        <v>0</v>
      </c>
      <c r="J387" s="13">
        <f t="shared" ref="J387:J446" si="19">IFERROR(GETPIVOTDATA("Successful / Failed",$A$1,"System serial",G387,"Successful / Failed","Successful"),0)</f>
        <v>0</v>
      </c>
    </row>
    <row r="388" spans="8:10">
      <c r="H388" s="13">
        <f t="shared" si="18"/>
        <v>0</v>
      </c>
      <c r="J388" s="13">
        <f t="shared" si="19"/>
        <v>0</v>
      </c>
    </row>
    <row r="389" spans="8:10">
      <c r="H389" s="13">
        <f t="shared" si="18"/>
        <v>0</v>
      </c>
      <c r="J389" s="13">
        <f t="shared" si="19"/>
        <v>0</v>
      </c>
    </row>
    <row r="390" spans="8:10">
      <c r="H390" s="13">
        <f t="shared" si="18"/>
        <v>0</v>
      </c>
      <c r="J390" s="13">
        <f t="shared" si="19"/>
        <v>0</v>
      </c>
    </row>
    <row r="391" spans="8:10">
      <c r="H391" s="13">
        <f t="shared" si="18"/>
        <v>0</v>
      </c>
      <c r="J391" s="13">
        <f t="shared" si="19"/>
        <v>0</v>
      </c>
    </row>
    <row r="392" spans="8:10">
      <c r="H392" s="13">
        <f t="shared" si="18"/>
        <v>0</v>
      </c>
      <c r="J392" s="13">
        <f t="shared" si="19"/>
        <v>0</v>
      </c>
    </row>
    <row r="393" spans="8:10">
      <c r="H393" s="13">
        <f t="shared" si="18"/>
        <v>0</v>
      </c>
      <c r="J393" s="13">
        <f t="shared" si="19"/>
        <v>0</v>
      </c>
    </row>
    <row r="394" spans="8:10">
      <c r="H394" s="13">
        <f t="shared" si="18"/>
        <v>0</v>
      </c>
      <c r="J394" s="13">
        <f t="shared" si="19"/>
        <v>0</v>
      </c>
    </row>
    <row r="395" spans="8:10">
      <c r="H395" s="13">
        <f t="shared" si="18"/>
        <v>0</v>
      </c>
      <c r="J395" s="13">
        <f t="shared" si="19"/>
        <v>0</v>
      </c>
    </row>
    <row r="396" spans="8:10">
      <c r="H396" s="13">
        <f t="shared" si="18"/>
        <v>0</v>
      </c>
      <c r="J396" s="13">
        <f t="shared" si="19"/>
        <v>0</v>
      </c>
    </row>
    <row r="397" spans="8:10">
      <c r="H397" s="13">
        <f t="shared" si="18"/>
        <v>0</v>
      </c>
      <c r="J397" s="13">
        <f t="shared" si="19"/>
        <v>0</v>
      </c>
    </row>
    <row r="398" spans="8:10">
      <c r="H398" s="13">
        <f t="shared" si="18"/>
        <v>0</v>
      </c>
      <c r="J398" s="13">
        <f t="shared" si="19"/>
        <v>0</v>
      </c>
    </row>
    <row r="399" spans="8:10">
      <c r="H399" s="13">
        <f t="shared" si="18"/>
        <v>0</v>
      </c>
      <c r="J399" s="13">
        <f t="shared" si="19"/>
        <v>0</v>
      </c>
    </row>
    <row r="400" spans="8:10">
      <c r="H400" s="13">
        <f t="shared" si="18"/>
        <v>0</v>
      </c>
      <c r="J400" s="13">
        <f t="shared" si="19"/>
        <v>0</v>
      </c>
    </row>
    <row r="401" spans="8:10">
      <c r="H401" s="13">
        <f t="shared" si="18"/>
        <v>0</v>
      </c>
      <c r="J401" s="13">
        <f t="shared" si="19"/>
        <v>0</v>
      </c>
    </row>
    <row r="402" spans="8:10">
      <c r="H402" s="13">
        <f t="shared" si="18"/>
        <v>0</v>
      </c>
      <c r="J402" s="13">
        <f t="shared" si="19"/>
        <v>0</v>
      </c>
    </row>
    <row r="403" spans="8:10">
      <c r="H403" s="13">
        <f t="shared" si="18"/>
        <v>0</v>
      </c>
      <c r="J403" s="13">
        <f t="shared" si="19"/>
        <v>0</v>
      </c>
    </row>
    <row r="404" spans="8:10">
      <c r="H404" s="13">
        <f t="shared" si="18"/>
        <v>0</v>
      </c>
      <c r="J404" s="13">
        <f t="shared" si="19"/>
        <v>0</v>
      </c>
    </row>
    <row r="405" spans="8:10">
      <c r="H405" s="13">
        <f t="shared" si="18"/>
        <v>0</v>
      </c>
      <c r="J405" s="13">
        <f t="shared" si="19"/>
        <v>0</v>
      </c>
    </row>
    <row r="406" spans="8:10">
      <c r="H406" s="13">
        <f t="shared" si="18"/>
        <v>0</v>
      </c>
      <c r="J406" s="13">
        <f t="shared" si="19"/>
        <v>0</v>
      </c>
    </row>
    <row r="407" spans="8:10">
      <c r="H407" s="13">
        <f t="shared" si="18"/>
        <v>0</v>
      </c>
      <c r="J407" s="13">
        <f t="shared" si="19"/>
        <v>0</v>
      </c>
    </row>
    <row r="408" spans="8:10">
      <c r="H408" s="13">
        <f t="shared" si="18"/>
        <v>0</v>
      </c>
      <c r="J408" s="13">
        <f t="shared" si="19"/>
        <v>0</v>
      </c>
    </row>
    <row r="409" spans="8:10">
      <c r="H409" s="13">
        <f t="shared" si="18"/>
        <v>0</v>
      </c>
      <c r="J409" s="13">
        <f t="shared" si="19"/>
        <v>0</v>
      </c>
    </row>
    <row r="410" spans="8:10">
      <c r="H410" s="13">
        <f t="shared" si="18"/>
        <v>0</v>
      </c>
      <c r="J410" s="13">
        <f t="shared" si="19"/>
        <v>0</v>
      </c>
    </row>
    <row r="411" spans="8:10">
      <c r="H411" s="13">
        <f t="shared" si="18"/>
        <v>0</v>
      </c>
      <c r="J411" s="13">
        <f t="shared" si="19"/>
        <v>0</v>
      </c>
    </row>
    <row r="412" spans="8:10">
      <c r="H412" s="13">
        <f t="shared" si="18"/>
        <v>0</v>
      </c>
      <c r="J412" s="13">
        <f t="shared" si="19"/>
        <v>0</v>
      </c>
    </row>
    <row r="413" spans="8:10">
      <c r="H413" s="13">
        <f t="shared" si="18"/>
        <v>0</v>
      </c>
      <c r="J413" s="13">
        <f t="shared" si="19"/>
        <v>0</v>
      </c>
    </row>
    <row r="414" spans="8:10">
      <c r="H414" s="13">
        <f t="shared" si="18"/>
        <v>0</v>
      </c>
      <c r="J414" s="13">
        <f t="shared" si="19"/>
        <v>0</v>
      </c>
    </row>
    <row r="415" spans="8:10">
      <c r="H415" s="13">
        <f t="shared" si="18"/>
        <v>0</v>
      </c>
      <c r="J415" s="13">
        <f t="shared" si="19"/>
        <v>0</v>
      </c>
    </row>
    <row r="416" spans="8:10">
      <c r="H416" s="13">
        <f t="shared" si="18"/>
        <v>0</v>
      </c>
      <c r="J416" s="13">
        <f t="shared" si="19"/>
        <v>0</v>
      </c>
    </row>
    <row r="417" spans="8:10">
      <c r="H417" s="13">
        <f t="shared" si="18"/>
        <v>0</v>
      </c>
      <c r="J417" s="13">
        <f t="shared" si="19"/>
        <v>0</v>
      </c>
    </row>
    <row r="418" spans="8:10">
      <c r="H418" s="13">
        <f t="shared" si="18"/>
        <v>0</v>
      </c>
      <c r="J418" s="13">
        <f t="shared" si="19"/>
        <v>0</v>
      </c>
    </row>
    <row r="419" spans="8:10">
      <c r="H419" s="13">
        <f t="shared" si="18"/>
        <v>0</v>
      </c>
      <c r="J419" s="13">
        <f t="shared" si="19"/>
        <v>0</v>
      </c>
    </row>
    <row r="420" spans="8:10">
      <c r="H420" s="13">
        <f t="shared" si="18"/>
        <v>0</v>
      </c>
      <c r="J420" s="13">
        <f t="shared" si="19"/>
        <v>0</v>
      </c>
    </row>
    <row r="421" spans="8:10">
      <c r="H421" s="13">
        <f t="shared" si="18"/>
        <v>0</v>
      </c>
      <c r="J421" s="13">
        <f t="shared" si="19"/>
        <v>0</v>
      </c>
    </row>
    <row r="422" spans="8:10">
      <c r="H422" s="13">
        <f t="shared" si="18"/>
        <v>0</v>
      </c>
      <c r="J422" s="13">
        <f t="shared" si="19"/>
        <v>0</v>
      </c>
    </row>
    <row r="423" spans="8:10">
      <c r="H423" s="13">
        <f t="shared" si="18"/>
        <v>0</v>
      </c>
      <c r="J423" s="13">
        <f t="shared" si="19"/>
        <v>0</v>
      </c>
    </row>
    <row r="424" spans="8:10">
      <c r="H424" s="13">
        <f t="shared" si="18"/>
        <v>0</v>
      </c>
      <c r="J424" s="13">
        <f t="shared" si="19"/>
        <v>0</v>
      </c>
    </row>
    <row r="425" spans="8:10">
      <c r="H425" s="13">
        <f t="shared" si="18"/>
        <v>0</v>
      </c>
      <c r="J425" s="13">
        <f t="shared" si="19"/>
        <v>0</v>
      </c>
    </row>
    <row r="426" spans="8:10">
      <c r="H426" s="13">
        <f t="shared" si="18"/>
        <v>0</v>
      </c>
      <c r="J426" s="13">
        <f t="shared" si="19"/>
        <v>0</v>
      </c>
    </row>
    <row r="427" spans="8:10">
      <c r="H427" s="13">
        <f t="shared" si="18"/>
        <v>0</v>
      </c>
      <c r="J427" s="13">
        <f t="shared" si="19"/>
        <v>0</v>
      </c>
    </row>
    <row r="428" spans="8:10">
      <c r="H428" s="13">
        <f t="shared" si="18"/>
        <v>0</v>
      </c>
      <c r="J428" s="13">
        <f t="shared" si="19"/>
        <v>0</v>
      </c>
    </row>
    <row r="429" spans="8:10">
      <c r="H429" s="13">
        <f t="shared" si="18"/>
        <v>0</v>
      </c>
      <c r="J429" s="13">
        <f t="shared" si="19"/>
        <v>0</v>
      </c>
    </row>
    <row r="430" spans="8:10">
      <c r="H430" s="13">
        <f t="shared" si="18"/>
        <v>0</v>
      </c>
      <c r="J430" s="13">
        <f t="shared" si="19"/>
        <v>0</v>
      </c>
    </row>
    <row r="431" spans="8:10">
      <c r="H431" s="13">
        <f t="shared" si="18"/>
        <v>0</v>
      </c>
      <c r="J431" s="13">
        <f t="shared" si="19"/>
        <v>0</v>
      </c>
    </row>
    <row r="432" spans="8:10">
      <c r="H432" s="13">
        <f t="shared" si="18"/>
        <v>0</v>
      </c>
      <c r="J432" s="13">
        <f t="shared" si="19"/>
        <v>0</v>
      </c>
    </row>
    <row r="433" spans="8:10">
      <c r="H433" s="13">
        <f t="shared" si="18"/>
        <v>0</v>
      </c>
      <c r="J433" s="13">
        <f t="shared" si="19"/>
        <v>0</v>
      </c>
    </row>
    <row r="434" spans="8:10">
      <c r="H434" s="13">
        <f t="shared" si="18"/>
        <v>0</v>
      </c>
      <c r="J434" s="13">
        <f t="shared" si="19"/>
        <v>0</v>
      </c>
    </row>
    <row r="435" spans="8:10">
      <c r="H435" s="13">
        <f t="shared" si="18"/>
        <v>0</v>
      </c>
      <c r="J435" s="13">
        <f t="shared" si="19"/>
        <v>0</v>
      </c>
    </row>
    <row r="436" spans="8:10">
      <c r="H436" s="13">
        <f t="shared" si="18"/>
        <v>0</v>
      </c>
      <c r="J436" s="13">
        <f t="shared" si="19"/>
        <v>0</v>
      </c>
    </row>
    <row r="437" spans="8:10">
      <c r="J437" s="13">
        <f t="shared" si="19"/>
        <v>0</v>
      </c>
    </row>
    <row r="438" spans="8:10">
      <c r="J438" s="13">
        <f t="shared" si="19"/>
        <v>0</v>
      </c>
    </row>
    <row r="439" spans="8:10">
      <c r="J439" s="13">
        <f t="shared" si="19"/>
        <v>0</v>
      </c>
    </row>
    <row r="440" spans="8:10">
      <c r="J440" s="13">
        <f t="shared" si="19"/>
        <v>0</v>
      </c>
    </row>
    <row r="441" spans="8:10">
      <c r="J441" s="13">
        <f t="shared" si="19"/>
        <v>0</v>
      </c>
    </row>
    <row r="442" spans="8:10">
      <c r="J442" s="13">
        <f t="shared" si="19"/>
        <v>0</v>
      </c>
    </row>
    <row r="443" spans="8:10">
      <c r="J443" s="13">
        <f t="shared" si="19"/>
        <v>0</v>
      </c>
    </row>
    <row r="444" spans="8:10">
      <c r="J444" s="13">
        <f t="shared" si="19"/>
        <v>0</v>
      </c>
    </row>
    <row r="445" spans="8:10">
      <c r="J445" s="13">
        <f t="shared" si="19"/>
        <v>0</v>
      </c>
    </row>
    <row r="446" spans="8:10">
      <c r="J446" s="13">
        <f t="shared" si="19"/>
        <v>0</v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5454724-167C-40AF-AB81-874D277C1F47}">
  <sheetPr codeName="Sheet5"/>
  <dimension ref="A1:AE1000"/>
  <sheetViews>
    <sheetView workbookViewId="0">
      <selection activeCell="E9" sqref="E9"/>
    </sheetView>
  </sheetViews>
  <sheetFormatPr defaultRowHeight="15"/>
  <cols>
    <col min="1" max="1" width="14.5703125" bestFit="1" customWidth="1"/>
    <col min="2" max="2" width="19.85546875" bestFit="1" customWidth="1"/>
    <col min="3" max="3" width="18.7109375" bestFit="1" customWidth="1"/>
    <col min="4" max="4" width="9.140625" bestFit="1" customWidth="1"/>
    <col min="5" max="5" width="15.140625" bestFit="1" customWidth="1"/>
    <col min="6" max="6" width="36.28515625" bestFit="1" customWidth="1"/>
    <col min="7" max="7" width="14.7109375" bestFit="1" customWidth="1"/>
    <col min="8" max="8" width="19.85546875" bestFit="1" customWidth="1"/>
    <col min="9" max="9" width="33.85546875" bestFit="1" customWidth="1"/>
    <col min="10" max="10" width="10.5703125" bestFit="1" customWidth="1"/>
    <col min="11" max="11" width="20.140625" bestFit="1" customWidth="1"/>
    <col min="12" max="12" width="22" bestFit="1" customWidth="1"/>
    <col min="13" max="13" width="23.42578125" bestFit="1" customWidth="1"/>
    <col min="14" max="14" width="13.5703125" bestFit="1" customWidth="1"/>
    <col min="15" max="15" width="19.85546875" bestFit="1" customWidth="1"/>
    <col min="16" max="16" width="30.28515625" bestFit="1" customWidth="1"/>
    <col min="17" max="17" width="35.42578125" bestFit="1" customWidth="1"/>
    <col min="18" max="18" width="41" bestFit="1" customWidth="1"/>
    <col min="19" max="19" width="46" bestFit="1" customWidth="1"/>
    <col min="20" max="20" width="23.85546875" bestFit="1" customWidth="1"/>
    <col min="21" max="21" width="38.42578125" bestFit="1" customWidth="1"/>
    <col min="22" max="22" width="12.7109375" bestFit="1" customWidth="1"/>
    <col min="23" max="23" width="17.28515625" bestFit="1" customWidth="1"/>
    <col min="24" max="24" width="24.7109375" bestFit="1" customWidth="1"/>
    <col min="25" max="25" width="34.5703125" bestFit="1" customWidth="1"/>
    <col min="26" max="26" width="99" bestFit="1" customWidth="1"/>
    <col min="27" max="27" width="15" bestFit="1" customWidth="1"/>
    <col min="28" max="28" width="64.5703125" bestFit="1" customWidth="1"/>
    <col min="29" max="29" width="17.7109375" bestFit="1" customWidth="1"/>
    <col min="30" max="30" width="38.28515625" bestFit="1" customWidth="1"/>
    <col min="31" max="31" width="17.7109375" bestFit="1" customWidth="1"/>
  </cols>
  <sheetData>
    <row r="1" spans="1:31">
      <c r="A1" t="str" cm="1">
        <f t="array" ref="A1:AB1000">Input!D1:AE1000</f>
        <v>Business name</v>
      </c>
      <c r="B1" t="str">
        <v>System manufacturer</v>
      </c>
      <c r="C1" t="str">
        <v>System chassis type</v>
      </c>
      <c r="D1" t="str">
        <v>Custom 1</v>
      </c>
      <c r="E1" t="str">
        <v>Device Identifier</v>
      </c>
      <c r="F1" t="str">
        <v>Erasure state</v>
      </c>
      <c r="G1" t="str">
        <v>System serial</v>
      </c>
      <c r="H1" t="str">
        <v>System version</v>
      </c>
      <c r="I1" t="str">
        <v>System model</v>
      </c>
      <c r="J1" t="str">
        <v>Battery test</v>
      </c>
      <c r="K1" t="str">
        <v>Display test comment</v>
      </c>
      <c r="L1" t="str">
        <v>Keyboard test comment</v>
      </c>
      <c r="M1" t="str">
        <v>Pointer Test Comment</v>
      </c>
      <c r="N1" t="str">
        <v>Speakers test</v>
      </c>
      <c r="O1" t="str">
        <v>USB port hardware test comment</v>
      </c>
      <c r="P1" t="str">
        <v>Webcam test comment</v>
      </c>
      <c r="Q1" t="str">
        <v>CPU model</v>
      </c>
      <c r="R1" t="str">
        <v>Memory capacity</v>
      </c>
      <c r="S1" t="str">
        <v>Memory type</v>
      </c>
      <c r="T1" t="str">
        <v>Disk capacity</v>
      </c>
      <c r="U1" t="str">
        <v>Disk interface type</v>
      </c>
      <c r="V1" t="str">
        <v>Disk serial</v>
      </c>
      <c r="W1" t="str">
        <v>Disk model</v>
      </c>
      <c r="X1" t="str">
        <v>Erasure start time</v>
      </c>
      <c r="Y1" t="str">
        <v>Battery capacity</v>
      </c>
      <c r="Z1" t="str">
        <v>Battery test comment</v>
      </c>
      <c r="AA1" t="str">
        <v>Erasure technician</v>
      </c>
      <c r="AB1" t="str">
        <v>UUID</v>
      </c>
      <c r="AE1" t="s">
        <v>56</v>
      </c>
    </row>
    <row r="2" spans="1:31">
      <c r="A2">
        <v>0</v>
      </c>
      <c r="B2">
        <v>0</v>
      </c>
      <c r="C2">
        <v>0</v>
      </c>
      <c r="D2">
        <v>0</v>
      </c>
      <c r="E2">
        <v>0</v>
      </c>
      <c r="F2">
        <v>0</v>
      </c>
      <c r="G2">
        <v>0</v>
      </c>
      <c r="H2">
        <v>0</v>
      </c>
      <c r="I2">
        <v>0</v>
      </c>
      <c r="J2">
        <v>0</v>
      </c>
      <c r="K2">
        <v>0</v>
      </c>
      <c r="L2">
        <v>0</v>
      </c>
      <c r="M2">
        <v>0</v>
      </c>
      <c r="N2">
        <v>0</v>
      </c>
      <c r="O2">
        <v>0</v>
      </c>
      <c r="P2">
        <v>0</v>
      </c>
      <c r="Q2">
        <v>0</v>
      </c>
      <c r="R2">
        <v>0</v>
      </c>
      <c r="S2">
        <v>0</v>
      </c>
      <c r="T2">
        <v>0</v>
      </c>
      <c r="U2">
        <v>0</v>
      </c>
      <c r="V2">
        <v>0</v>
      </c>
      <c r="W2">
        <v>0</v>
      </c>
      <c r="X2">
        <v>0</v>
      </c>
      <c r="Y2">
        <v>0</v>
      </c>
      <c r="Z2">
        <v>0</v>
      </c>
      <c r="AA2">
        <v>0</v>
      </c>
      <c r="AB2">
        <v>0</v>
      </c>
      <c r="AE2" t="str">
        <f>IF(ISNUMBER(SEARCH("Successful",F2)),
   "Successful",
   IF(F2="Failed","Failed",""))</f>
        <v/>
      </c>
    </row>
    <row r="3" spans="1:31">
      <c r="A3">
        <v>0</v>
      </c>
      <c r="B3">
        <v>0</v>
      </c>
      <c r="C3">
        <v>0</v>
      </c>
      <c r="D3">
        <v>0</v>
      </c>
      <c r="E3">
        <v>0</v>
      </c>
      <c r="F3">
        <v>0</v>
      </c>
      <c r="G3">
        <v>0</v>
      </c>
      <c r="H3">
        <v>0</v>
      </c>
      <c r="I3">
        <v>0</v>
      </c>
      <c r="J3">
        <v>0</v>
      </c>
      <c r="K3">
        <v>0</v>
      </c>
      <c r="L3">
        <v>0</v>
      </c>
      <c r="M3">
        <v>0</v>
      </c>
      <c r="N3">
        <v>0</v>
      </c>
      <c r="O3">
        <v>0</v>
      </c>
      <c r="P3">
        <v>0</v>
      </c>
      <c r="Q3">
        <v>0</v>
      </c>
      <c r="R3">
        <v>0</v>
      </c>
      <c r="S3">
        <v>0</v>
      </c>
      <c r="T3">
        <v>0</v>
      </c>
      <c r="U3">
        <v>0</v>
      </c>
      <c r="V3">
        <v>0</v>
      </c>
      <c r="W3">
        <v>0</v>
      </c>
      <c r="X3">
        <v>0</v>
      </c>
      <c r="Y3">
        <v>0</v>
      </c>
      <c r="Z3">
        <v>0</v>
      </c>
      <c r="AA3">
        <v>0</v>
      </c>
      <c r="AB3">
        <v>0</v>
      </c>
      <c r="AE3" t="str">
        <f t="shared" ref="AE3:AE66" si="0">IF(ISNUMBER(SEARCH("Successful",F3)),
   "Successful",
   IF(F3="Failed","Failed",""))</f>
        <v/>
      </c>
    </row>
    <row r="4" spans="1:31">
      <c r="A4">
        <v>0</v>
      </c>
      <c r="B4">
        <v>0</v>
      </c>
      <c r="C4">
        <v>0</v>
      </c>
      <c r="D4">
        <v>0</v>
      </c>
      <c r="E4">
        <v>0</v>
      </c>
      <c r="F4">
        <v>0</v>
      </c>
      <c r="G4">
        <v>0</v>
      </c>
      <c r="H4">
        <v>0</v>
      </c>
      <c r="I4">
        <v>0</v>
      </c>
      <c r="J4">
        <v>0</v>
      </c>
      <c r="K4">
        <v>0</v>
      </c>
      <c r="L4">
        <v>0</v>
      </c>
      <c r="M4">
        <v>0</v>
      </c>
      <c r="N4">
        <v>0</v>
      </c>
      <c r="O4">
        <v>0</v>
      </c>
      <c r="P4">
        <v>0</v>
      </c>
      <c r="Q4">
        <v>0</v>
      </c>
      <c r="R4">
        <v>0</v>
      </c>
      <c r="S4">
        <v>0</v>
      </c>
      <c r="T4">
        <v>0</v>
      </c>
      <c r="U4">
        <v>0</v>
      </c>
      <c r="V4">
        <v>0</v>
      </c>
      <c r="W4">
        <v>0</v>
      </c>
      <c r="X4">
        <v>0</v>
      </c>
      <c r="Y4">
        <v>0</v>
      </c>
      <c r="Z4">
        <v>0</v>
      </c>
      <c r="AA4">
        <v>0</v>
      </c>
      <c r="AB4">
        <v>0</v>
      </c>
      <c r="AE4" t="str">
        <f t="shared" si="0"/>
        <v/>
      </c>
    </row>
    <row r="5" spans="1:31">
      <c r="A5">
        <v>0</v>
      </c>
      <c r="B5">
        <v>0</v>
      </c>
      <c r="C5">
        <v>0</v>
      </c>
      <c r="D5">
        <v>0</v>
      </c>
      <c r="E5">
        <v>0</v>
      </c>
      <c r="F5">
        <v>0</v>
      </c>
      <c r="G5">
        <v>0</v>
      </c>
      <c r="H5">
        <v>0</v>
      </c>
      <c r="I5">
        <v>0</v>
      </c>
      <c r="J5">
        <v>0</v>
      </c>
      <c r="K5">
        <v>0</v>
      </c>
      <c r="L5">
        <v>0</v>
      </c>
      <c r="M5">
        <v>0</v>
      </c>
      <c r="N5">
        <v>0</v>
      </c>
      <c r="O5">
        <v>0</v>
      </c>
      <c r="P5">
        <v>0</v>
      </c>
      <c r="Q5">
        <v>0</v>
      </c>
      <c r="R5">
        <v>0</v>
      </c>
      <c r="S5">
        <v>0</v>
      </c>
      <c r="T5">
        <v>0</v>
      </c>
      <c r="U5">
        <v>0</v>
      </c>
      <c r="V5">
        <v>0</v>
      </c>
      <c r="W5">
        <v>0</v>
      </c>
      <c r="X5">
        <v>0</v>
      </c>
      <c r="Y5">
        <v>0</v>
      </c>
      <c r="Z5">
        <v>0</v>
      </c>
      <c r="AA5">
        <v>0</v>
      </c>
      <c r="AB5">
        <v>0</v>
      </c>
      <c r="AE5" t="str">
        <f t="shared" si="0"/>
        <v/>
      </c>
    </row>
    <row r="6" spans="1:31">
      <c r="A6">
        <v>0</v>
      </c>
      <c r="B6">
        <v>0</v>
      </c>
      <c r="C6">
        <v>0</v>
      </c>
      <c r="D6">
        <v>0</v>
      </c>
      <c r="E6">
        <v>0</v>
      </c>
      <c r="F6">
        <v>0</v>
      </c>
      <c r="G6">
        <v>0</v>
      </c>
      <c r="H6">
        <v>0</v>
      </c>
      <c r="I6">
        <v>0</v>
      </c>
      <c r="J6">
        <v>0</v>
      </c>
      <c r="K6">
        <v>0</v>
      </c>
      <c r="L6">
        <v>0</v>
      </c>
      <c r="M6">
        <v>0</v>
      </c>
      <c r="N6">
        <v>0</v>
      </c>
      <c r="O6">
        <v>0</v>
      </c>
      <c r="P6">
        <v>0</v>
      </c>
      <c r="Q6">
        <v>0</v>
      </c>
      <c r="R6">
        <v>0</v>
      </c>
      <c r="S6">
        <v>0</v>
      </c>
      <c r="T6">
        <v>0</v>
      </c>
      <c r="U6">
        <v>0</v>
      </c>
      <c r="V6">
        <v>0</v>
      </c>
      <c r="W6">
        <v>0</v>
      </c>
      <c r="X6">
        <v>0</v>
      </c>
      <c r="Y6">
        <v>0</v>
      </c>
      <c r="Z6">
        <v>0</v>
      </c>
      <c r="AA6">
        <v>0</v>
      </c>
      <c r="AB6">
        <v>0</v>
      </c>
      <c r="AE6" t="str">
        <f t="shared" si="0"/>
        <v/>
      </c>
    </row>
    <row r="7" spans="1:31">
      <c r="A7">
        <v>0</v>
      </c>
      <c r="B7">
        <v>0</v>
      </c>
      <c r="C7">
        <v>0</v>
      </c>
      <c r="D7">
        <v>0</v>
      </c>
      <c r="E7">
        <v>0</v>
      </c>
      <c r="F7">
        <v>0</v>
      </c>
      <c r="G7">
        <v>0</v>
      </c>
      <c r="H7">
        <v>0</v>
      </c>
      <c r="I7">
        <v>0</v>
      </c>
      <c r="J7">
        <v>0</v>
      </c>
      <c r="K7">
        <v>0</v>
      </c>
      <c r="L7">
        <v>0</v>
      </c>
      <c r="M7">
        <v>0</v>
      </c>
      <c r="N7">
        <v>0</v>
      </c>
      <c r="O7">
        <v>0</v>
      </c>
      <c r="P7">
        <v>0</v>
      </c>
      <c r="Q7">
        <v>0</v>
      </c>
      <c r="R7">
        <v>0</v>
      </c>
      <c r="S7">
        <v>0</v>
      </c>
      <c r="T7">
        <v>0</v>
      </c>
      <c r="U7">
        <v>0</v>
      </c>
      <c r="V7">
        <v>0</v>
      </c>
      <c r="W7">
        <v>0</v>
      </c>
      <c r="X7">
        <v>0</v>
      </c>
      <c r="Y7">
        <v>0</v>
      </c>
      <c r="Z7">
        <v>0</v>
      </c>
      <c r="AA7">
        <v>0</v>
      </c>
      <c r="AB7">
        <v>0</v>
      </c>
      <c r="AE7" t="str">
        <f t="shared" si="0"/>
        <v/>
      </c>
    </row>
    <row r="8" spans="1:31">
      <c r="A8">
        <v>0</v>
      </c>
      <c r="B8">
        <v>0</v>
      </c>
      <c r="C8">
        <v>0</v>
      </c>
      <c r="D8">
        <v>0</v>
      </c>
      <c r="E8">
        <v>0</v>
      </c>
      <c r="F8">
        <v>0</v>
      </c>
      <c r="G8">
        <v>0</v>
      </c>
      <c r="H8">
        <v>0</v>
      </c>
      <c r="I8">
        <v>0</v>
      </c>
      <c r="J8">
        <v>0</v>
      </c>
      <c r="K8">
        <v>0</v>
      </c>
      <c r="L8">
        <v>0</v>
      </c>
      <c r="M8">
        <v>0</v>
      </c>
      <c r="N8">
        <v>0</v>
      </c>
      <c r="O8">
        <v>0</v>
      </c>
      <c r="P8">
        <v>0</v>
      </c>
      <c r="Q8">
        <v>0</v>
      </c>
      <c r="R8">
        <v>0</v>
      </c>
      <c r="S8">
        <v>0</v>
      </c>
      <c r="T8">
        <v>0</v>
      </c>
      <c r="U8">
        <v>0</v>
      </c>
      <c r="V8">
        <v>0</v>
      </c>
      <c r="W8">
        <v>0</v>
      </c>
      <c r="X8">
        <v>0</v>
      </c>
      <c r="Y8">
        <v>0</v>
      </c>
      <c r="Z8">
        <v>0</v>
      </c>
      <c r="AA8">
        <v>0</v>
      </c>
      <c r="AB8">
        <v>0</v>
      </c>
      <c r="AE8" t="str">
        <f t="shared" si="0"/>
        <v/>
      </c>
    </row>
    <row r="9" spans="1:31">
      <c r="A9">
        <v>0</v>
      </c>
      <c r="B9">
        <v>0</v>
      </c>
      <c r="C9">
        <v>0</v>
      </c>
      <c r="D9">
        <v>0</v>
      </c>
      <c r="E9">
        <v>0</v>
      </c>
      <c r="F9">
        <v>0</v>
      </c>
      <c r="G9">
        <v>0</v>
      </c>
      <c r="H9">
        <v>0</v>
      </c>
      <c r="I9">
        <v>0</v>
      </c>
      <c r="J9">
        <v>0</v>
      </c>
      <c r="K9">
        <v>0</v>
      </c>
      <c r="L9">
        <v>0</v>
      </c>
      <c r="M9">
        <v>0</v>
      </c>
      <c r="N9">
        <v>0</v>
      </c>
      <c r="O9">
        <v>0</v>
      </c>
      <c r="P9">
        <v>0</v>
      </c>
      <c r="Q9">
        <v>0</v>
      </c>
      <c r="R9">
        <v>0</v>
      </c>
      <c r="S9">
        <v>0</v>
      </c>
      <c r="T9">
        <v>0</v>
      </c>
      <c r="U9">
        <v>0</v>
      </c>
      <c r="V9">
        <v>0</v>
      </c>
      <c r="W9">
        <v>0</v>
      </c>
      <c r="X9">
        <v>0</v>
      </c>
      <c r="Y9">
        <v>0</v>
      </c>
      <c r="Z9">
        <v>0</v>
      </c>
      <c r="AA9">
        <v>0</v>
      </c>
      <c r="AB9">
        <v>0</v>
      </c>
      <c r="AE9" t="str">
        <f t="shared" si="0"/>
        <v/>
      </c>
    </row>
    <row r="10" spans="1:31">
      <c r="A10">
        <v>0</v>
      </c>
      <c r="B10">
        <v>0</v>
      </c>
      <c r="C10">
        <v>0</v>
      </c>
      <c r="D10">
        <v>0</v>
      </c>
      <c r="E10">
        <v>0</v>
      </c>
      <c r="F10">
        <v>0</v>
      </c>
      <c r="G10">
        <v>0</v>
      </c>
      <c r="H10">
        <v>0</v>
      </c>
      <c r="I10">
        <v>0</v>
      </c>
      <c r="J10">
        <v>0</v>
      </c>
      <c r="K10">
        <v>0</v>
      </c>
      <c r="L10">
        <v>0</v>
      </c>
      <c r="M10">
        <v>0</v>
      </c>
      <c r="N10">
        <v>0</v>
      </c>
      <c r="O10">
        <v>0</v>
      </c>
      <c r="P10">
        <v>0</v>
      </c>
      <c r="Q10">
        <v>0</v>
      </c>
      <c r="R10">
        <v>0</v>
      </c>
      <c r="S10">
        <v>0</v>
      </c>
      <c r="T10">
        <v>0</v>
      </c>
      <c r="U10">
        <v>0</v>
      </c>
      <c r="V10">
        <v>0</v>
      </c>
      <c r="W10">
        <v>0</v>
      </c>
      <c r="X10">
        <v>0</v>
      </c>
      <c r="Y10">
        <v>0</v>
      </c>
      <c r="Z10">
        <v>0</v>
      </c>
      <c r="AA10">
        <v>0</v>
      </c>
      <c r="AB10">
        <v>0</v>
      </c>
      <c r="AE10" t="str">
        <f t="shared" si="0"/>
        <v/>
      </c>
    </row>
    <row r="11" spans="1:31">
      <c r="A11">
        <v>0</v>
      </c>
      <c r="B11">
        <v>0</v>
      </c>
      <c r="C11">
        <v>0</v>
      </c>
      <c r="D11">
        <v>0</v>
      </c>
      <c r="E11">
        <v>0</v>
      </c>
      <c r="F11">
        <v>0</v>
      </c>
      <c r="G11">
        <v>0</v>
      </c>
      <c r="H11">
        <v>0</v>
      </c>
      <c r="I11">
        <v>0</v>
      </c>
      <c r="J11">
        <v>0</v>
      </c>
      <c r="K11">
        <v>0</v>
      </c>
      <c r="L11">
        <v>0</v>
      </c>
      <c r="M11">
        <v>0</v>
      </c>
      <c r="N11">
        <v>0</v>
      </c>
      <c r="O11">
        <v>0</v>
      </c>
      <c r="P11">
        <v>0</v>
      </c>
      <c r="Q11">
        <v>0</v>
      </c>
      <c r="R11">
        <v>0</v>
      </c>
      <c r="S11">
        <v>0</v>
      </c>
      <c r="T11">
        <v>0</v>
      </c>
      <c r="U11">
        <v>0</v>
      </c>
      <c r="V11">
        <v>0</v>
      </c>
      <c r="W11">
        <v>0</v>
      </c>
      <c r="X11">
        <v>0</v>
      </c>
      <c r="Y11">
        <v>0</v>
      </c>
      <c r="Z11">
        <v>0</v>
      </c>
      <c r="AA11">
        <v>0</v>
      </c>
      <c r="AB11">
        <v>0</v>
      </c>
      <c r="AE11" t="str">
        <f t="shared" si="0"/>
        <v/>
      </c>
    </row>
    <row r="12" spans="1:31">
      <c r="A12">
        <v>0</v>
      </c>
      <c r="B12">
        <v>0</v>
      </c>
      <c r="C12">
        <v>0</v>
      </c>
      <c r="D12">
        <v>0</v>
      </c>
      <c r="E12">
        <v>0</v>
      </c>
      <c r="F12">
        <v>0</v>
      </c>
      <c r="G12">
        <v>0</v>
      </c>
      <c r="H12">
        <v>0</v>
      </c>
      <c r="I12">
        <v>0</v>
      </c>
      <c r="J12">
        <v>0</v>
      </c>
      <c r="K12">
        <v>0</v>
      </c>
      <c r="L12">
        <v>0</v>
      </c>
      <c r="M12">
        <v>0</v>
      </c>
      <c r="N12">
        <v>0</v>
      </c>
      <c r="O12">
        <v>0</v>
      </c>
      <c r="P12">
        <v>0</v>
      </c>
      <c r="Q12">
        <v>0</v>
      </c>
      <c r="R12">
        <v>0</v>
      </c>
      <c r="S12">
        <v>0</v>
      </c>
      <c r="T12">
        <v>0</v>
      </c>
      <c r="U12">
        <v>0</v>
      </c>
      <c r="V12">
        <v>0</v>
      </c>
      <c r="W12">
        <v>0</v>
      </c>
      <c r="X12">
        <v>0</v>
      </c>
      <c r="Y12">
        <v>0</v>
      </c>
      <c r="Z12">
        <v>0</v>
      </c>
      <c r="AA12">
        <v>0</v>
      </c>
      <c r="AB12">
        <v>0</v>
      </c>
      <c r="AE12" t="str">
        <f t="shared" si="0"/>
        <v/>
      </c>
    </row>
    <row r="13" spans="1:31">
      <c r="A13">
        <v>0</v>
      </c>
      <c r="B13">
        <v>0</v>
      </c>
      <c r="C13">
        <v>0</v>
      </c>
      <c r="D13">
        <v>0</v>
      </c>
      <c r="E13">
        <v>0</v>
      </c>
      <c r="F13">
        <v>0</v>
      </c>
      <c r="G13">
        <v>0</v>
      </c>
      <c r="H13">
        <v>0</v>
      </c>
      <c r="I13">
        <v>0</v>
      </c>
      <c r="J13">
        <v>0</v>
      </c>
      <c r="K13">
        <v>0</v>
      </c>
      <c r="L13">
        <v>0</v>
      </c>
      <c r="M13">
        <v>0</v>
      </c>
      <c r="N13">
        <v>0</v>
      </c>
      <c r="O13">
        <v>0</v>
      </c>
      <c r="P13">
        <v>0</v>
      </c>
      <c r="Q13">
        <v>0</v>
      </c>
      <c r="R13">
        <v>0</v>
      </c>
      <c r="S13">
        <v>0</v>
      </c>
      <c r="T13">
        <v>0</v>
      </c>
      <c r="U13">
        <v>0</v>
      </c>
      <c r="V13">
        <v>0</v>
      </c>
      <c r="W13">
        <v>0</v>
      </c>
      <c r="X13">
        <v>0</v>
      </c>
      <c r="Y13">
        <v>0</v>
      </c>
      <c r="Z13">
        <v>0</v>
      </c>
      <c r="AA13">
        <v>0</v>
      </c>
      <c r="AB13">
        <v>0</v>
      </c>
      <c r="AE13" t="str">
        <f t="shared" si="0"/>
        <v/>
      </c>
    </row>
    <row r="14" spans="1:31">
      <c r="A14">
        <v>0</v>
      </c>
      <c r="B14">
        <v>0</v>
      </c>
      <c r="C14">
        <v>0</v>
      </c>
      <c r="D14">
        <v>0</v>
      </c>
      <c r="E14">
        <v>0</v>
      </c>
      <c r="F14">
        <v>0</v>
      </c>
      <c r="G14">
        <v>0</v>
      </c>
      <c r="H14">
        <v>0</v>
      </c>
      <c r="I14">
        <v>0</v>
      </c>
      <c r="J14">
        <v>0</v>
      </c>
      <c r="K14">
        <v>0</v>
      </c>
      <c r="L14">
        <v>0</v>
      </c>
      <c r="M14">
        <v>0</v>
      </c>
      <c r="N14">
        <v>0</v>
      </c>
      <c r="O14">
        <v>0</v>
      </c>
      <c r="P14">
        <v>0</v>
      </c>
      <c r="Q14">
        <v>0</v>
      </c>
      <c r="R14">
        <v>0</v>
      </c>
      <c r="S14">
        <v>0</v>
      </c>
      <c r="T14">
        <v>0</v>
      </c>
      <c r="U14">
        <v>0</v>
      </c>
      <c r="V14">
        <v>0</v>
      </c>
      <c r="W14">
        <v>0</v>
      </c>
      <c r="X14">
        <v>0</v>
      </c>
      <c r="Y14">
        <v>0</v>
      </c>
      <c r="Z14">
        <v>0</v>
      </c>
      <c r="AA14">
        <v>0</v>
      </c>
      <c r="AB14">
        <v>0</v>
      </c>
      <c r="AE14" t="str">
        <f t="shared" si="0"/>
        <v/>
      </c>
    </row>
    <row r="15" spans="1:31">
      <c r="A15">
        <v>0</v>
      </c>
      <c r="B15">
        <v>0</v>
      </c>
      <c r="C15">
        <v>0</v>
      </c>
      <c r="D15">
        <v>0</v>
      </c>
      <c r="E15">
        <v>0</v>
      </c>
      <c r="F15">
        <v>0</v>
      </c>
      <c r="G15">
        <v>0</v>
      </c>
      <c r="H15">
        <v>0</v>
      </c>
      <c r="I15">
        <v>0</v>
      </c>
      <c r="J15">
        <v>0</v>
      </c>
      <c r="K15">
        <v>0</v>
      </c>
      <c r="L15">
        <v>0</v>
      </c>
      <c r="M15">
        <v>0</v>
      </c>
      <c r="N15">
        <v>0</v>
      </c>
      <c r="O15">
        <v>0</v>
      </c>
      <c r="P15">
        <v>0</v>
      </c>
      <c r="Q15">
        <v>0</v>
      </c>
      <c r="R15">
        <v>0</v>
      </c>
      <c r="S15">
        <v>0</v>
      </c>
      <c r="T15">
        <v>0</v>
      </c>
      <c r="U15">
        <v>0</v>
      </c>
      <c r="V15">
        <v>0</v>
      </c>
      <c r="W15">
        <v>0</v>
      </c>
      <c r="X15">
        <v>0</v>
      </c>
      <c r="Y15">
        <v>0</v>
      </c>
      <c r="Z15">
        <v>0</v>
      </c>
      <c r="AA15">
        <v>0</v>
      </c>
      <c r="AB15">
        <v>0</v>
      </c>
      <c r="AE15" t="str">
        <f t="shared" si="0"/>
        <v/>
      </c>
    </row>
    <row r="16" spans="1:31">
      <c r="A16">
        <v>0</v>
      </c>
      <c r="B16">
        <v>0</v>
      </c>
      <c r="C16">
        <v>0</v>
      </c>
      <c r="D16">
        <v>0</v>
      </c>
      <c r="E16">
        <v>0</v>
      </c>
      <c r="F16">
        <v>0</v>
      </c>
      <c r="G16">
        <v>0</v>
      </c>
      <c r="H16">
        <v>0</v>
      </c>
      <c r="I16">
        <v>0</v>
      </c>
      <c r="J16">
        <v>0</v>
      </c>
      <c r="K16">
        <v>0</v>
      </c>
      <c r="L16">
        <v>0</v>
      </c>
      <c r="M16">
        <v>0</v>
      </c>
      <c r="N16">
        <v>0</v>
      </c>
      <c r="O16">
        <v>0</v>
      </c>
      <c r="P16">
        <v>0</v>
      </c>
      <c r="Q16">
        <v>0</v>
      </c>
      <c r="R16">
        <v>0</v>
      </c>
      <c r="S16">
        <v>0</v>
      </c>
      <c r="T16">
        <v>0</v>
      </c>
      <c r="U16">
        <v>0</v>
      </c>
      <c r="V16">
        <v>0</v>
      </c>
      <c r="W16">
        <v>0</v>
      </c>
      <c r="X16">
        <v>0</v>
      </c>
      <c r="Y16">
        <v>0</v>
      </c>
      <c r="Z16">
        <v>0</v>
      </c>
      <c r="AA16">
        <v>0</v>
      </c>
      <c r="AB16">
        <v>0</v>
      </c>
      <c r="AE16" t="str">
        <f t="shared" si="0"/>
        <v/>
      </c>
    </row>
    <row r="17" spans="1:31">
      <c r="A17">
        <v>0</v>
      </c>
      <c r="B17">
        <v>0</v>
      </c>
      <c r="C17">
        <v>0</v>
      </c>
      <c r="D17">
        <v>0</v>
      </c>
      <c r="E17">
        <v>0</v>
      </c>
      <c r="F17">
        <v>0</v>
      </c>
      <c r="G17">
        <v>0</v>
      </c>
      <c r="H17">
        <v>0</v>
      </c>
      <c r="I17">
        <v>0</v>
      </c>
      <c r="J17">
        <v>0</v>
      </c>
      <c r="K17">
        <v>0</v>
      </c>
      <c r="L17">
        <v>0</v>
      </c>
      <c r="M17">
        <v>0</v>
      </c>
      <c r="N17">
        <v>0</v>
      </c>
      <c r="O17">
        <v>0</v>
      </c>
      <c r="P17">
        <v>0</v>
      </c>
      <c r="Q17">
        <v>0</v>
      </c>
      <c r="R17">
        <v>0</v>
      </c>
      <c r="S17">
        <v>0</v>
      </c>
      <c r="T17">
        <v>0</v>
      </c>
      <c r="U17">
        <v>0</v>
      </c>
      <c r="V17">
        <v>0</v>
      </c>
      <c r="W17">
        <v>0</v>
      </c>
      <c r="X17">
        <v>0</v>
      </c>
      <c r="Y17">
        <v>0</v>
      </c>
      <c r="Z17">
        <v>0</v>
      </c>
      <c r="AA17">
        <v>0</v>
      </c>
      <c r="AB17">
        <v>0</v>
      </c>
      <c r="AE17" t="str">
        <f t="shared" si="0"/>
        <v/>
      </c>
    </row>
    <row r="18" spans="1:31">
      <c r="A18">
        <v>0</v>
      </c>
      <c r="B18">
        <v>0</v>
      </c>
      <c r="C18">
        <v>0</v>
      </c>
      <c r="D18">
        <v>0</v>
      </c>
      <c r="E18">
        <v>0</v>
      </c>
      <c r="F18">
        <v>0</v>
      </c>
      <c r="G18">
        <v>0</v>
      </c>
      <c r="H18">
        <v>0</v>
      </c>
      <c r="I18">
        <v>0</v>
      </c>
      <c r="J18">
        <v>0</v>
      </c>
      <c r="K18">
        <v>0</v>
      </c>
      <c r="L18">
        <v>0</v>
      </c>
      <c r="M18">
        <v>0</v>
      </c>
      <c r="N18">
        <v>0</v>
      </c>
      <c r="O18">
        <v>0</v>
      </c>
      <c r="P18">
        <v>0</v>
      </c>
      <c r="Q18">
        <v>0</v>
      </c>
      <c r="R18">
        <v>0</v>
      </c>
      <c r="S18">
        <v>0</v>
      </c>
      <c r="T18">
        <v>0</v>
      </c>
      <c r="U18">
        <v>0</v>
      </c>
      <c r="V18">
        <v>0</v>
      </c>
      <c r="W18">
        <v>0</v>
      </c>
      <c r="X18">
        <v>0</v>
      </c>
      <c r="Y18">
        <v>0</v>
      </c>
      <c r="Z18">
        <v>0</v>
      </c>
      <c r="AA18">
        <v>0</v>
      </c>
      <c r="AB18">
        <v>0</v>
      </c>
      <c r="AE18" t="str">
        <f t="shared" si="0"/>
        <v/>
      </c>
    </row>
    <row r="19" spans="1:31">
      <c r="A19">
        <v>0</v>
      </c>
      <c r="B19">
        <v>0</v>
      </c>
      <c r="C19">
        <v>0</v>
      </c>
      <c r="D19">
        <v>0</v>
      </c>
      <c r="E19">
        <v>0</v>
      </c>
      <c r="F19">
        <v>0</v>
      </c>
      <c r="G19">
        <v>0</v>
      </c>
      <c r="H19">
        <v>0</v>
      </c>
      <c r="I19">
        <v>0</v>
      </c>
      <c r="J19">
        <v>0</v>
      </c>
      <c r="K19">
        <v>0</v>
      </c>
      <c r="L19">
        <v>0</v>
      </c>
      <c r="M19">
        <v>0</v>
      </c>
      <c r="N19">
        <v>0</v>
      </c>
      <c r="O19">
        <v>0</v>
      </c>
      <c r="P19">
        <v>0</v>
      </c>
      <c r="Q19">
        <v>0</v>
      </c>
      <c r="R19">
        <v>0</v>
      </c>
      <c r="S19">
        <v>0</v>
      </c>
      <c r="T19">
        <v>0</v>
      </c>
      <c r="U19">
        <v>0</v>
      </c>
      <c r="V19">
        <v>0</v>
      </c>
      <c r="W19">
        <v>0</v>
      </c>
      <c r="X19">
        <v>0</v>
      </c>
      <c r="Y19">
        <v>0</v>
      </c>
      <c r="Z19">
        <v>0</v>
      </c>
      <c r="AA19">
        <v>0</v>
      </c>
      <c r="AB19">
        <v>0</v>
      </c>
      <c r="AE19" t="str">
        <f t="shared" si="0"/>
        <v/>
      </c>
    </row>
    <row r="20" spans="1:31">
      <c r="A20">
        <v>0</v>
      </c>
      <c r="B20">
        <v>0</v>
      </c>
      <c r="C20">
        <v>0</v>
      </c>
      <c r="D20">
        <v>0</v>
      </c>
      <c r="E20">
        <v>0</v>
      </c>
      <c r="F20">
        <v>0</v>
      </c>
      <c r="G20">
        <v>0</v>
      </c>
      <c r="H20">
        <v>0</v>
      </c>
      <c r="I20">
        <v>0</v>
      </c>
      <c r="J20">
        <v>0</v>
      </c>
      <c r="K20">
        <v>0</v>
      </c>
      <c r="L20">
        <v>0</v>
      </c>
      <c r="M20">
        <v>0</v>
      </c>
      <c r="N20">
        <v>0</v>
      </c>
      <c r="O20">
        <v>0</v>
      </c>
      <c r="P20">
        <v>0</v>
      </c>
      <c r="Q20">
        <v>0</v>
      </c>
      <c r="R20">
        <v>0</v>
      </c>
      <c r="S20">
        <v>0</v>
      </c>
      <c r="T20">
        <v>0</v>
      </c>
      <c r="U20">
        <v>0</v>
      </c>
      <c r="V20">
        <v>0</v>
      </c>
      <c r="W20">
        <v>0</v>
      </c>
      <c r="X20">
        <v>0</v>
      </c>
      <c r="Y20">
        <v>0</v>
      </c>
      <c r="Z20">
        <v>0</v>
      </c>
      <c r="AA20">
        <v>0</v>
      </c>
      <c r="AB20">
        <v>0</v>
      </c>
      <c r="AE20" t="str">
        <f t="shared" si="0"/>
        <v/>
      </c>
    </row>
    <row r="21" spans="1:31">
      <c r="A21">
        <v>0</v>
      </c>
      <c r="B21">
        <v>0</v>
      </c>
      <c r="C21">
        <v>0</v>
      </c>
      <c r="D21">
        <v>0</v>
      </c>
      <c r="E21">
        <v>0</v>
      </c>
      <c r="F21">
        <v>0</v>
      </c>
      <c r="G21">
        <v>0</v>
      </c>
      <c r="H21">
        <v>0</v>
      </c>
      <c r="I21">
        <v>0</v>
      </c>
      <c r="J21">
        <v>0</v>
      </c>
      <c r="K21">
        <v>0</v>
      </c>
      <c r="L21">
        <v>0</v>
      </c>
      <c r="M21">
        <v>0</v>
      </c>
      <c r="N21">
        <v>0</v>
      </c>
      <c r="O21">
        <v>0</v>
      </c>
      <c r="P21">
        <v>0</v>
      </c>
      <c r="Q21">
        <v>0</v>
      </c>
      <c r="R21">
        <v>0</v>
      </c>
      <c r="S21">
        <v>0</v>
      </c>
      <c r="T21">
        <v>0</v>
      </c>
      <c r="U21">
        <v>0</v>
      </c>
      <c r="V21">
        <v>0</v>
      </c>
      <c r="W21">
        <v>0</v>
      </c>
      <c r="X21">
        <v>0</v>
      </c>
      <c r="Y21">
        <v>0</v>
      </c>
      <c r="Z21">
        <v>0</v>
      </c>
      <c r="AA21">
        <v>0</v>
      </c>
      <c r="AB21">
        <v>0</v>
      </c>
      <c r="AE21" t="str">
        <f t="shared" si="0"/>
        <v/>
      </c>
    </row>
    <row r="22" spans="1:31">
      <c r="A22">
        <v>0</v>
      </c>
      <c r="B22">
        <v>0</v>
      </c>
      <c r="C22">
        <v>0</v>
      </c>
      <c r="D22">
        <v>0</v>
      </c>
      <c r="E22">
        <v>0</v>
      </c>
      <c r="F22">
        <v>0</v>
      </c>
      <c r="G22">
        <v>0</v>
      </c>
      <c r="H22">
        <v>0</v>
      </c>
      <c r="I22">
        <v>0</v>
      </c>
      <c r="J22">
        <v>0</v>
      </c>
      <c r="K22">
        <v>0</v>
      </c>
      <c r="L22">
        <v>0</v>
      </c>
      <c r="M22">
        <v>0</v>
      </c>
      <c r="N22">
        <v>0</v>
      </c>
      <c r="O22">
        <v>0</v>
      </c>
      <c r="P22">
        <v>0</v>
      </c>
      <c r="Q22">
        <v>0</v>
      </c>
      <c r="R22">
        <v>0</v>
      </c>
      <c r="S22">
        <v>0</v>
      </c>
      <c r="T22">
        <v>0</v>
      </c>
      <c r="U22">
        <v>0</v>
      </c>
      <c r="V22">
        <v>0</v>
      </c>
      <c r="W22">
        <v>0</v>
      </c>
      <c r="X22">
        <v>0</v>
      </c>
      <c r="Y22">
        <v>0</v>
      </c>
      <c r="Z22">
        <v>0</v>
      </c>
      <c r="AA22">
        <v>0</v>
      </c>
      <c r="AB22">
        <v>0</v>
      </c>
      <c r="AE22" t="str">
        <f t="shared" si="0"/>
        <v/>
      </c>
    </row>
    <row r="23" spans="1:31">
      <c r="A23">
        <v>0</v>
      </c>
      <c r="B23">
        <v>0</v>
      </c>
      <c r="C23">
        <v>0</v>
      </c>
      <c r="D23">
        <v>0</v>
      </c>
      <c r="E23">
        <v>0</v>
      </c>
      <c r="F23">
        <v>0</v>
      </c>
      <c r="G23">
        <v>0</v>
      </c>
      <c r="H23">
        <v>0</v>
      </c>
      <c r="I23">
        <v>0</v>
      </c>
      <c r="J23">
        <v>0</v>
      </c>
      <c r="K23">
        <v>0</v>
      </c>
      <c r="L23">
        <v>0</v>
      </c>
      <c r="M23">
        <v>0</v>
      </c>
      <c r="N23">
        <v>0</v>
      </c>
      <c r="O23">
        <v>0</v>
      </c>
      <c r="P23">
        <v>0</v>
      </c>
      <c r="Q23">
        <v>0</v>
      </c>
      <c r="R23">
        <v>0</v>
      </c>
      <c r="S23">
        <v>0</v>
      </c>
      <c r="T23">
        <v>0</v>
      </c>
      <c r="U23">
        <v>0</v>
      </c>
      <c r="V23">
        <v>0</v>
      </c>
      <c r="W23">
        <v>0</v>
      </c>
      <c r="X23">
        <v>0</v>
      </c>
      <c r="Y23">
        <v>0</v>
      </c>
      <c r="Z23">
        <v>0</v>
      </c>
      <c r="AA23">
        <v>0</v>
      </c>
      <c r="AB23">
        <v>0</v>
      </c>
      <c r="AE23" t="str">
        <f t="shared" si="0"/>
        <v/>
      </c>
    </row>
    <row r="24" spans="1:31">
      <c r="A24">
        <v>0</v>
      </c>
      <c r="B24">
        <v>0</v>
      </c>
      <c r="C24">
        <v>0</v>
      </c>
      <c r="D24">
        <v>0</v>
      </c>
      <c r="E24">
        <v>0</v>
      </c>
      <c r="F24">
        <v>0</v>
      </c>
      <c r="G24">
        <v>0</v>
      </c>
      <c r="H24">
        <v>0</v>
      </c>
      <c r="I24">
        <v>0</v>
      </c>
      <c r="J24">
        <v>0</v>
      </c>
      <c r="K24">
        <v>0</v>
      </c>
      <c r="L24">
        <v>0</v>
      </c>
      <c r="M24">
        <v>0</v>
      </c>
      <c r="N24">
        <v>0</v>
      </c>
      <c r="O24">
        <v>0</v>
      </c>
      <c r="P24">
        <v>0</v>
      </c>
      <c r="Q24">
        <v>0</v>
      </c>
      <c r="R24">
        <v>0</v>
      </c>
      <c r="S24">
        <v>0</v>
      </c>
      <c r="T24">
        <v>0</v>
      </c>
      <c r="U24">
        <v>0</v>
      </c>
      <c r="V24">
        <v>0</v>
      </c>
      <c r="W24">
        <v>0</v>
      </c>
      <c r="X24">
        <v>0</v>
      </c>
      <c r="Y24">
        <v>0</v>
      </c>
      <c r="Z24">
        <v>0</v>
      </c>
      <c r="AA24">
        <v>0</v>
      </c>
      <c r="AB24">
        <v>0</v>
      </c>
      <c r="AE24" t="str">
        <f t="shared" si="0"/>
        <v/>
      </c>
    </row>
    <row r="25" spans="1:31">
      <c r="A25">
        <v>0</v>
      </c>
      <c r="B25">
        <v>0</v>
      </c>
      <c r="C25">
        <v>0</v>
      </c>
      <c r="D25">
        <v>0</v>
      </c>
      <c r="E25">
        <v>0</v>
      </c>
      <c r="F25">
        <v>0</v>
      </c>
      <c r="G25">
        <v>0</v>
      </c>
      <c r="H25">
        <v>0</v>
      </c>
      <c r="I25">
        <v>0</v>
      </c>
      <c r="J25">
        <v>0</v>
      </c>
      <c r="K25">
        <v>0</v>
      </c>
      <c r="L25">
        <v>0</v>
      </c>
      <c r="M25">
        <v>0</v>
      </c>
      <c r="N25">
        <v>0</v>
      </c>
      <c r="O25">
        <v>0</v>
      </c>
      <c r="P25">
        <v>0</v>
      </c>
      <c r="Q25">
        <v>0</v>
      </c>
      <c r="R25">
        <v>0</v>
      </c>
      <c r="S25">
        <v>0</v>
      </c>
      <c r="T25">
        <v>0</v>
      </c>
      <c r="U25">
        <v>0</v>
      </c>
      <c r="V25">
        <v>0</v>
      </c>
      <c r="W25">
        <v>0</v>
      </c>
      <c r="X25">
        <v>0</v>
      </c>
      <c r="Y25">
        <v>0</v>
      </c>
      <c r="Z25">
        <v>0</v>
      </c>
      <c r="AA25">
        <v>0</v>
      </c>
      <c r="AB25">
        <v>0</v>
      </c>
      <c r="AE25" t="str">
        <f t="shared" si="0"/>
        <v/>
      </c>
    </row>
    <row r="26" spans="1:31">
      <c r="A26">
        <v>0</v>
      </c>
      <c r="B26">
        <v>0</v>
      </c>
      <c r="C26">
        <v>0</v>
      </c>
      <c r="D26">
        <v>0</v>
      </c>
      <c r="E26">
        <v>0</v>
      </c>
      <c r="F26">
        <v>0</v>
      </c>
      <c r="G26">
        <v>0</v>
      </c>
      <c r="H26">
        <v>0</v>
      </c>
      <c r="I26">
        <v>0</v>
      </c>
      <c r="J26">
        <v>0</v>
      </c>
      <c r="K26">
        <v>0</v>
      </c>
      <c r="L26">
        <v>0</v>
      </c>
      <c r="M26">
        <v>0</v>
      </c>
      <c r="N26">
        <v>0</v>
      </c>
      <c r="O26">
        <v>0</v>
      </c>
      <c r="P26">
        <v>0</v>
      </c>
      <c r="Q26">
        <v>0</v>
      </c>
      <c r="R26">
        <v>0</v>
      </c>
      <c r="S26">
        <v>0</v>
      </c>
      <c r="T26">
        <v>0</v>
      </c>
      <c r="U26">
        <v>0</v>
      </c>
      <c r="V26">
        <v>0</v>
      </c>
      <c r="W26">
        <v>0</v>
      </c>
      <c r="X26">
        <v>0</v>
      </c>
      <c r="Y26">
        <v>0</v>
      </c>
      <c r="Z26">
        <v>0</v>
      </c>
      <c r="AA26">
        <v>0</v>
      </c>
      <c r="AB26">
        <v>0</v>
      </c>
      <c r="AE26" t="str">
        <f t="shared" si="0"/>
        <v/>
      </c>
    </row>
    <row r="27" spans="1:31">
      <c r="A27">
        <v>0</v>
      </c>
      <c r="B27">
        <v>0</v>
      </c>
      <c r="C27">
        <v>0</v>
      </c>
      <c r="D27">
        <v>0</v>
      </c>
      <c r="E27">
        <v>0</v>
      </c>
      <c r="F27">
        <v>0</v>
      </c>
      <c r="G27">
        <v>0</v>
      </c>
      <c r="H27">
        <v>0</v>
      </c>
      <c r="I27">
        <v>0</v>
      </c>
      <c r="J27">
        <v>0</v>
      </c>
      <c r="K27">
        <v>0</v>
      </c>
      <c r="L27">
        <v>0</v>
      </c>
      <c r="M27">
        <v>0</v>
      </c>
      <c r="N27">
        <v>0</v>
      </c>
      <c r="O27">
        <v>0</v>
      </c>
      <c r="P27">
        <v>0</v>
      </c>
      <c r="Q27">
        <v>0</v>
      </c>
      <c r="R27">
        <v>0</v>
      </c>
      <c r="S27">
        <v>0</v>
      </c>
      <c r="T27">
        <v>0</v>
      </c>
      <c r="U27">
        <v>0</v>
      </c>
      <c r="V27">
        <v>0</v>
      </c>
      <c r="W27">
        <v>0</v>
      </c>
      <c r="X27">
        <v>0</v>
      </c>
      <c r="Y27">
        <v>0</v>
      </c>
      <c r="Z27">
        <v>0</v>
      </c>
      <c r="AA27">
        <v>0</v>
      </c>
      <c r="AB27">
        <v>0</v>
      </c>
      <c r="AE27" t="str">
        <f t="shared" si="0"/>
        <v/>
      </c>
    </row>
    <row r="28" spans="1:31">
      <c r="A28">
        <v>0</v>
      </c>
      <c r="B28">
        <v>0</v>
      </c>
      <c r="C28">
        <v>0</v>
      </c>
      <c r="D28">
        <v>0</v>
      </c>
      <c r="E28">
        <v>0</v>
      </c>
      <c r="F28">
        <v>0</v>
      </c>
      <c r="G28">
        <v>0</v>
      </c>
      <c r="H28">
        <v>0</v>
      </c>
      <c r="I28">
        <v>0</v>
      </c>
      <c r="J28">
        <v>0</v>
      </c>
      <c r="K28">
        <v>0</v>
      </c>
      <c r="L28">
        <v>0</v>
      </c>
      <c r="M28">
        <v>0</v>
      </c>
      <c r="N28">
        <v>0</v>
      </c>
      <c r="O28">
        <v>0</v>
      </c>
      <c r="P28">
        <v>0</v>
      </c>
      <c r="Q28">
        <v>0</v>
      </c>
      <c r="R28">
        <v>0</v>
      </c>
      <c r="S28">
        <v>0</v>
      </c>
      <c r="T28">
        <v>0</v>
      </c>
      <c r="U28">
        <v>0</v>
      </c>
      <c r="V28">
        <v>0</v>
      </c>
      <c r="W28">
        <v>0</v>
      </c>
      <c r="X28">
        <v>0</v>
      </c>
      <c r="Y28">
        <v>0</v>
      </c>
      <c r="Z28">
        <v>0</v>
      </c>
      <c r="AA28">
        <v>0</v>
      </c>
      <c r="AB28">
        <v>0</v>
      </c>
      <c r="AE28" t="str">
        <f t="shared" si="0"/>
        <v/>
      </c>
    </row>
    <row r="29" spans="1:31">
      <c r="A29">
        <v>0</v>
      </c>
      <c r="B29">
        <v>0</v>
      </c>
      <c r="C29">
        <v>0</v>
      </c>
      <c r="D29">
        <v>0</v>
      </c>
      <c r="E29">
        <v>0</v>
      </c>
      <c r="F29">
        <v>0</v>
      </c>
      <c r="G29">
        <v>0</v>
      </c>
      <c r="H29">
        <v>0</v>
      </c>
      <c r="I29">
        <v>0</v>
      </c>
      <c r="J29">
        <v>0</v>
      </c>
      <c r="K29">
        <v>0</v>
      </c>
      <c r="L29">
        <v>0</v>
      </c>
      <c r="M29">
        <v>0</v>
      </c>
      <c r="N29">
        <v>0</v>
      </c>
      <c r="O29">
        <v>0</v>
      </c>
      <c r="P29">
        <v>0</v>
      </c>
      <c r="Q29">
        <v>0</v>
      </c>
      <c r="R29">
        <v>0</v>
      </c>
      <c r="S29">
        <v>0</v>
      </c>
      <c r="T29">
        <v>0</v>
      </c>
      <c r="U29">
        <v>0</v>
      </c>
      <c r="V29">
        <v>0</v>
      </c>
      <c r="W29">
        <v>0</v>
      </c>
      <c r="X29">
        <v>0</v>
      </c>
      <c r="Y29">
        <v>0</v>
      </c>
      <c r="Z29">
        <v>0</v>
      </c>
      <c r="AA29">
        <v>0</v>
      </c>
      <c r="AB29">
        <v>0</v>
      </c>
      <c r="AE29" t="str">
        <f t="shared" si="0"/>
        <v/>
      </c>
    </row>
    <row r="30" spans="1:31">
      <c r="A30">
        <v>0</v>
      </c>
      <c r="B30">
        <v>0</v>
      </c>
      <c r="C30">
        <v>0</v>
      </c>
      <c r="D30">
        <v>0</v>
      </c>
      <c r="E30">
        <v>0</v>
      </c>
      <c r="F30">
        <v>0</v>
      </c>
      <c r="G30">
        <v>0</v>
      </c>
      <c r="H30">
        <v>0</v>
      </c>
      <c r="I30">
        <v>0</v>
      </c>
      <c r="J30">
        <v>0</v>
      </c>
      <c r="K30">
        <v>0</v>
      </c>
      <c r="L30">
        <v>0</v>
      </c>
      <c r="M30">
        <v>0</v>
      </c>
      <c r="N30">
        <v>0</v>
      </c>
      <c r="O30">
        <v>0</v>
      </c>
      <c r="P30">
        <v>0</v>
      </c>
      <c r="Q30">
        <v>0</v>
      </c>
      <c r="R30">
        <v>0</v>
      </c>
      <c r="S30">
        <v>0</v>
      </c>
      <c r="T30">
        <v>0</v>
      </c>
      <c r="U30">
        <v>0</v>
      </c>
      <c r="V30">
        <v>0</v>
      </c>
      <c r="W30">
        <v>0</v>
      </c>
      <c r="X30">
        <v>0</v>
      </c>
      <c r="Y30">
        <v>0</v>
      </c>
      <c r="Z30">
        <v>0</v>
      </c>
      <c r="AA30">
        <v>0</v>
      </c>
      <c r="AB30">
        <v>0</v>
      </c>
      <c r="AE30" t="str">
        <f t="shared" si="0"/>
        <v/>
      </c>
    </row>
    <row r="31" spans="1:31">
      <c r="A31">
        <v>0</v>
      </c>
      <c r="B31">
        <v>0</v>
      </c>
      <c r="C31">
        <v>0</v>
      </c>
      <c r="D31">
        <v>0</v>
      </c>
      <c r="E31">
        <v>0</v>
      </c>
      <c r="F31">
        <v>0</v>
      </c>
      <c r="G31">
        <v>0</v>
      </c>
      <c r="H31">
        <v>0</v>
      </c>
      <c r="I31">
        <v>0</v>
      </c>
      <c r="J31">
        <v>0</v>
      </c>
      <c r="K31">
        <v>0</v>
      </c>
      <c r="L31">
        <v>0</v>
      </c>
      <c r="M31">
        <v>0</v>
      </c>
      <c r="N31">
        <v>0</v>
      </c>
      <c r="O31">
        <v>0</v>
      </c>
      <c r="P31">
        <v>0</v>
      </c>
      <c r="Q31">
        <v>0</v>
      </c>
      <c r="R31">
        <v>0</v>
      </c>
      <c r="S31">
        <v>0</v>
      </c>
      <c r="T31">
        <v>0</v>
      </c>
      <c r="U31">
        <v>0</v>
      </c>
      <c r="V31">
        <v>0</v>
      </c>
      <c r="W31">
        <v>0</v>
      </c>
      <c r="X31">
        <v>0</v>
      </c>
      <c r="Y31">
        <v>0</v>
      </c>
      <c r="Z31">
        <v>0</v>
      </c>
      <c r="AA31">
        <v>0</v>
      </c>
      <c r="AB31">
        <v>0</v>
      </c>
      <c r="AE31" t="str">
        <f t="shared" si="0"/>
        <v/>
      </c>
    </row>
    <row r="32" spans="1:31">
      <c r="A32">
        <v>0</v>
      </c>
      <c r="B32">
        <v>0</v>
      </c>
      <c r="C32">
        <v>0</v>
      </c>
      <c r="D32">
        <v>0</v>
      </c>
      <c r="E32">
        <v>0</v>
      </c>
      <c r="F32">
        <v>0</v>
      </c>
      <c r="G32">
        <v>0</v>
      </c>
      <c r="H32">
        <v>0</v>
      </c>
      <c r="I32">
        <v>0</v>
      </c>
      <c r="J32">
        <v>0</v>
      </c>
      <c r="K32">
        <v>0</v>
      </c>
      <c r="L32">
        <v>0</v>
      </c>
      <c r="M32">
        <v>0</v>
      </c>
      <c r="N32">
        <v>0</v>
      </c>
      <c r="O32">
        <v>0</v>
      </c>
      <c r="P32">
        <v>0</v>
      </c>
      <c r="Q32">
        <v>0</v>
      </c>
      <c r="R32">
        <v>0</v>
      </c>
      <c r="S32">
        <v>0</v>
      </c>
      <c r="T32">
        <v>0</v>
      </c>
      <c r="U32">
        <v>0</v>
      </c>
      <c r="V32">
        <v>0</v>
      </c>
      <c r="W32">
        <v>0</v>
      </c>
      <c r="X32">
        <v>0</v>
      </c>
      <c r="Y32">
        <v>0</v>
      </c>
      <c r="Z32">
        <v>0</v>
      </c>
      <c r="AA32">
        <v>0</v>
      </c>
      <c r="AB32">
        <v>0</v>
      </c>
      <c r="AE32" t="str">
        <f t="shared" si="0"/>
        <v/>
      </c>
    </row>
    <row r="33" spans="1:31">
      <c r="A33">
        <v>0</v>
      </c>
      <c r="B33">
        <v>0</v>
      </c>
      <c r="C33">
        <v>0</v>
      </c>
      <c r="D33">
        <v>0</v>
      </c>
      <c r="E33">
        <v>0</v>
      </c>
      <c r="F33">
        <v>0</v>
      </c>
      <c r="G33">
        <v>0</v>
      </c>
      <c r="H33">
        <v>0</v>
      </c>
      <c r="I33">
        <v>0</v>
      </c>
      <c r="J33">
        <v>0</v>
      </c>
      <c r="K33">
        <v>0</v>
      </c>
      <c r="L33">
        <v>0</v>
      </c>
      <c r="M33">
        <v>0</v>
      </c>
      <c r="N33">
        <v>0</v>
      </c>
      <c r="O33">
        <v>0</v>
      </c>
      <c r="P33">
        <v>0</v>
      </c>
      <c r="Q33">
        <v>0</v>
      </c>
      <c r="R33">
        <v>0</v>
      </c>
      <c r="S33">
        <v>0</v>
      </c>
      <c r="T33">
        <v>0</v>
      </c>
      <c r="U33">
        <v>0</v>
      </c>
      <c r="V33">
        <v>0</v>
      </c>
      <c r="W33">
        <v>0</v>
      </c>
      <c r="X33">
        <v>0</v>
      </c>
      <c r="Y33">
        <v>0</v>
      </c>
      <c r="Z33">
        <v>0</v>
      </c>
      <c r="AA33">
        <v>0</v>
      </c>
      <c r="AB33">
        <v>0</v>
      </c>
      <c r="AE33" t="str">
        <f t="shared" si="0"/>
        <v/>
      </c>
    </row>
    <row r="34" spans="1:31">
      <c r="A34">
        <v>0</v>
      </c>
      <c r="B34">
        <v>0</v>
      </c>
      <c r="C34">
        <v>0</v>
      </c>
      <c r="D34">
        <v>0</v>
      </c>
      <c r="E34">
        <v>0</v>
      </c>
      <c r="F34">
        <v>0</v>
      </c>
      <c r="G34">
        <v>0</v>
      </c>
      <c r="H34">
        <v>0</v>
      </c>
      <c r="I34">
        <v>0</v>
      </c>
      <c r="J34">
        <v>0</v>
      </c>
      <c r="K34">
        <v>0</v>
      </c>
      <c r="L34">
        <v>0</v>
      </c>
      <c r="M34">
        <v>0</v>
      </c>
      <c r="N34">
        <v>0</v>
      </c>
      <c r="O34">
        <v>0</v>
      </c>
      <c r="P34">
        <v>0</v>
      </c>
      <c r="Q34">
        <v>0</v>
      </c>
      <c r="R34">
        <v>0</v>
      </c>
      <c r="S34">
        <v>0</v>
      </c>
      <c r="T34">
        <v>0</v>
      </c>
      <c r="U34">
        <v>0</v>
      </c>
      <c r="V34">
        <v>0</v>
      </c>
      <c r="W34">
        <v>0</v>
      </c>
      <c r="X34">
        <v>0</v>
      </c>
      <c r="Y34">
        <v>0</v>
      </c>
      <c r="Z34">
        <v>0</v>
      </c>
      <c r="AA34">
        <v>0</v>
      </c>
      <c r="AB34">
        <v>0</v>
      </c>
      <c r="AE34" t="str">
        <f t="shared" si="0"/>
        <v/>
      </c>
    </row>
    <row r="35" spans="1:31">
      <c r="A35">
        <v>0</v>
      </c>
      <c r="B35">
        <v>0</v>
      </c>
      <c r="C35">
        <v>0</v>
      </c>
      <c r="D35">
        <v>0</v>
      </c>
      <c r="E35">
        <v>0</v>
      </c>
      <c r="F35">
        <v>0</v>
      </c>
      <c r="G35">
        <v>0</v>
      </c>
      <c r="H35">
        <v>0</v>
      </c>
      <c r="I35">
        <v>0</v>
      </c>
      <c r="J35">
        <v>0</v>
      </c>
      <c r="K35">
        <v>0</v>
      </c>
      <c r="L35">
        <v>0</v>
      </c>
      <c r="M35">
        <v>0</v>
      </c>
      <c r="N35">
        <v>0</v>
      </c>
      <c r="O35">
        <v>0</v>
      </c>
      <c r="P35">
        <v>0</v>
      </c>
      <c r="Q35">
        <v>0</v>
      </c>
      <c r="R35">
        <v>0</v>
      </c>
      <c r="S35">
        <v>0</v>
      </c>
      <c r="T35">
        <v>0</v>
      </c>
      <c r="U35">
        <v>0</v>
      </c>
      <c r="V35">
        <v>0</v>
      </c>
      <c r="W35">
        <v>0</v>
      </c>
      <c r="X35">
        <v>0</v>
      </c>
      <c r="Y35">
        <v>0</v>
      </c>
      <c r="Z35">
        <v>0</v>
      </c>
      <c r="AA35">
        <v>0</v>
      </c>
      <c r="AB35">
        <v>0</v>
      </c>
      <c r="AE35" t="str">
        <f t="shared" si="0"/>
        <v/>
      </c>
    </row>
    <row r="36" spans="1:31">
      <c r="A36">
        <v>0</v>
      </c>
      <c r="B36">
        <v>0</v>
      </c>
      <c r="C36">
        <v>0</v>
      </c>
      <c r="D36">
        <v>0</v>
      </c>
      <c r="E36">
        <v>0</v>
      </c>
      <c r="F36">
        <v>0</v>
      </c>
      <c r="G36">
        <v>0</v>
      </c>
      <c r="H36">
        <v>0</v>
      </c>
      <c r="I36">
        <v>0</v>
      </c>
      <c r="J36">
        <v>0</v>
      </c>
      <c r="K36">
        <v>0</v>
      </c>
      <c r="L36">
        <v>0</v>
      </c>
      <c r="M36">
        <v>0</v>
      </c>
      <c r="N36">
        <v>0</v>
      </c>
      <c r="O36">
        <v>0</v>
      </c>
      <c r="P36">
        <v>0</v>
      </c>
      <c r="Q36">
        <v>0</v>
      </c>
      <c r="R36">
        <v>0</v>
      </c>
      <c r="S36">
        <v>0</v>
      </c>
      <c r="T36">
        <v>0</v>
      </c>
      <c r="U36">
        <v>0</v>
      </c>
      <c r="V36">
        <v>0</v>
      </c>
      <c r="W36">
        <v>0</v>
      </c>
      <c r="X36">
        <v>0</v>
      </c>
      <c r="Y36">
        <v>0</v>
      </c>
      <c r="Z36">
        <v>0</v>
      </c>
      <c r="AA36">
        <v>0</v>
      </c>
      <c r="AB36">
        <v>0</v>
      </c>
      <c r="AE36" t="str">
        <f t="shared" si="0"/>
        <v/>
      </c>
    </row>
    <row r="37" spans="1:31">
      <c r="A37">
        <v>0</v>
      </c>
      <c r="B37">
        <v>0</v>
      </c>
      <c r="C37">
        <v>0</v>
      </c>
      <c r="D37">
        <v>0</v>
      </c>
      <c r="E37">
        <v>0</v>
      </c>
      <c r="F37">
        <v>0</v>
      </c>
      <c r="G37">
        <v>0</v>
      </c>
      <c r="H37">
        <v>0</v>
      </c>
      <c r="I37">
        <v>0</v>
      </c>
      <c r="J37">
        <v>0</v>
      </c>
      <c r="K37">
        <v>0</v>
      </c>
      <c r="L37">
        <v>0</v>
      </c>
      <c r="M37">
        <v>0</v>
      </c>
      <c r="N37">
        <v>0</v>
      </c>
      <c r="O37">
        <v>0</v>
      </c>
      <c r="P37">
        <v>0</v>
      </c>
      <c r="Q37">
        <v>0</v>
      </c>
      <c r="R37">
        <v>0</v>
      </c>
      <c r="S37">
        <v>0</v>
      </c>
      <c r="T37">
        <v>0</v>
      </c>
      <c r="U37">
        <v>0</v>
      </c>
      <c r="V37">
        <v>0</v>
      </c>
      <c r="W37">
        <v>0</v>
      </c>
      <c r="X37">
        <v>0</v>
      </c>
      <c r="Y37">
        <v>0</v>
      </c>
      <c r="Z37">
        <v>0</v>
      </c>
      <c r="AA37">
        <v>0</v>
      </c>
      <c r="AB37">
        <v>0</v>
      </c>
      <c r="AE37" t="str">
        <f t="shared" si="0"/>
        <v/>
      </c>
    </row>
    <row r="38" spans="1:31">
      <c r="A38">
        <v>0</v>
      </c>
      <c r="B38">
        <v>0</v>
      </c>
      <c r="C38">
        <v>0</v>
      </c>
      <c r="D38">
        <v>0</v>
      </c>
      <c r="E38">
        <v>0</v>
      </c>
      <c r="F38">
        <v>0</v>
      </c>
      <c r="G38">
        <v>0</v>
      </c>
      <c r="H38">
        <v>0</v>
      </c>
      <c r="I38">
        <v>0</v>
      </c>
      <c r="J38">
        <v>0</v>
      </c>
      <c r="K38">
        <v>0</v>
      </c>
      <c r="L38">
        <v>0</v>
      </c>
      <c r="M38">
        <v>0</v>
      </c>
      <c r="N38">
        <v>0</v>
      </c>
      <c r="O38">
        <v>0</v>
      </c>
      <c r="P38">
        <v>0</v>
      </c>
      <c r="Q38">
        <v>0</v>
      </c>
      <c r="R38">
        <v>0</v>
      </c>
      <c r="S38">
        <v>0</v>
      </c>
      <c r="T38">
        <v>0</v>
      </c>
      <c r="U38">
        <v>0</v>
      </c>
      <c r="V38">
        <v>0</v>
      </c>
      <c r="W38">
        <v>0</v>
      </c>
      <c r="X38">
        <v>0</v>
      </c>
      <c r="Y38">
        <v>0</v>
      </c>
      <c r="Z38">
        <v>0</v>
      </c>
      <c r="AA38">
        <v>0</v>
      </c>
      <c r="AB38">
        <v>0</v>
      </c>
      <c r="AE38" t="str">
        <f t="shared" si="0"/>
        <v/>
      </c>
    </row>
    <row r="39" spans="1:31">
      <c r="A39">
        <v>0</v>
      </c>
      <c r="B39">
        <v>0</v>
      </c>
      <c r="C39">
        <v>0</v>
      </c>
      <c r="D39">
        <v>0</v>
      </c>
      <c r="E39">
        <v>0</v>
      </c>
      <c r="F39">
        <v>0</v>
      </c>
      <c r="G39">
        <v>0</v>
      </c>
      <c r="H39">
        <v>0</v>
      </c>
      <c r="I39">
        <v>0</v>
      </c>
      <c r="J39">
        <v>0</v>
      </c>
      <c r="K39">
        <v>0</v>
      </c>
      <c r="L39">
        <v>0</v>
      </c>
      <c r="M39">
        <v>0</v>
      </c>
      <c r="N39">
        <v>0</v>
      </c>
      <c r="O39">
        <v>0</v>
      </c>
      <c r="P39">
        <v>0</v>
      </c>
      <c r="Q39">
        <v>0</v>
      </c>
      <c r="R39">
        <v>0</v>
      </c>
      <c r="S39">
        <v>0</v>
      </c>
      <c r="T39">
        <v>0</v>
      </c>
      <c r="U39">
        <v>0</v>
      </c>
      <c r="V39">
        <v>0</v>
      </c>
      <c r="W39">
        <v>0</v>
      </c>
      <c r="X39">
        <v>0</v>
      </c>
      <c r="Y39">
        <v>0</v>
      </c>
      <c r="Z39">
        <v>0</v>
      </c>
      <c r="AA39">
        <v>0</v>
      </c>
      <c r="AB39">
        <v>0</v>
      </c>
      <c r="AE39" t="str">
        <f t="shared" si="0"/>
        <v/>
      </c>
    </row>
    <row r="40" spans="1:31">
      <c r="A40">
        <v>0</v>
      </c>
      <c r="B40">
        <v>0</v>
      </c>
      <c r="C40">
        <v>0</v>
      </c>
      <c r="D40">
        <v>0</v>
      </c>
      <c r="E40">
        <v>0</v>
      </c>
      <c r="F40">
        <v>0</v>
      </c>
      <c r="G40">
        <v>0</v>
      </c>
      <c r="H40">
        <v>0</v>
      </c>
      <c r="I40">
        <v>0</v>
      </c>
      <c r="J40">
        <v>0</v>
      </c>
      <c r="K40">
        <v>0</v>
      </c>
      <c r="L40">
        <v>0</v>
      </c>
      <c r="M40">
        <v>0</v>
      </c>
      <c r="N40">
        <v>0</v>
      </c>
      <c r="O40">
        <v>0</v>
      </c>
      <c r="P40">
        <v>0</v>
      </c>
      <c r="Q40">
        <v>0</v>
      </c>
      <c r="R40">
        <v>0</v>
      </c>
      <c r="S40">
        <v>0</v>
      </c>
      <c r="T40">
        <v>0</v>
      </c>
      <c r="U40">
        <v>0</v>
      </c>
      <c r="V40">
        <v>0</v>
      </c>
      <c r="W40">
        <v>0</v>
      </c>
      <c r="X40">
        <v>0</v>
      </c>
      <c r="Y40">
        <v>0</v>
      </c>
      <c r="Z40">
        <v>0</v>
      </c>
      <c r="AA40">
        <v>0</v>
      </c>
      <c r="AB40">
        <v>0</v>
      </c>
      <c r="AE40" t="str">
        <f t="shared" si="0"/>
        <v/>
      </c>
    </row>
    <row r="41" spans="1:31">
      <c r="A41">
        <v>0</v>
      </c>
      <c r="B41">
        <v>0</v>
      </c>
      <c r="C41">
        <v>0</v>
      </c>
      <c r="D41">
        <v>0</v>
      </c>
      <c r="E41">
        <v>0</v>
      </c>
      <c r="F41">
        <v>0</v>
      </c>
      <c r="G41">
        <v>0</v>
      </c>
      <c r="H41">
        <v>0</v>
      </c>
      <c r="I41">
        <v>0</v>
      </c>
      <c r="J41">
        <v>0</v>
      </c>
      <c r="K41">
        <v>0</v>
      </c>
      <c r="L41">
        <v>0</v>
      </c>
      <c r="M41">
        <v>0</v>
      </c>
      <c r="N41">
        <v>0</v>
      </c>
      <c r="O41">
        <v>0</v>
      </c>
      <c r="P41">
        <v>0</v>
      </c>
      <c r="Q41">
        <v>0</v>
      </c>
      <c r="R41">
        <v>0</v>
      </c>
      <c r="S41">
        <v>0</v>
      </c>
      <c r="T41">
        <v>0</v>
      </c>
      <c r="U41">
        <v>0</v>
      </c>
      <c r="V41">
        <v>0</v>
      </c>
      <c r="W41">
        <v>0</v>
      </c>
      <c r="X41">
        <v>0</v>
      </c>
      <c r="Y41">
        <v>0</v>
      </c>
      <c r="Z41">
        <v>0</v>
      </c>
      <c r="AA41">
        <v>0</v>
      </c>
      <c r="AB41">
        <v>0</v>
      </c>
      <c r="AE41" t="str">
        <f t="shared" si="0"/>
        <v/>
      </c>
    </row>
    <row r="42" spans="1:31">
      <c r="A42">
        <v>0</v>
      </c>
      <c r="B42">
        <v>0</v>
      </c>
      <c r="C42">
        <v>0</v>
      </c>
      <c r="D42">
        <v>0</v>
      </c>
      <c r="E42">
        <v>0</v>
      </c>
      <c r="F42">
        <v>0</v>
      </c>
      <c r="G42">
        <v>0</v>
      </c>
      <c r="H42">
        <v>0</v>
      </c>
      <c r="I42">
        <v>0</v>
      </c>
      <c r="J42">
        <v>0</v>
      </c>
      <c r="K42">
        <v>0</v>
      </c>
      <c r="L42">
        <v>0</v>
      </c>
      <c r="M42">
        <v>0</v>
      </c>
      <c r="N42">
        <v>0</v>
      </c>
      <c r="O42">
        <v>0</v>
      </c>
      <c r="P42">
        <v>0</v>
      </c>
      <c r="Q42">
        <v>0</v>
      </c>
      <c r="R42">
        <v>0</v>
      </c>
      <c r="S42">
        <v>0</v>
      </c>
      <c r="T42">
        <v>0</v>
      </c>
      <c r="U42">
        <v>0</v>
      </c>
      <c r="V42">
        <v>0</v>
      </c>
      <c r="W42">
        <v>0</v>
      </c>
      <c r="X42">
        <v>0</v>
      </c>
      <c r="Y42">
        <v>0</v>
      </c>
      <c r="Z42">
        <v>0</v>
      </c>
      <c r="AA42">
        <v>0</v>
      </c>
      <c r="AB42">
        <v>0</v>
      </c>
      <c r="AE42" t="str">
        <f t="shared" si="0"/>
        <v/>
      </c>
    </row>
    <row r="43" spans="1:31">
      <c r="A43">
        <v>0</v>
      </c>
      <c r="B43">
        <v>0</v>
      </c>
      <c r="C43">
        <v>0</v>
      </c>
      <c r="D43">
        <v>0</v>
      </c>
      <c r="E43">
        <v>0</v>
      </c>
      <c r="F43">
        <v>0</v>
      </c>
      <c r="G43">
        <v>0</v>
      </c>
      <c r="H43">
        <v>0</v>
      </c>
      <c r="I43">
        <v>0</v>
      </c>
      <c r="J43">
        <v>0</v>
      </c>
      <c r="K43">
        <v>0</v>
      </c>
      <c r="L43">
        <v>0</v>
      </c>
      <c r="M43">
        <v>0</v>
      </c>
      <c r="N43">
        <v>0</v>
      </c>
      <c r="O43">
        <v>0</v>
      </c>
      <c r="P43">
        <v>0</v>
      </c>
      <c r="Q43">
        <v>0</v>
      </c>
      <c r="R43">
        <v>0</v>
      </c>
      <c r="S43">
        <v>0</v>
      </c>
      <c r="T43">
        <v>0</v>
      </c>
      <c r="U43">
        <v>0</v>
      </c>
      <c r="V43">
        <v>0</v>
      </c>
      <c r="W43">
        <v>0</v>
      </c>
      <c r="X43">
        <v>0</v>
      </c>
      <c r="Y43">
        <v>0</v>
      </c>
      <c r="Z43">
        <v>0</v>
      </c>
      <c r="AA43">
        <v>0</v>
      </c>
      <c r="AB43">
        <v>0</v>
      </c>
      <c r="AE43" t="str">
        <f t="shared" si="0"/>
        <v/>
      </c>
    </row>
    <row r="44" spans="1:31">
      <c r="A44">
        <v>0</v>
      </c>
      <c r="B44">
        <v>0</v>
      </c>
      <c r="C44">
        <v>0</v>
      </c>
      <c r="D44">
        <v>0</v>
      </c>
      <c r="E44">
        <v>0</v>
      </c>
      <c r="F44">
        <v>0</v>
      </c>
      <c r="G44">
        <v>0</v>
      </c>
      <c r="H44">
        <v>0</v>
      </c>
      <c r="I44">
        <v>0</v>
      </c>
      <c r="J44">
        <v>0</v>
      </c>
      <c r="K44">
        <v>0</v>
      </c>
      <c r="L44">
        <v>0</v>
      </c>
      <c r="M44">
        <v>0</v>
      </c>
      <c r="N44">
        <v>0</v>
      </c>
      <c r="O44">
        <v>0</v>
      </c>
      <c r="P44">
        <v>0</v>
      </c>
      <c r="Q44">
        <v>0</v>
      </c>
      <c r="R44">
        <v>0</v>
      </c>
      <c r="S44">
        <v>0</v>
      </c>
      <c r="T44">
        <v>0</v>
      </c>
      <c r="U44">
        <v>0</v>
      </c>
      <c r="V44">
        <v>0</v>
      </c>
      <c r="W44">
        <v>0</v>
      </c>
      <c r="X44">
        <v>0</v>
      </c>
      <c r="Y44">
        <v>0</v>
      </c>
      <c r="Z44">
        <v>0</v>
      </c>
      <c r="AA44">
        <v>0</v>
      </c>
      <c r="AB44">
        <v>0</v>
      </c>
      <c r="AE44" t="str">
        <f t="shared" si="0"/>
        <v/>
      </c>
    </row>
    <row r="45" spans="1:31">
      <c r="A45">
        <v>0</v>
      </c>
      <c r="B45">
        <v>0</v>
      </c>
      <c r="C45">
        <v>0</v>
      </c>
      <c r="D45">
        <v>0</v>
      </c>
      <c r="E45">
        <v>0</v>
      </c>
      <c r="F45">
        <v>0</v>
      </c>
      <c r="G45">
        <v>0</v>
      </c>
      <c r="H45">
        <v>0</v>
      </c>
      <c r="I45">
        <v>0</v>
      </c>
      <c r="J45">
        <v>0</v>
      </c>
      <c r="K45">
        <v>0</v>
      </c>
      <c r="L45">
        <v>0</v>
      </c>
      <c r="M45">
        <v>0</v>
      </c>
      <c r="N45">
        <v>0</v>
      </c>
      <c r="O45">
        <v>0</v>
      </c>
      <c r="P45">
        <v>0</v>
      </c>
      <c r="Q45">
        <v>0</v>
      </c>
      <c r="R45">
        <v>0</v>
      </c>
      <c r="S45">
        <v>0</v>
      </c>
      <c r="T45">
        <v>0</v>
      </c>
      <c r="U45">
        <v>0</v>
      </c>
      <c r="V45">
        <v>0</v>
      </c>
      <c r="W45">
        <v>0</v>
      </c>
      <c r="X45">
        <v>0</v>
      </c>
      <c r="Y45">
        <v>0</v>
      </c>
      <c r="Z45">
        <v>0</v>
      </c>
      <c r="AA45">
        <v>0</v>
      </c>
      <c r="AB45">
        <v>0</v>
      </c>
      <c r="AE45" t="str">
        <f t="shared" si="0"/>
        <v/>
      </c>
    </row>
    <row r="46" spans="1:31">
      <c r="A46">
        <v>0</v>
      </c>
      <c r="B46">
        <v>0</v>
      </c>
      <c r="C46">
        <v>0</v>
      </c>
      <c r="D46">
        <v>0</v>
      </c>
      <c r="E46">
        <v>0</v>
      </c>
      <c r="F46">
        <v>0</v>
      </c>
      <c r="G46">
        <v>0</v>
      </c>
      <c r="H46">
        <v>0</v>
      </c>
      <c r="I46">
        <v>0</v>
      </c>
      <c r="J46">
        <v>0</v>
      </c>
      <c r="K46">
        <v>0</v>
      </c>
      <c r="L46">
        <v>0</v>
      </c>
      <c r="M46">
        <v>0</v>
      </c>
      <c r="N46">
        <v>0</v>
      </c>
      <c r="O46">
        <v>0</v>
      </c>
      <c r="P46">
        <v>0</v>
      </c>
      <c r="Q46">
        <v>0</v>
      </c>
      <c r="R46">
        <v>0</v>
      </c>
      <c r="S46">
        <v>0</v>
      </c>
      <c r="T46">
        <v>0</v>
      </c>
      <c r="U46">
        <v>0</v>
      </c>
      <c r="V46">
        <v>0</v>
      </c>
      <c r="W46">
        <v>0</v>
      </c>
      <c r="X46">
        <v>0</v>
      </c>
      <c r="Y46">
        <v>0</v>
      </c>
      <c r="Z46">
        <v>0</v>
      </c>
      <c r="AA46">
        <v>0</v>
      </c>
      <c r="AB46">
        <v>0</v>
      </c>
      <c r="AE46" t="str">
        <f t="shared" si="0"/>
        <v/>
      </c>
    </row>
    <row r="47" spans="1:31">
      <c r="A47">
        <v>0</v>
      </c>
      <c r="B47">
        <v>0</v>
      </c>
      <c r="C47">
        <v>0</v>
      </c>
      <c r="D47">
        <v>0</v>
      </c>
      <c r="E47">
        <v>0</v>
      </c>
      <c r="F47">
        <v>0</v>
      </c>
      <c r="G47">
        <v>0</v>
      </c>
      <c r="H47">
        <v>0</v>
      </c>
      <c r="I47">
        <v>0</v>
      </c>
      <c r="J47">
        <v>0</v>
      </c>
      <c r="K47">
        <v>0</v>
      </c>
      <c r="L47">
        <v>0</v>
      </c>
      <c r="M47">
        <v>0</v>
      </c>
      <c r="N47">
        <v>0</v>
      </c>
      <c r="O47">
        <v>0</v>
      </c>
      <c r="P47">
        <v>0</v>
      </c>
      <c r="Q47">
        <v>0</v>
      </c>
      <c r="R47">
        <v>0</v>
      </c>
      <c r="S47">
        <v>0</v>
      </c>
      <c r="T47">
        <v>0</v>
      </c>
      <c r="U47">
        <v>0</v>
      </c>
      <c r="V47">
        <v>0</v>
      </c>
      <c r="W47">
        <v>0</v>
      </c>
      <c r="X47">
        <v>0</v>
      </c>
      <c r="Y47">
        <v>0</v>
      </c>
      <c r="Z47">
        <v>0</v>
      </c>
      <c r="AA47">
        <v>0</v>
      </c>
      <c r="AB47">
        <v>0</v>
      </c>
      <c r="AE47" t="str">
        <f t="shared" si="0"/>
        <v/>
      </c>
    </row>
    <row r="48" spans="1:31">
      <c r="A48">
        <v>0</v>
      </c>
      <c r="B48">
        <v>0</v>
      </c>
      <c r="C48">
        <v>0</v>
      </c>
      <c r="D48">
        <v>0</v>
      </c>
      <c r="E48">
        <v>0</v>
      </c>
      <c r="F48">
        <v>0</v>
      </c>
      <c r="G48">
        <v>0</v>
      </c>
      <c r="H48">
        <v>0</v>
      </c>
      <c r="I48">
        <v>0</v>
      </c>
      <c r="J48">
        <v>0</v>
      </c>
      <c r="K48">
        <v>0</v>
      </c>
      <c r="L48">
        <v>0</v>
      </c>
      <c r="M48">
        <v>0</v>
      </c>
      <c r="N48">
        <v>0</v>
      </c>
      <c r="O48">
        <v>0</v>
      </c>
      <c r="P48">
        <v>0</v>
      </c>
      <c r="Q48">
        <v>0</v>
      </c>
      <c r="R48">
        <v>0</v>
      </c>
      <c r="S48">
        <v>0</v>
      </c>
      <c r="T48">
        <v>0</v>
      </c>
      <c r="U48">
        <v>0</v>
      </c>
      <c r="V48">
        <v>0</v>
      </c>
      <c r="W48">
        <v>0</v>
      </c>
      <c r="X48">
        <v>0</v>
      </c>
      <c r="Y48">
        <v>0</v>
      </c>
      <c r="Z48">
        <v>0</v>
      </c>
      <c r="AA48">
        <v>0</v>
      </c>
      <c r="AB48">
        <v>0</v>
      </c>
      <c r="AE48" t="str">
        <f t="shared" si="0"/>
        <v/>
      </c>
    </row>
    <row r="49" spans="1:31">
      <c r="A49">
        <v>0</v>
      </c>
      <c r="B49">
        <v>0</v>
      </c>
      <c r="C49">
        <v>0</v>
      </c>
      <c r="D49">
        <v>0</v>
      </c>
      <c r="E49">
        <v>0</v>
      </c>
      <c r="F49">
        <v>0</v>
      </c>
      <c r="G49">
        <v>0</v>
      </c>
      <c r="H49">
        <v>0</v>
      </c>
      <c r="I49">
        <v>0</v>
      </c>
      <c r="J49">
        <v>0</v>
      </c>
      <c r="K49">
        <v>0</v>
      </c>
      <c r="L49">
        <v>0</v>
      </c>
      <c r="M49">
        <v>0</v>
      </c>
      <c r="N49">
        <v>0</v>
      </c>
      <c r="O49">
        <v>0</v>
      </c>
      <c r="P49">
        <v>0</v>
      </c>
      <c r="Q49">
        <v>0</v>
      </c>
      <c r="R49">
        <v>0</v>
      </c>
      <c r="S49">
        <v>0</v>
      </c>
      <c r="T49">
        <v>0</v>
      </c>
      <c r="U49">
        <v>0</v>
      </c>
      <c r="V49">
        <v>0</v>
      </c>
      <c r="W49">
        <v>0</v>
      </c>
      <c r="X49">
        <v>0</v>
      </c>
      <c r="Y49">
        <v>0</v>
      </c>
      <c r="Z49">
        <v>0</v>
      </c>
      <c r="AA49">
        <v>0</v>
      </c>
      <c r="AB49">
        <v>0</v>
      </c>
      <c r="AE49" t="str">
        <f t="shared" si="0"/>
        <v/>
      </c>
    </row>
    <row r="50" spans="1:31">
      <c r="A50">
        <v>0</v>
      </c>
      <c r="B50">
        <v>0</v>
      </c>
      <c r="C50">
        <v>0</v>
      </c>
      <c r="D50">
        <v>0</v>
      </c>
      <c r="E50">
        <v>0</v>
      </c>
      <c r="F50">
        <v>0</v>
      </c>
      <c r="G50">
        <v>0</v>
      </c>
      <c r="H50">
        <v>0</v>
      </c>
      <c r="I50">
        <v>0</v>
      </c>
      <c r="J50">
        <v>0</v>
      </c>
      <c r="K50">
        <v>0</v>
      </c>
      <c r="L50">
        <v>0</v>
      </c>
      <c r="M50">
        <v>0</v>
      </c>
      <c r="N50">
        <v>0</v>
      </c>
      <c r="O50">
        <v>0</v>
      </c>
      <c r="P50">
        <v>0</v>
      </c>
      <c r="Q50">
        <v>0</v>
      </c>
      <c r="R50">
        <v>0</v>
      </c>
      <c r="S50">
        <v>0</v>
      </c>
      <c r="T50">
        <v>0</v>
      </c>
      <c r="U50">
        <v>0</v>
      </c>
      <c r="V50">
        <v>0</v>
      </c>
      <c r="W50">
        <v>0</v>
      </c>
      <c r="X50">
        <v>0</v>
      </c>
      <c r="Y50">
        <v>0</v>
      </c>
      <c r="Z50">
        <v>0</v>
      </c>
      <c r="AA50">
        <v>0</v>
      </c>
      <c r="AB50">
        <v>0</v>
      </c>
      <c r="AE50" t="str">
        <f t="shared" si="0"/>
        <v/>
      </c>
    </row>
    <row r="51" spans="1:31">
      <c r="A51">
        <v>0</v>
      </c>
      <c r="B51">
        <v>0</v>
      </c>
      <c r="C51">
        <v>0</v>
      </c>
      <c r="D51">
        <v>0</v>
      </c>
      <c r="E51">
        <v>0</v>
      </c>
      <c r="F51">
        <v>0</v>
      </c>
      <c r="G51">
        <v>0</v>
      </c>
      <c r="H51">
        <v>0</v>
      </c>
      <c r="I51">
        <v>0</v>
      </c>
      <c r="J51">
        <v>0</v>
      </c>
      <c r="K51">
        <v>0</v>
      </c>
      <c r="L51">
        <v>0</v>
      </c>
      <c r="M51">
        <v>0</v>
      </c>
      <c r="N51">
        <v>0</v>
      </c>
      <c r="O51">
        <v>0</v>
      </c>
      <c r="P51">
        <v>0</v>
      </c>
      <c r="Q51">
        <v>0</v>
      </c>
      <c r="R51">
        <v>0</v>
      </c>
      <c r="S51">
        <v>0</v>
      </c>
      <c r="T51">
        <v>0</v>
      </c>
      <c r="U51">
        <v>0</v>
      </c>
      <c r="V51">
        <v>0</v>
      </c>
      <c r="W51">
        <v>0</v>
      </c>
      <c r="X51">
        <v>0</v>
      </c>
      <c r="Y51">
        <v>0</v>
      </c>
      <c r="Z51">
        <v>0</v>
      </c>
      <c r="AA51">
        <v>0</v>
      </c>
      <c r="AB51">
        <v>0</v>
      </c>
      <c r="AE51" t="str">
        <f t="shared" si="0"/>
        <v/>
      </c>
    </row>
    <row r="52" spans="1:31">
      <c r="A52">
        <v>0</v>
      </c>
      <c r="B52">
        <v>0</v>
      </c>
      <c r="C52">
        <v>0</v>
      </c>
      <c r="D52">
        <v>0</v>
      </c>
      <c r="E52">
        <v>0</v>
      </c>
      <c r="F52">
        <v>0</v>
      </c>
      <c r="G52">
        <v>0</v>
      </c>
      <c r="H52">
        <v>0</v>
      </c>
      <c r="I52">
        <v>0</v>
      </c>
      <c r="J52">
        <v>0</v>
      </c>
      <c r="K52">
        <v>0</v>
      </c>
      <c r="L52">
        <v>0</v>
      </c>
      <c r="M52">
        <v>0</v>
      </c>
      <c r="N52">
        <v>0</v>
      </c>
      <c r="O52">
        <v>0</v>
      </c>
      <c r="P52">
        <v>0</v>
      </c>
      <c r="Q52">
        <v>0</v>
      </c>
      <c r="R52">
        <v>0</v>
      </c>
      <c r="S52">
        <v>0</v>
      </c>
      <c r="T52">
        <v>0</v>
      </c>
      <c r="U52">
        <v>0</v>
      </c>
      <c r="V52">
        <v>0</v>
      </c>
      <c r="W52">
        <v>0</v>
      </c>
      <c r="X52">
        <v>0</v>
      </c>
      <c r="Y52">
        <v>0</v>
      </c>
      <c r="Z52">
        <v>0</v>
      </c>
      <c r="AA52">
        <v>0</v>
      </c>
      <c r="AB52">
        <v>0</v>
      </c>
      <c r="AE52" t="str">
        <f t="shared" si="0"/>
        <v/>
      </c>
    </row>
    <row r="53" spans="1:31">
      <c r="A53">
        <v>0</v>
      </c>
      <c r="B53">
        <v>0</v>
      </c>
      <c r="C53">
        <v>0</v>
      </c>
      <c r="D53">
        <v>0</v>
      </c>
      <c r="E53">
        <v>0</v>
      </c>
      <c r="F53">
        <v>0</v>
      </c>
      <c r="G53">
        <v>0</v>
      </c>
      <c r="H53">
        <v>0</v>
      </c>
      <c r="I53">
        <v>0</v>
      </c>
      <c r="J53">
        <v>0</v>
      </c>
      <c r="K53">
        <v>0</v>
      </c>
      <c r="L53">
        <v>0</v>
      </c>
      <c r="M53">
        <v>0</v>
      </c>
      <c r="N53">
        <v>0</v>
      </c>
      <c r="O53">
        <v>0</v>
      </c>
      <c r="P53">
        <v>0</v>
      </c>
      <c r="Q53">
        <v>0</v>
      </c>
      <c r="R53">
        <v>0</v>
      </c>
      <c r="S53">
        <v>0</v>
      </c>
      <c r="T53">
        <v>0</v>
      </c>
      <c r="U53">
        <v>0</v>
      </c>
      <c r="V53">
        <v>0</v>
      </c>
      <c r="W53">
        <v>0</v>
      </c>
      <c r="X53">
        <v>0</v>
      </c>
      <c r="Y53">
        <v>0</v>
      </c>
      <c r="Z53">
        <v>0</v>
      </c>
      <c r="AA53">
        <v>0</v>
      </c>
      <c r="AB53">
        <v>0</v>
      </c>
      <c r="AE53" t="str">
        <f t="shared" si="0"/>
        <v/>
      </c>
    </row>
    <row r="54" spans="1:31">
      <c r="A54">
        <v>0</v>
      </c>
      <c r="B54">
        <v>0</v>
      </c>
      <c r="C54">
        <v>0</v>
      </c>
      <c r="D54">
        <v>0</v>
      </c>
      <c r="E54">
        <v>0</v>
      </c>
      <c r="F54">
        <v>0</v>
      </c>
      <c r="G54">
        <v>0</v>
      </c>
      <c r="H54">
        <v>0</v>
      </c>
      <c r="I54">
        <v>0</v>
      </c>
      <c r="J54">
        <v>0</v>
      </c>
      <c r="K54">
        <v>0</v>
      </c>
      <c r="L54">
        <v>0</v>
      </c>
      <c r="M54">
        <v>0</v>
      </c>
      <c r="N54">
        <v>0</v>
      </c>
      <c r="O54">
        <v>0</v>
      </c>
      <c r="P54">
        <v>0</v>
      </c>
      <c r="Q54">
        <v>0</v>
      </c>
      <c r="R54">
        <v>0</v>
      </c>
      <c r="S54">
        <v>0</v>
      </c>
      <c r="T54">
        <v>0</v>
      </c>
      <c r="U54">
        <v>0</v>
      </c>
      <c r="V54">
        <v>0</v>
      </c>
      <c r="W54">
        <v>0</v>
      </c>
      <c r="X54">
        <v>0</v>
      </c>
      <c r="Y54">
        <v>0</v>
      </c>
      <c r="Z54">
        <v>0</v>
      </c>
      <c r="AA54">
        <v>0</v>
      </c>
      <c r="AB54">
        <v>0</v>
      </c>
      <c r="AE54" t="str">
        <f t="shared" si="0"/>
        <v/>
      </c>
    </row>
    <row r="55" spans="1:31">
      <c r="A55">
        <v>0</v>
      </c>
      <c r="B55">
        <v>0</v>
      </c>
      <c r="C55">
        <v>0</v>
      </c>
      <c r="D55">
        <v>0</v>
      </c>
      <c r="E55">
        <v>0</v>
      </c>
      <c r="F55">
        <v>0</v>
      </c>
      <c r="G55">
        <v>0</v>
      </c>
      <c r="H55">
        <v>0</v>
      </c>
      <c r="I55">
        <v>0</v>
      </c>
      <c r="J55">
        <v>0</v>
      </c>
      <c r="K55">
        <v>0</v>
      </c>
      <c r="L55">
        <v>0</v>
      </c>
      <c r="M55">
        <v>0</v>
      </c>
      <c r="N55">
        <v>0</v>
      </c>
      <c r="O55">
        <v>0</v>
      </c>
      <c r="P55">
        <v>0</v>
      </c>
      <c r="Q55">
        <v>0</v>
      </c>
      <c r="R55">
        <v>0</v>
      </c>
      <c r="S55">
        <v>0</v>
      </c>
      <c r="T55">
        <v>0</v>
      </c>
      <c r="U55">
        <v>0</v>
      </c>
      <c r="V55">
        <v>0</v>
      </c>
      <c r="W55">
        <v>0</v>
      </c>
      <c r="X55">
        <v>0</v>
      </c>
      <c r="Y55">
        <v>0</v>
      </c>
      <c r="Z55">
        <v>0</v>
      </c>
      <c r="AA55">
        <v>0</v>
      </c>
      <c r="AB55">
        <v>0</v>
      </c>
      <c r="AE55" t="str">
        <f t="shared" si="0"/>
        <v/>
      </c>
    </row>
    <row r="56" spans="1:31">
      <c r="A56">
        <v>0</v>
      </c>
      <c r="B56">
        <v>0</v>
      </c>
      <c r="C56">
        <v>0</v>
      </c>
      <c r="D56">
        <v>0</v>
      </c>
      <c r="E56">
        <v>0</v>
      </c>
      <c r="F56">
        <v>0</v>
      </c>
      <c r="G56">
        <v>0</v>
      </c>
      <c r="H56">
        <v>0</v>
      </c>
      <c r="I56">
        <v>0</v>
      </c>
      <c r="J56">
        <v>0</v>
      </c>
      <c r="K56">
        <v>0</v>
      </c>
      <c r="L56">
        <v>0</v>
      </c>
      <c r="M56">
        <v>0</v>
      </c>
      <c r="N56">
        <v>0</v>
      </c>
      <c r="O56">
        <v>0</v>
      </c>
      <c r="P56">
        <v>0</v>
      </c>
      <c r="Q56">
        <v>0</v>
      </c>
      <c r="R56">
        <v>0</v>
      </c>
      <c r="S56">
        <v>0</v>
      </c>
      <c r="T56">
        <v>0</v>
      </c>
      <c r="U56">
        <v>0</v>
      </c>
      <c r="V56">
        <v>0</v>
      </c>
      <c r="W56">
        <v>0</v>
      </c>
      <c r="X56">
        <v>0</v>
      </c>
      <c r="Y56">
        <v>0</v>
      </c>
      <c r="Z56">
        <v>0</v>
      </c>
      <c r="AA56">
        <v>0</v>
      </c>
      <c r="AB56">
        <v>0</v>
      </c>
      <c r="AE56" t="str">
        <f t="shared" si="0"/>
        <v/>
      </c>
    </row>
    <row r="57" spans="1:31">
      <c r="A57">
        <v>0</v>
      </c>
      <c r="B57">
        <v>0</v>
      </c>
      <c r="C57">
        <v>0</v>
      </c>
      <c r="D57">
        <v>0</v>
      </c>
      <c r="E57">
        <v>0</v>
      </c>
      <c r="F57">
        <v>0</v>
      </c>
      <c r="G57">
        <v>0</v>
      </c>
      <c r="H57">
        <v>0</v>
      </c>
      <c r="I57">
        <v>0</v>
      </c>
      <c r="J57">
        <v>0</v>
      </c>
      <c r="K57">
        <v>0</v>
      </c>
      <c r="L57">
        <v>0</v>
      </c>
      <c r="M57">
        <v>0</v>
      </c>
      <c r="N57">
        <v>0</v>
      </c>
      <c r="O57">
        <v>0</v>
      </c>
      <c r="P57">
        <v>0</v>
      </c>
      <c r="Q57">
        <v>0</v>
      </c>
      <c r="R57">
        <v>0</v>
      </c>
      <c r="S57">
        <v>0</v>
      </c>
      <c r="T57">
        <v>0</v>
      </c>
      <c r="U57">
        <v>0</v>
      </c>
      <c r="V57">
        <v>0</v>
      </c>
      <c r="W57">
        <v>0</v>
      </c>
      <c r="X57">
        <v>0</v>
      </c>
      <c r="Y57">
        <v>0</v>
      </c>
      <c r="Z57">
        <v>0</v>
      </c>
      <c r="AA57">
        <v>0</v>
      </c>
      <c r="AB57">
        <v>0</v>
      </c>
      <c r="AE57" t="str">
        <f t="shared" si="0"/>
        <v/>
      </c>
    </row>
    <row r="58" spans="1:31">
      <c r="A58">
        <v>0</v>
      </c>
      <c r="B58">
        <v>0</v>
      </c>
      <c r="C58">
        <v>0</v>
      </c>
      <c r="D58">
        <v>0</v>
      </c>
      <c r="E58">
        <v>0</v>
      </c>
      <c r="F58">
        <v>0</v>
      </c>
      <c r="G58">
        <v>0</v>
      </c>
      <c r="H58">
        <v>0</v>
      </c>
      <c r="I58">
        <v>0</v>
      </c>
      <c r="J58">
        <v>0</v>
      </c>
      <c r="K58">
        <v>0</v>
      </c>
      <c r="L58">
        <v>0</v>
      </c>
      <c r="M58">
        <v>0</v>
      </c>
      <c r="N58">
        <v>0</v>
      </c>
      <c r="O58">
        <v>0</v>
      </c>
      <c r="P58">
        <v>0</v>
      </c>
      <c r="Q58">
        <v>0</v>
      </c>
      <c r="R58">
        <v>0</v>
      </c>
      <c r="S58">
        <v>0</v>
      </c>
      <c r="T58">
        <v>0</v>
      </c>
      <c r="U58">
        <v>0</v>
      </c>
      <c r="V58">
        <v>0</v>
      </c>
      <c r="W58">
        <v>0</v>
      </c>
      <c r="X58">
        <v>0</v>
      </c>
      <c r="Y58">
        <v>0</v>
      </c>
      <c r="Z58">
        <v>0</v>
      </c>
      <c r="AA58">
        <v>0</v>
      </c>
      <c r="AB58">
        <v>0</v>
      </c>
      <c r="AE58" t="str">
        <f t="shared" si="0"/>
        <v/>
      </c>
    </row>
    <row r="59" spans="1:31">
      <c r="A59">
        <v>0</v>
      </c>
      <c r="B59">
        <v>0</v>
      </c>
      <c r="C59">
        <v>0</v>
      </c>
      <c r="D59">
        <v>0</v>
      </c>
      <c r="E59">
        <v>0</v>
      </c>
      <c r="F59">
        <v>0</v>
      </c>
      <c r="G59">
        <v>0</v>
      </c>
      <c r="H59">
        <v>0</v>
      </c>
      <c r="I59">
        <v>0</v>
      </c>
      <c r="J59">
        <v>0</v>
      </c>
      <c r="K59">
        <v>0</v>
      </c>
      <c r="L59">
        <v>0</v>
      </c>
      <c r="M59">
        <v>0</v>
      </c>
      <c r="N59">
        <v>0</v>
      </c>
      <c r="O59">
        <v>0</v>
      </c>
      <c r="P59">
        <v>0</v>
      </c>
      <c r="Q59">
        <v>0</v>
      </c>
      <c r="R59">
        <v>0</v>
      </c>
      <c r="S59">
        <v>0</v>
      </c>
      <c r="T59">
        <v>0</v>
      </c>
      <c r="U59">
        <v>0</v>
      </c>
      <c r="V59">
        <v>0</v>
      </c>
      <c r="W59">
        <v>0</v>
      </c>
      <c r="X59">
        <v>0</v>
      </c>
      <c r="Y59">
        <v>0</v>
      </c>
      <c r="Z59">
        <v>0</v>
      </c>
      <c r="AA59">
        <v>0</v>
      </c>
      <c r="AB59">
        <v>0</v>
      </c>
      <c r="AE59" t="str">
        <f t="shared" si="0"/>
        <v/>
      </c>
    </row>
    <row r="60" spans="1:31">
      <c r="A60">
        <v>0</v>
      </c>
      <c r="B60">
        <v>0</v>
      </c>
      <c r="C60">
        <v>0</v>
      </c>
      <c r="D60">
        <v>0</v>
      </c>
      <c r="E60">
        <v>0</v>
      </c>
      <c r="F60">
        <v>0</v>
      </c>
      <c r="G60">
        <v>0</v>
      </c>
      <c r="H60">
        <v>0</v>
      </c>
      <c r="I60">
        <v>0</v>
      </c>
      <c r="J60">
        <v>0</v>
      </c>
      <c r="K60">
        <v>0</v>
      </c>
      <c r="L60">
        <v>0</v>
      </c>
      <c r="M60">
        <v>0</v>
      </c>
      <c r="N60">
        <v>0</v>
      </c>
      <c r="O60">
        <v>0</v>
      </c>
      <c r="P60">
        <v>0</v>
      </c>
      <c r="Q60">
        <v>0</v>
      </c>
      <c r="R60">
        <v>0</v>
      </c>
      <c r="S60">
        <v>0</v>
      </c>
      <c r="T60">
        <v>0</v>
      </c>
      <c r="U60">
        <v>0</v>
      </c>
      <c r="V60">
        <v>0</v>
      </c>
      <c r="W60">
        <v>0</v>
      </c>
      <c r="X60">
        <v>0</v>
      </c>
      <c r="Y60">
        <v>0</v>
      </c>
      <c r="Z60">
        <v>0</v>
      </c>
      <c r="AA60">
        <v>0</v>
      </c>
      <c r="AB60">
        <v>0</v>
      </c>
      <c r="AE60" t="str">
        <f t="shared" si="0"/>
        <v/>
      </c>
    </row>
    <row r="61" spans="1:31">
      <c r="A61">
        <v>0</v>
      </c>
      <c r="B61">
        <v>0</v>
      </c>
      <c r="C61">
        <v>0</v>
      </c>
      <c r="D61">
        <v>0</v>
      </c>
      <c r="E61">
        <v>0</v>
      </c>
      <c r="F61">
        <v>0</v>
      </c>
      <c r="G61">
        <v>0</v>
      </c>
      <c r="H61">
        <v>0</v>
      </c>
      <c r="I61">
        <v>0</v>
      </c>
      <c r="J61">
        <v>0</v>
      </c>
      <c r="K61">
        <v>0</v>
      </c>
      <c r="L61">
        <v>0</v>
      </c>
      <c r="M61">
        <v>0</v>
      </c>
      <c r="N61">
        <v>0</v>
      </c>
      <c r="O61">
        <v>0</v>
      </c>
      <c r="P61">
        <v>0</v>
      </c>
      <c r="Q61">
        <v>0</v>
      </c>
      <c r="R61">
        <v>0</v>
      </c>
      <c r="S61">
        <v>0</v>
      </c>
      <c r="T61">
        <v>0</v>
      </c>
      <c r="U61">
        <v>0</v>
      </c>
      <c r="V61">
        <v>0</v>
      </c>
      <c r="W61">
        <v>0</v>
      </c>
      <c r="X61">
        <v>0</v>
      </c>
      <c r="Y61">
        <v>0</v>
      </c>
      <c r="Z61">
        <v>0</v>
      </c>
      <c r="AA61">
        <v>0</v>
      </c>
      <c r="AB61">
        <v>0</v>
      </c>
      <c r="AE61" t="str">
        <f t="shared" si="0"/>
        <v/>
      </c>
    </row>
    <row r="62" spans="1:31">
      <c r="A62">
        <v>0</v>
      </c>
      <c r="B62">
        <v>0</v>
      </c>
      <c r="C62">
        <v>0</v>
      </c>
      <c r="D62">
        <v>0</v>
      </c>
      <c r="E62">
        <v>0</v>
      </c>
      <c r="F62">
        <v>0</v>
      </c>
      <c r="G62">
        <v>0</v>
      </c>
      <c r="H62">
        <v>0</v>
      </c>
      <c r="I62">
        <v>0</v>
      </c>
      <c r="J62">
        <v>0</v>
      </c>
      <c r="K62">
        <v>0</v>
      </c>
      <c r="L62">
        <v>0</v>
      </c>
      <c r="M62">
        <v>0</v>
      </c>
      <c r="N62">
        <v>0</v>
      </c>
      <c r="O62">
        <v>0</v>
      </c>
      <c r="P62">
        <v>0</v>
      </c>
      <c r="Q62">
        <v>0</v>
      </c>
      <c r="R62">
        <v>0</v>
      </c>
      <c r="S62">
        <v>0</v>
      </c>
      <c r="T62">
        <v>0</v>
      </c>
      <c r="U62">
        <v>0</v>
      </c>
      <c r="V62">
        <v>0</v>
      </c>
      <c r="W62">
        <v>0</v>
      </c>
      <c r="X62">
        <v>0</v>
      </c>
      <c r="Y62">
        <v>0</v>
      </c>
      <c r="Z62">
        <v>0</v>
      </c>
      <c r="AA62">
        <v>0</v>
      </c>
      <c r="AB62">
        <v>0</v>
      </c>
      <c r="AE62" t="str">
        <f t="shared" si="0"/>
        <v/>
      </c>
    </row>
    <row r="63" spans="1:31">
      <c r="A63">
        <v>0</v>
      </c>
      <c r="B63">
        <v>0</v>
      </c>
      <c r="C63">
        <v>0</v>
      </c>
      <c r="D63">
        <v>0</v>
      </c>
      <c r="E63">
        <v>0</v>
      </c>
      <c r="F63">
        <v>0</v>
      </c>
      <c r="G63">
        <v>0</v>
      </c>
      <c r="H63">
        <v>0</v>
      </c>
      <c r="I63">
        <v>0</v>
      </c>
      <c r="J63">
        <v>0</v>
      </c>
      <c r="K63">
        <v>0</v>
      </c>
      <c r="L63">
        <v>0</v>
      </c>
      <c r="M63">
        <v>0</v>
      </c>
      <c r="N63">
        <v>0</v>
      </c>
      <c r="O63">
        <v>0</v>
      </c>
      <c r="P63">
        <v>0</v>
      </c>
      <c r="Q63">
        <v>0</v>
      </c>
      <c r="R63">
        <v>0</v>
      </c>
      <c r="S63">
        <v>0</v>
      </c>
      <c r="T63">
        <v>0</v>
      </c>
      <c r="U63">
        <v>0</v>
      </c>
      <c r="V63">
        <v>0</v>
      </c>
      <c r="W63">
        <v>0</v>
      </c>
      <c r="X63">
        <v>0</v>
      </c>
      <c r="Y63">
        <v>0</v>
      </c>
      <c r="Z63">
        <v>0</v>
      </c>
      <c r="AA63">
        <v>0</v>
      </c>
      <c r="AB63">
        <v>0</v>
      </c>
      <c r="AE63" t="str">
        <f t="shared" si="0"/>
        <v/>
      </c>
    </row>
    <row r="64" spans="1:31">
      <c r="A64">
        <v>0</v>
      </c>
      <c r="B64">
        <v>0</v>
      </c>
      <c r="C64">
        <v>0</v>
      </c>
      <c r="D64">
        <v>0</v>
      </c>
      <c r="E64">
        <v>0</v>
      </c>
      <c r="F64">
        <v>0</v>
      </c>
      <c r="G64">
        <v>0</v>
      </c>
      <c r="H64">
        <v>0</v>
      </c>
      <c r="I64">
        <v>0</v>
      </c>
      <c r="J64">
        <v>0</v>
      </c>
      <c r="K64">
        <v>0</v>
      </c>
      <c r="L64">
        <v>0</v>
      </c>
      <c r="M64">
        <v>0</v>
      </c>
      <c r="N64">
        <v>0</v>
      </c>
      <c r="O64">
        <v>0</v>
      </c>
      <c r="P64">
        <v>0</v>
      </c>
      <c r="Q64">
        <v>0</v>
      </c>
      <c r="R64">
        <v>0</v>
      </c>
      <c r="S64">
        <v>0</v>
      </c>
      <c r="T64">
        <v>0</v>
      </c>
      <c r="U64">
        <v>0</v>
      </c>
      <c r="V64">
        <v>0</v>
      </c>
      <c r="W64">
        <v>0</v>
      </c>
      <c r="X64">
        <v>0</v>
      </c>
      <c r="Y64">
        <v>0</v>
      </c>
      <c r="Z64">
        <v>0</v>
      </c>
      <c r="AA64">
        <v>0</v>
      </c>
      <c r="AB64">
        <v>0</v>
      </c>
      <c r="AE64" t="str">
        <f t="shared" si="0"/>
        <v/>
      </c>
    </row>
    <row r="65" spans="1:31">
      <c r="A65">
        <v>0</v>
      </c>
      <c r="B65">
        <v>0</v>
      </c>
      <c r="C65">
        <v>0</v>
      </c>
      <c r="D65">
        <v>0</v>
      </c>
      <c r="E65">
        <v>0</v>
      </c>
      <c r="F65">
        <v>0</v>
      </c>
      <c r="G65">
        <v>0</v>
      </c>
      <c r="H65">
        <v>0</v>
      </c>
      <c r="I65">
        <v>0</v>
      </c>
      <c r="J65">
        <v>0</v>
      </c>
      <c r="K65">
        <v>0</v>
      </c>
      <c r="L65">
        <v>0</v>
      </c>
      <c r="M65">
        <v>0</v>
      </c>
      <c r="N65">
        <v>0</v>
      </c>
      <c r="O65">
        <v>0</v>
      </c>
      <c r="P65">
        <v>0</v>
      </c>
      <c r="Q65">
        <v>0</v>
      </c>
      <c r="R65">
        <v>0</v>
      </c>
      <c r="S65">
        <v>0</v>
      </c>
      <c r="T65">
        <v>0</v>
      </c>
      <c r="U65">
        <v>0</v>
      </c>
      <c r="V65">
        <v>0</v>
      </c>
      <c r="W65">
        <v>0</v>
      </c>
      <c r="X65">
        <v>0</v>
      </c>
      <c r="Y65">
        <v>0</v>
      </c>
      <c r="Z65">
        <v>0</v>
      </c>
      <c r="AA65">
        <v>0</v>
      </c>
      <c r="AB65">
        <v>0</v>
      </c>
      <c r="AE65" t="str">
        <f t="shared" si="0"/>
        <v/>
      </c>
    </row>
    <row r="66" spans="1:31">
      <c r="A66">
        <v>0</v>
      </c>
      <c r="B66">
        <v>0</v>
      </c>
      <c r="C66">
        <v>0</v>
      </c>
      <c r="D66">
        <v>0</v>
      </c>
      <c r="E66">
        <v>0</v>
      </c>
      <c r="F66">
        <v>0</v>
      </c>
      <c r="G66">
        <v>0</v>
      </c>
      <c r="H66">
        <v>0</v>
      </c>
      <c r="I66">
        <v>0</v>
      </c>
      <c r="J66">
        <v>0</v>
      </c>
      <c r="K66">
        <v>0</v>
      </c>
      <c r="L66">
        <v>0</v>
      </c>
      <c r="M66">
        <v>0</v>
      </c>
      <c r="N66">
        <v>0</v>
      </c>
      <c r="O66">
        <v>0</v>
      </c>
      <c r="P66">
        <v>0</v>
      </c>
      <c r="Q66">
        <v>0</v>
      </c>
      <c r="R66">
        <v>0</v>
      </c>
      <c r="S66">
        <v>0</v>
      </c>
      <c r="T66">
        <v>0</v>
      </c>
      <c r="U66">
        <v>0</v>
      </c>
      <c r="V66">
        <v>0</v>
      </c>
      <c r="W66">
        <v>0</v>
      </c>
      <c r="X66">
        <v>0</v>
      </c>
      <c r="Y66">
        <v>0</v>
      </c>
      <c r="Z66">
        <v>0</v>
      </c>
      <c r="AA66">
        <v>0</v>
      </c>
      <c r="AB66">
        <v>0</v>
      </c>
      <c r="AE66" t="str">
        <f t="shared" si="0"/>
        <v/>
      </c>
    </row>
    <row r="67" spans="1:31">
      <c r="A67">
        <v>0</v>
      </c>
      <c r="B67">
        <v>0</v>
      </c>
      <c r="C67">
        <v>0</v>
      </c>
      <c r="D67">
        <v>0</v>
      </c>
      <c r="E67">
        <v>0</v>
      </c>
      <c r="F67">
        <v>0</v>
      </c>
      <c r="G67">
        <v>0</v>
      </c>
      <c r="H67">
        <v>0</v>
      </c>
      <c r="I67">
        <v>0</v>
      </c>
      <c r="J67">
        <v>0</v>
      </c>
      <c r="K67">
        <v>0</v>
      </c>
      <c r="L67">
        <v>0</v>
      </c>
      <c r="M67">
        <v>0</v>
      </c>
      <c r="N67">
        <v>0</v>
      </c>
      <c r="O67">
        <v>0</v>
      </c>
      <c r="P67">
        <v>0</v>
      </c>
      <c r="Q67">
        <v>0</v>
      </c>
      <c r="R67">
        <v>0</v>
      </c>
      <c r="S67">
        <v>0</v>
      </c>
      <c r="T67">
        <v>0</v>
      </c>
      <c r="U67">
        <v>0</v>
      </c>
      <c r="V67">
        <v>0</v>
      </c>
      <c r="W67">
        <v>0</v>
      </c>
      <c r="X67">
        <v>0</v>
      </c>
      <c r="Y67">
        <v>0</v>
      </c>
      <c r="Z67">
        <v>0</v>
      </c>
      <c r="AA67">
        <v>0</v>
      </c>
      <c r="AB67">
        <v>0</v>
      </c>
      <c r="AE67" t="str">
        <f t="shared" ref="AE67:AE99" si="1">IF(ISNUMBER(SEARCH("Successful",F67)),
   "Successful",
   IF(F67="Failed","Failed",""))</f>
        <v/>
      </c>
    </row>
    <row r="68" spans="1:31">
      <c r="A68">
        <v>0</v>
      </c>
      <c r="B68">
        <v>0</v>
      </c>
      <c r="C68">
        <v>0</v>
      </c>
      <c r="D68">
        <v>0</v>
      </c>
      <c r="E68">
        <v>0</v>
      </c>
      <c r="F68">
        <v>0</v>
      </c>
      <c r="G68">
        <v>0</v>
      </c>
      <c r="H68">
        <v>0</v>
      </c>
      <c r="I68">
        <v>0</v>
      </c>
      <c r="J68">
        <v>0</v>
      </c>
      <c r="K68">
        <v>0</v>
      </c>
      <c r="L68">
        <v>0</v>
      </c>
      <c r="M68">
        <v>0</v>
      </c>
      <c r="N68">
        <v>0</v>
      </c>
      <c r="O68">
        <v>0</v>
      </c>
      <c r="P68">
        <v>0</v>
      </c>
      <c r="Q68">
        <v>0</v>
      </c>
      <c r="R68">
        <v>0</v>
      </c>
      <c r="S68">
        <v>0</v>
      </c>
      <c r="T68">
        <v>0</v>
      </c>
      <c r="U68">
        <v>0</v>
      </c>
      <c r="V68">
        <v>0</v>
      </c>
      <c r="W68">
        <v>0</v>
      </c>
      <c r="X68">
        <v>0</v>
      </c>
      <c r="Y68">
        <v>0</v>
      </c>
      <c r="Z68">
        <v>0</v>
      </c>
      <c r="AA68">
        <v>0</v>
      </c>
      <c r="AB68">
        <v>0</v>
      </c>
      <c r="AE68" t="str">
        <f t="shared" si="1"/>
        <v/>
      </c>
    </row>
    <row r="69" spans="1:31">
      <c r="A69">
        <v>0</v>
      </c>
      <c r="B69">
        <v>0</v>
      </c>
      <c r="C69">
        <v>0</v>
      </c>
      <c r="D69">
        <v>0</v>
      </c>
      <c r="E69">
        <v>0</v>
      </c>
      <c r="F69">
        <v>0</v>
      </c>
      <c r="G69">
        <v>0</v>
      </c>
      <c r="H69">
        <v>0</v>
      </c>
      <c r="I69">
        <v>0</v>
      </c>
      <c r="J69">
        <v>0</v>
      </c>
      <c r="K69">
        <v>0</v>
      </c>
      <c r="L69">
        <v>0</v>
      </c>
      <c r="M69">
        <v>0</v>
      </c>
      <c r="N69">
        <v>0</v>
      </c>
      <c r="O69">
        <v>0</v>
      </c>
      <c r="P69">
        <v>0</v>
      </c>
      <c r="Q69">
        <v>0</v>
      </c>
      <c r="R69">
        <v>0</v>
      </c>
      <c r="S69">
        <v>0</v>
      </c>
      <c r="T69">
        <v>0</v>
      </c>
      <c r="U69">
        <v>0</v>
      </c>
      <c r="V69">
        <v>0</v>
      </c>
      <c r="W69">
        <v>0</v>
      </c>
      <c r="X69">
        <v>0</v>
      </c>
      <c r="Y69">
        <v>0</v>
      </c>
      <c r="Z69">
        <v>0</v>
      </c>
      <c r="AA69">
        <v>0</v>
      </c>
      <c r="AB69">
        <v>0</v>
      </c>
      <c r="AE69" t="str">
        <f t="shared" si="1"/>
        <v/>
      </c>
    </row>
    <row r="70" spans="1:31">
      <c r="A70">
        <v>0</v>
      </c>
      <c r="B70">
        <v>0</v>
      </c>
      <c r="C70">
        <v>0</v>
      </c>
      <c r="D70">
        <v>0</v>
      </c>
      <c r="E70">
        <v>0</v>
      </c>
      <c r="F70">
        <v>0</v>
      </c>
      <c r="G70">
        <v>0</v>
      </c>
      <c r="H70">
        <v>0</v>
      </c>
      <c r="I70">
        <v>0</v>
      </c>
      <c r="J70">
        <v>0</v>
      </c>
      <c r="K70">
        <v>0</v>
      </c>
      <c r="L70">
        <v>0</v>
      </c>
      <c r="M70">
        <v>0</v>
      </c>
      <c r="N70">
        <v>0</v>
      </c>
      <c r="O70">
        <v>0</v>
      </c>
      <c r="P70">
        <v>0</v>
      </c>
      <c r="Q70">
        <v>0</v>
      </c>
      <c r="R70">
        <v>0</v>
      </c>
      <c r="S70">
        <v>0</v>
      </c>
      <c r="T70">
        <v>0</v>
      </c>
      <c r="U70">
        <v>0</v>
      </c>
      <c r="V70">
        <v>0</v>
      </c>
      <c r="W70">
        <v>0</v>
      </c>
      <c r="X70">
        <v>0</v>
      </c>
      <c r="Y70">
        <v>0</v>
      </c>
      <c r="Z70">
        <v>0</v>
      </c>
      <c r="AA70">
        <v>0</v>
      </c>
      <c r="AB70">
        <v>0</v>
      </c>
      <c r="AE70" t="str">
        <f t="shared" si="1"/>
        <v/>
      </c>
    </row>
    <row r="71" spans="1:31">
      <c r="A71">
        <v>0</v>
      </c>
      <c r="B71">
        <v>0</v>
      </c>
      <c r="C71">
        <v>0</v>
      </c>
      <c r="D71">
        <v>0</v>
      </c>
      <c r="E71">
        <v>0</v>
      </c>
      <c r="F71">
        <v>0</v>
      </c>
      <c r="G71">
        <v>0</v>
      </c>
      <c r="H71">
        <v>0</v>
      </c>
      <c r="I71">
        <v>0</v>
      </c>
      <c r="J71">
        <v>0</v>
      </c>
      <c r="K71">
        <v>0</v>
      </c>
      <c r="L71">
        <v>0</v>
      </c>
      <c r="M71">
        <v>0</v>
      </c>
      <c r="N71">
        <v>0</v>
      </c>
      <c r="O71">
        <v>0</v>
      </c>
      <c r="P71">
        <v>0</v>
      </c>
      <c r="Q71">
        <v>0</v>
      </c>
      <c r="R71">
        <v>0</v>
      </c>
      <c r="S71">
        <v>0</v>
      </c>
      <c r="T71">
        <v>0</v>
      </c>
      <c r="U71">
        <v>0</v>
      </c>
      <c r="V71">
        <v>0</v>
      </c>
      <c r="W71">
        <v>0</v>
      </c>
      <c r="X71">
        <v>0</v>
      </c>
      <c r="Y71">
        <v>0</v>
      </c>
      <c r="Z71">
        <v>0</v>
      </c>
      <c r="AA71">
        <v>0</v>
      </c>
      <c r="AB71">
        <v>0</v>
      </c>
      <c r="AE71" t="str">
        <f t="shared" si="1"/>
        <v/>
      </c>
    </row>
    <row r="72" spans="1:31">
      <c r="A72">
        <v>0</v>
      </c>
      <c r="B72">
        <v>0</v>
      </c>
      <c r="C72">
        <v>0</v>
      </c>
      <c r="D72">
        <v>0</v>
      </c>
      <c r="E72">
        <v>0</v>
      </c>
      <c r="F72">
        <v>0</v>
      </c>
      <c r="G72">
        <v>0</v>
      </c>
      <c r="H72">
        <v>0</v>
      </c>
      <c r="I72">
        <v>0</v>
      </c>
      <c r="J72">
        <v>0</v>
      </c>
      <c r="K72">
        <v>0</v>
      </c>
      <c r="L72">
        <v>0</v>
      </c>
      <c r="M72">
        <v>0</v>
      </c>
      <c r="N72">
        <v>0</v>
      </c>
      <c r="O72">
        <v>0</v>
      </c>
      <c r="P72">
        <v>0</v>
      </c>
      <c r="Q72">
        <v>0</v>
      </c>
      <c r="R72">
        <v>0</v>
      </c>
      <c r="S72">
        <v>0</v>
      </c>
      <c r="T72">
        <v>0</v>
      </c>
      <c r="U72">
        <v>0</v>
      </c>
      <c r="V72">
        <v>0</v>
      </c>
      <c r="W72">
        <v>0</v>
      </c>
      <c r="X72">
        <v>0</v>
      </c>
      <c r="Y72">
        <v>0</v>
      </c>
      <c r="Z72">
        <v>0</v>
      </c>
      <c r="AA72">
        <v>0</v>
      </c>
      <c r="AB72">
        <v>0</v>
      </c>
      <c r="AE72" t="str">
        <f t="shared" si="1"/>
        <v/>
      </c>
    </row>
    <row r="73" spans="1:31">
      <c r="A73">
        <v>0</v>
      </c>
      <c r="B73">
        <v>0</v>
      </c>
      <c r="C73">
        <v>0</v>
      </c>
      <c r="D73">
        <v>0</v>
      </c>
      <c r="E73">
        <v>0</v>
      </c>
      <c r="F73">
        <v>0</v>
      </c>
      <c r="G73">
        <v>0</v>
      </c>
      <c r="H73">
        <v>0</v>
      </c>
      <c r="I73">
        <v>0</v>
      </c>
      <c r="J73">
        <v>0</v>
      </c>
      <c r="K73">
        <v>0</v>
      </c>
      <c r="L73">
        <v>0</v>
      </c>
      <c r="M73">
        <v>0</v>
      </c>
      <c r="N73">
        <v>0</v>
      </c>
      <c r="O73">
        <v>0</v>
      </c>
      <c r="P73">
        <v>0</v>
      </c>
      <c r="Q73">
        <v>0</v>
      </c>
      <c r="R73">
        <v>0</v>
      </c>
      <c r="S73">
        <v>0</v>
      </c>
      <c r="T73">
        <v>0</v>
      </c>
      <c r="U73">
        <v>0</v>
      </c>
      <c r="V73">
        <v>0</v>
      </c>
      <c r="W73">
        <v>0</v>
      </c>
      <c r="X73">
        <v>0</v>
      </c>
      <c r="Y73">
        <v>0</v>
      </c>
      <c r="Z73">
        <v>0</v>
      </c>
      <c r="AA73">
        <v>0</v>
      </c>
      <c r="AB73">
        <v>0</v>
      </c>
      <c r="AE73" t="str">
        <f t="shared" si="1"/>
        <v/>
      </c>
    </row>
    <row r="74" spans="1:31">
      <c r="A74">
        <v>0</v>
      </c>
      <c r="B74">
        <v>0</v>
      </c>
      <c r="C74">
        <v>0</v>
      </c>
      <c r="D74">
        <v>0</v>
      </c>
      <c r="E74">
        <v>0</v>
      </c>
      <c r="F74">
        <v>0</v>
      </c>
      <c r="G74">
        <v>0</v>
      </c>
      <c r="H74">
        <v>0</v>
      </c>
      <c r="I74">
        <v>0</v>
      </c>
      <c r="J74">
        <v>0</v>
      </c>
      <c r="K74">
        <v>0</v>
      </c>
      <c r="L74">
        <v>0</v>
      </c>
      <c r="M74">
        <v>0</v>
      </c>
      <c r="N74">
        <v>0</v>
      </c>
      <c r="O74">
        <v>0</v>
      </c>
      <c r="P74">
        <v>0</v>
      </c>
      <c r="Q74">
        <v>0</v>
      </c>
      <c r="R74">
        <v>0</v>
      </c>
      <c r="S74">
        <v>0</v>
      </c>
      <c r="T74">
        <v>0</v>
      </c>
      <c r="U74">
        <v>0</v>
      </c>
      <c r="V74">
        <v>0</v>
      </c>
      <c r="W74">
        <v>0</v>
      </c>
      <c r="X74">
        <v>0</v>
      </c>
      <c r="Y74">
        <v>0</v>
      </c>
      <c r="Z74">
        <v>0</v>
      </c>
      <c r="AA74">
        <v>0</v>
      </c>
      <c r="AB74">
        <v>0</v>
      </c>
      <c r="AE74" t="str">
        <f t="shared" si="1"/>
        <v/>
      </c>
    </row>
    <row r="75" spans="1:31">
      <c r="A75">
        <v>0</v>
      </c>
      <c r="B75">
        <v>0</v>
      </c>
      <c r="C75">
        <v>0</v>
      </c>
      <c r="D75">
        <v>0</v>
      </c>
      <c r="E75">
        <v>0</v>
      </c>
      <c r="F75">
        <v>0</v>
      </c>
      <c r="G75">
        <v>0</v>
      </c>
      <c r="H75">
        <v>0</v>
      </c>
      <c r="I75">
        <v>0</v>
      </c>
      <c r="J75">
        <v>0</v>
      </c>
      <c r="K75">
        <v>0</v>
      </c>
      <c r="L75">
        <v>0</v>
      </c>
      <c r="M75">
        <v>0</v>
      </c>
      <c r="N75">
        <v>0</v>
      </c>
      <c r="O75">
        <v>0</v>
      </c>
      <c r="P75">
        <v>0</v>
      </c>
      <c r="Q75">
        <v>0</v>
      </c>
      <c r="R75">
        <v>0</v>
      </c>
      <c r="S75">
        <v>0</v>
      </c>
      <c r="T75">
        <v>0</v>
      </c>
      <c r="U75">
        <v>0</v>
      </c>
      <c r="V75">
        <v>0</v>
      </c>
      <c r="W75">
        <v>0</v>
      </c>
      <c r="X75">
        <v>0</v>
      </c>
      <c r="Y75">
        <v>0</v>
      </c>
      <c r="Z75">
        <v>0</v>
      </c>
      <c r="AA75">
        <v>0</v>
      </c>
      <c r="AB75">
        <v>0</v>
      </c>
      <c r="AE75" t="str">
        <f t="shared" si="1"/>
        <v/>
      </c>
    </row>
    <row r="76" spans="1:31">
      <c r="A76">
        <v>0</v>
      </c>
      <c r="B76">
        <v>0</v>
      </c>
      <c r="C76">
        <v>0</v>
      </c>
      <c r="D76">
        <v>0</v>
      </c>
      <c r="E76">
        <v>0</v>
      </c>
      <c r="F76">
        <v>0</v>
      </c>
      <c r="G76">
        <v>0</v>
      </c>
      <c r="H76">
        <v>0</v>
      </c>
      <c r="I76">
        <v>0</v>
      </c>
      <c r="J76">
        <v>0</v>
      </c>
      <c r="K76">
        <v>0</v>
      </c>
      <c r="L76">
        <v>0</v>
      </c>
      <c r="M76">
        <v>0</v>
      </c>
      <c r="N76">
        <v>0</v>
      </c>
      <c r="O76">
        <v>0</v>
      </c>
      <c r="P76">
        <v>0</v>
      </c>
      <c r="Q76">
        <v>0</v>
      </c>
      <c r="R76">
        <v>0</v>
      </c>
      <c r="S76">
        <v>0</v>
      </c>
      <c r="T76">
        <v>0</v>
      </c>
      <c r="U76">
        <v>0</v>
      </c>
      <c r="V76">
        <v>0</v>
      </c>
      <c r="W76">
        <v>0</v>
      </c>
      <c r="X76">
        <v>0</v>
      </c>
      <c r="Y76">
        <v>0</v>
      </c>
      <c r="Z76">
        <v>0</v>
      </c>
      <c r="AA76">
        <v>0</v>
      </c>
      <c r="AB76">
        <v>0</v>
      </c>
      <c r="AE76" t="str">
        <f t="shared" si="1"/>
        <v/>
      </c>
    </row>
    <row r="77" spans="1:31">
      <c r="A77">
        <v>0</v>
      </c>
      <c r="B77">
        <v>0</v>
      </c>
      <c r="C77">
        <v>0</v>
      </c>
      <c r="D77">
        <v>0</v>
      </c>
      <c r="E77">
        <v>0</v>
      </c>
      <c r="F77">
        <v>0</v>
      </c>
      <c r="G77">
        <v>0</v>
      </c>
      <c r="H77">
        <v>0</v>
      </c>
      <c r="I77">
        <v>0</v>
      </c>
      <c r="J77">
        <v>0</v>
      </c>
      <c r="K77">
        <v>0</v>
      </c>
      <c r="L77">
        <v>0</v>
      </c>
      <c r="M77">
        <v>0</v>
      </c>
      <c r="N77">
        <v>0</v>
      </c>
      <c r="O77">
        <v>0</v>
      </c>
      <c r="P77">
        <v>0</v>
      </c>
      <c r="Q77">
        <v>0</v>
      </c>
      <c r="R77">
        <v>0</v>
      </c>
      <c r="S77">
        <v>0</v>
      </c>
      <c r="T77">
        <v>0</v>
      </c>
      <c r="U77">
        <v>0</v>
      </c>
      <c r="V77">
        <v>0</v>
      </c>
      <c r="W77">
        <v>0</v>
      </c>
      <c r="X77">
        <v>0</v>
      </c>
      <c r="Y77">
        <v>0</v>
      </c>
      <c r="Z77">
        <v>0</v>
      </c>
      <c r="AA77">
        <v>0</v>
      </c>
      <c r="AB77">
        <v>0</v>
      </c>
      <c r="AE77" t="str">
        <f t="shared" si="1"/>
        <v/>
      </c>
    </row>
    <row r="78" spans="1:31">
      <c r="A78">
        <v>0</v>
      </c>
      <c r="B78">
        <v>0</v>
      </c>
      <c r="C78">
        <v>0</v>
      </c>
      <c r="D78">
        <v>0</v>
      </c>
      <c r="E78">
        <v>0</v>
      </c>
      <c r="F78">
        <v>0</v>
      </c>
      <c r="G78">
        <v>0</v>
      </c>
      <c r="H78">
        <v>0</v>
      </c>
      <c r="I78">
        <v>0</v>
      </c>
      <c r="J78">
        <v>0</v>
      </c>
      <c r="K78">
        <v>0</v>
      </c>
      <c r="L78">
        <v>0</v>
      </c>
      <c r="M78">
        <v>0</v>
      </c>
      <c r="N78">
        <v>0</v>
      </c>
      <c r="O78">
        <v>0</v>
      </c>
      <c r="P78">
        <v>0</v>
      </c>
      <c r="Q78">
        <v>0</v>
      </c>
      <c r="R78">
        <v>0</v>
      </c>
      <c r="S78">
        <v>0</v>
      </c>
      <c r="T78">
        <v>0</v>
      </c>
      <c r="U78">
        <v>0</v>
      </c>
      <c r="V78">
        <v>0</v>
      </c>
      <c r="W78">
        <v>0</v>
      </c>
      <c r="X78">
        <v>0</v>
      </c>
      <c r="Y78">
        <v>0</v>
      </c>
      <c r="Z78">
        <v>0</v>
      </c>
      <c r="AA78">
        <v>0</v>
      </c>
      <c r="AB78">
        <v>0</v>
      </c>
      <c r="AE78" t="str">
        <f t="shared" si="1"/>
        <v/>
      </c>
    </row>
    <row r="79" spans="1:31">
      <c r="A79">
        <v>0</v>
      </c>
      <c r="B79">
        <v>0</v>
      </c>
      <c r="C79">
        <v>0</v>
      </c>
      <c r="D79">
        <v>0</v>
      </c>
      <c r="E79">
        <v>0</v>
      </c>
      <c r="F79">
        <v>0</v>
      </c>
      <c r="G79">
        <v>0</v>
      </c>
      <c r="H79">
        <v>0</v>
      </c>
      <c r="I79">
        <v>0</v>
      </c>
      <c r="J79">
        <v>0</v>
      </c>
      <c r="K79">
        <v>0</v>
      </c>
      <c r="L79">
        <v>0</v>
      </c>
      <c r="M79">
        <v>0</v>
      </c>
      <c r="N79">
        <v>0</v>
      </c>
      <c r="O79">
        <v>0</v>
      </c>
      <c r="P79">
        <v>0</v>
      </c>
      <c r="Q79">
        <v>0</v>
      </c>
      <c r="R79">
        <v>0</v>
      </c>
      <c r="S79">
        <v>0</v>
      </c>
      <c r="T79">
        <v>0</v>
      </c>
      <c r="U79">
        <v>0</v>
      </c>
      <c r="V79">
        <v>0</v>
      </c>
      <c r="W79">
        <v>0</v>
      </c>
      <c r="X79">
        <v>0</v>
      </c>
      <c r="Y79">
        <v>0</v>
      </c>
      <c r="Z79">
        <v>0</v>
      </c>
      <c r="AA79">
        <v>0</v>
      </c>
      <c r="AB79">
        <v>0</v>
      </c>
      <c r="AE79" t="str">
        <f t="shared" si="1"/>
        <v/>
      </c>
    </row>
    <row r="80" spans="1:31">
      <c r="A80">
        <v>0</v>
      </c>
      <c r="B80">
        <v>0</v>
      </c>
      <c r="C80">
        <v>0</v>
      </c>
      <c r="D80">
        <v>0</v>
      </c>
      <c r="E80">
        <v>0</v>
      </c>
      <c r="F80">
        <v>0</v>
      </c>
      <c r="G80">
        <v>0</v>
      </c>
      <c r="H80">
        <v>0</v>
      </c>
      <c r="I80">
        <v>0</v>
      </c>
      <c r="J80">
        <v>0</v>
      </c>
      <c r="K80">
        <v>0</v>
      </c>
      <c r="L80">
        <v>0</v>
      </c>
      <c r="M80">
        <v>0</v>
      </c>
      <c r="N80">
        <v>0</v>
      </c>
      <c r="O80">
        <v>0</v>
      </c>
      <c r="P80">
        <v>0</v>
      </c>
      <c r="Q80">
        <v>0</v>
      </c>
      <c r="R80">
        <v>0</v>
      </c>
      <c r="S80">
        <v>0</v>
      </c>
      <c r="T80">
        <v>0</v>
      </c>
      <c r="U80">
        <v>0</v>
      </c>
      <c r="V80">
        <v>0</v>
      </c>
      <c r="W80">
        <v>0</v>
      </c>
      <c r="X80">
        <v>0</v>
      </c>
      <c r="Y80">
        <v>0</v>
      </c>
      <c r="Z80">
        <v>0</v>
      </c>
      <c r="AA80">
        <v>0</v>
      </c>
      <c r="AB80">
        <v>0</v>
      </c>
      <c r="AE80" t="str">
        <f t="shared" si="1"/>
        <v/>
      </c>
    </row>
    <row r="81" spans="1:31">
      <c r="A81">
        <v>0</v>
      </c>
      <c r="B81">
        <v>0</v>
      </c>
      <c r="C81">
        <v>0</v>
      </c>
      <c r="D81">
        <v>0</v>
      </c>
      <c r="E81">
        <v>0</v>
      </c>
      <c r="F81">
        <v>0</v>
      </c>
      <c r="G81">
        <v>0</v>
      </c>
      <c r="H81">
        <v>0</v>
      </c>
      <c r="I81">
        <v>0</v>
      </c>
      <c r="J81">
        <v>0</v>
      </c>
      <c r="K81">
        <v>0</v>
      </c>
      <c r="L81">
        <v>0</v>
      </c>
      <c r="M81">
        <v>0</v>
      </c>
      <c r="N81">
        <v>0</v>
      </c>
      <c r="O81">
        <v>0</v>
      </c>
      <c r="P81">
        <v>0</v>
      </c>
      <c r="Q81">
        <v>0</v>
      </c>
      <c r="R81">
        <v>0</v>
      </c>
      <c r="S81">
        <v>0</v>
      </c>
      <c r="T81">
        <v>0</v>
      </c>
      <c r="U81">
        <v>0</v>
      </c>
      <c r="V81">
        <v>0</v>
      </c>
      <c r="W81">
        <v>0</v>
      </c>
      <c r="X81">
        <v>0</v>
      </c>
      <c r="Y81">
        <v>0</v>
      </c>
      <c r="Z81">
        <v>0</v>
      </c>
      <c r="AA81">
        <v>0</v>
      </c>
      <c r="AB81">
        <v>0</v>
      </c>
      <c r="AE81" t="str">
        <f t="shared" si="1"/>
        <v/>
      </c>
    </row>
    <row r="82" spans="1:31">
      <c r="A82">
        <v>0</v>
      </c>
      <c r="B82">
        <v>0</v>
      </c>
      <c r="C82">
        <v>0</v>
      </c>
      <c r="D82">
        <v>0</v>
      </c>
      <c r="E82">
        <v>0</v>
      </c>
      <c r="F82">
        <v>0</v>
      </c>
      <c r="G82">
        <v>0</v>
      </c>
      <c r="H82">
        <v>0</v>
      </c>
      <c r="I82">
        <v>0</v>
      </c>
      <c r="J82">
        <v>0</v>
      </c>
      <c r="K82">
        <v>0</v>
      </c>
      <c r="L82">
        <v>0</v>
      </c>
      <c r="M82">
        <v>0</v>
      </c>
      <c r="N82">
        <v>0</v>
      </c>
      <c r="O82">
        <v>0</v>
      </c>
      <c r="P82">
        <v>0</v>
      </c>
      <c r="Q82">
        <v>0</v>
      </c>
      <c r="R82">
        <v>0</v>
      </c>
      <c r="S82">
        <v>0</v>
      </c>
      <c r="T82">
        <v>0</v>
      </c>
      <c r="U82">
        <v>0</v>
      </c>
      <c r="V82">
        <v>0</v>
      </c>
      <c r="W82">
        <v>0</v>
      </c>
      <c r="X82">
        <v>0</v>
      </c>
      <c r="Y82">
        <v>0</v>
      </c>
      <c r="Z82">
        <v>0</v>
      </c>
      <c r="AA82">
        <v>0</v>
      </c>
      <c r="AB82">
        <v>0</v>
      </c>
      <c r="AE82" t="str">
        <f t="shared" si="1"/>
        <v/>
      </c>
    </row>
    <row r="83" spans="1:31">
      <c r="A83">
        <v>0</v>
      </c>
      <c r="B83">
        <v>0</v>
      </c>
      <c r="C83">
        <v>0</v>
      </c>
      <c r="D83">
        <v>0</v>
      </c>
      <c r="E83">
        <v>0</v>
      </c>
      <c r="F83">
        <v>0</v>
      </c>
      <c r="G83">
        <v>0</v>
      </c>
      <c r="H83">
        <v>0</v>
      </c>
      <c r="I83">
        <v>0</v>
      </c>
      <c r="J83">
        <v>0</v>
      </c>
      <c r="K83">
        <v>0</v>
      </c>
      <c r="L83">
        <v>0</v>
      </c>
      <c r="M83">
        <v>0</v>
      </c>
      <c r="N83">
        <v>0</v>
      </c>
      <c r="O83">
        <v>0</v>
      </c>
      <c r="P83">
        <v>0</v>
      </c>
      <c r="Q83">
        <v>0</v>
      </c>
      <c r="R83">
        <v>0</v>
      </c>
      <c r="S83">
        <v>0</v>
      </c>
      <c r="T83">
        <v>0</v>
      </c>
      <c r="U83">
        <v>0</v>
      </c>
      <c r="V83">
        <v>0</v>
      </c>
      <c r="W83">
        <v>0</v>
      </c>
      <c r="X83">
        <v>0</v>
      </c>
      <c r="Y83">
        <v>0</v>
      </c>
      <c r="Z83">
        <v>0</v>
      </c>
      <c r="AA83">
        <v>0</v>
      </c>
      <c r="AB83">
        <v>0</v>
      </c>
      <c r="AE83" t="str">
        <f t="shared" si="1"/>
        <v/>
      </c>
    </row>
    <row r="84" spans="1:31">
      <c r="A84">
        <v>0</v>
      </c>
      <c r="B84">
        <v>0</v>
      </c>
      <c r="C84">
        <v>0</v>
      </c>
      <c r="D84">
        <v>0</v>
      </c>
      <c r="E84">
        <v>0</v>
      </c>
      <c r="F84">
        <v>0</v>
      </c>
      <c r="G84">
        <v>0</v>
      </c>
      <c r="H84">
        <v>0</v>
      </c>
      <c r="I84">
        <v>0</v>
      </c>
      <c r="J84">
        <v>0</v>
      </c>
      <c r="K84">
        <v>0</v>
      </c>
      <c r="L84">
        <v>0</v>
      </c>
      <c r="M84">
        <v>0</v>
      </c>
      <c r="N84">
        <v>0</v>
      </c>
      <c r="O84">
        <v>0</v>
      </c>
      <c r="P84">
        <v>0</v>
      </c>
      <c r="Q84">
        <v>0</v>
      </c>
      <c r="R84">
        <v>0</v>
      </c>
      <c r="S84">
        <v>0</v>
      </c>
      <c r="T84">
        <v>0</v>
      </c>
      <c r="U84">
        <v>0</v>
      </c>
      <c r="V84">
        <v>0</v>
      </c>
      <c r="W84">
        <v>0</v>
      </c>
      <c r="X84">
        <v>0</v>
      </c>
      <c r="Y84">
        <v>0</v>
      </c>
      <c r="Z84">
        <v>0</v>
      </c>
      <c r="AA84">
        <v>0</v>
      </c>
      <c r="AB84">
        <v>0</v>
      </c>
      <c r="AE84" t="str">
        <f t="shared" si="1"/>
        <v/>
      </c>
    </row>
    <row r="85" spans="1:31">
      <c r="A85">
        <v>0</v>
      </c>
      <c r="B85">
        <v>0</v>
      </c>
      <c r="C85">
        <v>0</v>
      </c>
      <c r="D85">
        <v>0</v>
      </c>
      <c r="E85">
        <v>0</v>
      </c>
      <c r="F85">
        <v>0</v>
      </c>
      <c r="G85">
        <v>0</v>
      </c>
      <c r="H85">
        <v>0</v>
      </c>
      <c r="I85">
        <v>0</v>
      </c>
      <c r="J85">
        <v>0</v>
      </c>
      <c r="K85">
        <v>0</v>
      </c>
      <c r="L85">
        <v>0</v>
      </c>
      <c r="M85">
        <v>0</v>
      </c>
      <c r="N85">
        <v>0</v>
      </c>
      <c r="O85">
        <v>0</v>
      </c>
      <c r="P85">
        <v>0</v>
      </c>
      <c r="Q85">
        <v>0</v>
      </c>
      <c r="R85">
        <v>0</v>
      </c>
      <c r="S85">
        <v>0</v>
      </c>
      <c r="T85">
        <v>0</v>
      </c>
      <c r="U85">
        <v>0</v>
      </c>
      <c r="V85">
        <v>0</v>
      </c>
      <c r="W85">
        <v>0</v>
      </c>
      <c r="X85">
        <v>0</v>
      </c>
      <c r="Y85">
        <v>0</v>
      </c>
      <c r="Z85">
        <v>0</v>
      </c>
      <c r="AA85">
        <v>0</v>
      </c>
      <c r="AB85">
        <v>0</v>
      </c>
      <c r="AE85" t="str">
        <f t="shared" si="1"/>
        <v/>
      </c>
    </row>
    <row r="86" spans="1:31">
      <c r="A86">
        <v>0</v>
      </c>
      <c r="B86">
        <v>0</v>
      </c>
      <c r="C86">
        <v>0</v>
      </c>
      <c r="D86">
        <v>0</v>
      </c>
      <c r="E86">
        <v>0</v>
      </c>
      <c r="F86">
        <v>0</v>
      </c>
      <c r="G86">
        <v>0</v>
      </c>
      <c r="H86">
        <v>0</v>
      </c>
      <c r="I86">
        <v>0</v>
      </c>
      <c r="J86">
        <v>0</v>
      </c>
      <c r="K86">
        <v>0</v>
      </c>
      <c r="L86">
        <v>0</v>
      </c>
      <c r="M86">
        <v>0</v>
      </c>
      <c r="N86">
        <v>0</v>
      </c>
      <c r="O86">
        <v>0</v>
      </c>
      <c r="P86">
        <v>0</v>
      </c>
      <c r="Q86">
        <v>0</v>
      </c>
      <c r="R86">
        <v>0</v>
      </c>
      <c r="S86">
        <v>0</v>
      </c>
      <c r="T86">
        <v>0</v>
      </c>
      <c r="U86">
        <v>0</v>
      </c>
      <c r="V86">
        <v>0</v>
      </c>
      <c r="W86">
        <v>0</v>
      </c>
      <c r="X86">
        <v>0</v>
      </c>
      <c r="Y86">
        <v>0</v>
      </c>
      <c r="Z86">
        <v>0</v>
      </c>
      <c r="AA86">
        <v>0</v>
      </c>
      <c r="AB86">
        <v>0</v>
      </c>
      <c r="AE86" t="str">
        <f t="shared" si="1"/>
        <v/>
      </c>
    </row>
    <row r="87" spans="1:31">
      <c r="A87">
        <v>0</v>
      </c>
      <c r="B87">
        <v>0</v>
      </c>
      <c r="C87">
        <v>0</v>
      </c>
      <c r="D87">
        <v>0</v>
      </c>
      <c r="E87">
        <v>0</v>
      </c>
      <c r="F87">
        <v>0</v>
      </c>
      <c r="G87">
        <v>0</v>
      </c>
      <c r="H87">
        <v>0</v>
      </c>
      <c r="I87">
        <v>0</v>
      </c>
      <c r="J87">
        <v>0</v>
      </c>
      <c r="K87">
        <v>0</v>
      </c>
      <c r="L87">
        <v>0</v>
      </c>
      <c r="M87">
        <v>0</v>
      </c>
      <c r="N87">
        <v>0</v>
      </c>
      <c r="O87">
        <v>0</v>
      </c>
      <c r="P87">
        <v>0</v>
      </c>
      <c r="Q87">
        <v>0</v>
      </c>
      <c r="R87">
        <v>0</v>
      </c>
      <c r="S87">
        <v>0</v>
      </c>
      <c r="T87">
        <v>0</v>
      </c>
      <c r="U87">
        <v>0</v>
      </c>
      <c r="V87">
        <v>0</v>
      </c>
      <c r="W87">
        <v>0</v>
      </c>
      <c r="X87">
        <v>0</v>
      </c>
      <c r="Y87">
        <v>0</v>
      </c>
      <c r="Z87">
        <v>0</v>
      </c>
      <c r="AA87">
        <v>0</v>
      </c>
      <c r="AB87">
        <v>0</v>
      </c>
      <c r="AE87" t="str">
        <f t="shared" si="1"/>
        <v/>
      </c>
    </row>
    <row r="88" spans="1:31">
      <c r="A88">
        <v>0</v>
      </c>
      <c r="B88">
        <v>0</v>
      </c>
      <c r="C88">
        <v>0</v>
      </c>
      <c r="D88">
        <v>0</v>
      </c>
      <c r="E88">
        <v>0</v>
      </c>
      <c r="F88">
        <v>0</v>
      </c>
      <c r="G88">
        <v>0</v>
      </c>
      <c r="H88">
        <v>0</v>
      </c>
      <c r="I88">
        <v>0</v>
      </c>
      <c r="J88">
        <v>0</v>
      </c>
      <c r="K88">
        <v>0</v>
      </c>
      <c r="L88">
        <v>0</v>
      </c>
      <c r="M88">
        <v>0</v>
      </c>
      <c r="N88">
        <v>0</v>
      </c>
      <c r="O88">
        <v>0</v>
      </c>
      <c r="P88">
        <v>0</v>
      </c>
      <c r="Q88">
        <v>0</v>
      </c>
      <c r="R88">
        <v>0</v>
      </c>
      <c r="S88">
        <v>0</v>
      </c>
      <c r="T88">
        <v>0</v>
      </c>
      <c r="U88">
        <v>0</v>
      </c>
      <c r="V88">
        <v>0</v>
      </c>
      <c r="W88">
        <v>0</v>
      </c>
      <c r="X88">
        <v>0</v>
      </c>
      <c r="Y88">
        <v>0</v>
      </c>
      <c r="Z88">
        <v>0</v>
      </c>
      <c r="AA88">
        <v>0</v>
      </c>
      <c r="AB88">
        <v>0</v>
      </c>
      <c r="AE88" t="str">
        <f t="shared" si="1"/>
        <v/>
      </c>
    </row>
    <row r="89" spans="1:31">
      <c r="A89">
        <v>0</v>
      </c>
      <c r="B89">
        <v>0</v>
      </c>
      <c r="C89">
        <v>0</v>
      </c>
      <c r="D89">
        <v>0</v>
      </c>
      <c r="E89">
        <v>0</v>
      </c>
      <c r="F89">
        <v>0</v>
      </c>
      <c r="G89">
        <v>0</v>
      </c>
      <c r="H89">
        <v>0</v>
      </c>
      <c r="I89">
        <v>0</v>
      </c>
      <c r="J89">
        <v>0</v>
      </c>
      <c r="K89">
        <v>0</v>
      </c>
      <c r="L89">
        <v>0</v>
      </c>
      <c r="M89">
        <v>0</v>
      </c>
      <c r="N89">
        <v>0</v>
      </c>
      <c r="O89">
        <v>0</v>
      </c>
      <c r="P89">
        <v>0</v>
      </c>
      <c r="Q89">
        <v>0</v>
      </c>
      <c r="R89">
        <v>0</v>
      </c>
      <c r="S89">
        <v>0</v>
      </c>
      <c r="T89">
        <v>0</v>
      </c>
      <c r="U89">
        <v>0</v>
      </c>
      <c r="V89">
        <v>0</v>
      </c>
      <c r="W89">
        <v>0</v>
      </c>
      <c r="X89">
        <v>0</v>
      </c>
      <c r="Y89">
        <v>0</v>
      </c>
      <c r="Z89">
        <v>0</v>
      </c>
      <c r="AA89">
        <v>0</v>
      </c>
      <c r="AB89">
        <v>0</v>
      </c>
      <c r="AE89" t="str">
        <f t="shared" si="1"/>
        <v/>
      </c>
    </row>
    <row r="90" spans="1:31">
      <c r="A90">
        <v>0</v>
      </c>
      <c r="B90">
        <v>0</v>
      </c>
      <c r="C90">
        <v>0</v>
      </c>
      <c r="D90">
        <v>0</v>
      </c>
      <c r="E90">
        <v>0</v>
      </c>
      <c r="F90">
        <v>0</v>
      </c>
      <c r="G90">
        <v>0</v>
      </c>
      <c r="H90">
        <v>0</v>
      </c>
      <c r="I90">
        <v>0</v>
      </c>
      <c r="J90">
        <v>0</v>
      </c>
      <c r="K90">
        <v>0</v>
      </c>
      <c r="L90">
        <v>0</v>
      </c>
      <c r="M90">
        <v>0</v>
      </c>
      <c r="N90">
        <v>0</v>
      </c>
      <c r="O90">
        <v>0</v>
      </c>
      <c r="P90">
        <v>0</v>
      </c>
      <c r="Q90">
        <v>0</v>
      </c>
      <c r="R90">
        <v>0</v>
      </c>
      <c r="S90">
        <v>0</v>
      </c>
      <c r="T90">
        <v>0</v>
      </c>
      <c r="U90">
        <v>0</v>
      </c>
      <c r="V90">
        <v>0</v>
      </c>
      <c r="W90">
        <v>0</v>
      </c>
      <c r="X90">
        <v>0</v>
      </c>
      <c r="Y90">
        <v>0</v>
      </c>
      <c r="Z90">
        <v>0</v>
      </c>
      <c r="AA90">
        <v>0</v>
      </c>
      <c r="AB90">
        <v>0</v>
      </c>
      <c r="AE90" t="str">
        <f t="shared" si="1"/>
        <v/>
      </c>
    </row>
    <row r="91" spans="1:31">
      <c r="A91">
        <v>0</v>
      </c>
      <c r="B91">
        <v>0</v>
      </c>
      <c r="C91">
        <v>0</v>
      </c>
      <c r="D91">
        <v>0</v>
      </c>
      <c r="E91">
        <v>0</v>
      </c>
      <c r="F91">
        <v>0</v>
      </c>
      <c r="G91">
        <v>0</v>
      </c>
      <c r="H91">
        <v>0</v>
      </c>
      <c r="I91">
        <v>0</v>
      </c>
      <c r="J91">
        <v>0</v>
      </c>
      <c r="K91">
        <v>0</v>
      </c>
      <c r="L91">
        <v>0</v>
      </c>
      <c r="M91">
        <v>0</v>
      </c>
      <c r="N91">
        <v>0</v>
      </c>
      <c r="O91">
        <v>0</v>
      </c>
      <c r="P91">
        <v>0</v>
      </c>
      <c r="Q91">
        <v>0</v>
      </c>
      <c r="R91">
        <v>0</v>
      </c>
      <c r="S91">
        <v>0</v>
      </c>
      <c r="T91">
        <v>0</v>
      </c>
      <c r="U91">
        <v>0</v>
      </c>
      <c r="V91">
        <v>0</v>
      </c>
      <c r="W91">
        <v>0</v>
      </c>
      <c r="X91">
        <v>0</v>
      </c>
      <c r="Y91">
        <v>0</v>
      </c>
      <c r="Z91">
        <v>0</v>
      </c>
      <c r="AA91">
        <v>0</v>
      </c>
      <c r="AB91">
        <v>0</v>
      </c>
      <c r="AE91" t="str">
        <f t="shared" si="1"/>
        <v/>
      </c>
    </row>
    <row r="92" spans="1:31">
      <c r="A92">
        <v>0</v>
      </c>
      <c r="B92">
        <v>0</v>
      </c>
      <c r="C92">
        <v>0</v>
      </c>
      <c r="D92">
        <v>0</v>
      </c>
      <c r="E92">
        <v>0</v>
      </c>
      <c r="F92">
        <v>0</v>
      </c>
      <c r="G92">
        <v>0</v>
      </c>
      <c r="H92">
        <v>0</v>
      </c>
      <c r="I92">
        <v>0</v>
      </c>
      <c r="J92">
        <v>0</v>
      </c>
      <c r="K92">
        <v>0</v>
      </c>
      <c r="L92">
        <v>0</v>
      </c>
      <c r="M92">
        <v>0</v>
      </c>
      <c r="N92">
        <v>0</v>
      </c>
      <c r="O92">
        <v>0</v>
      </c>
      <c r="P92">
        <v>0</v>
      </c>
      <c r="Q92">
        <v>0</v>
      </c>
      <c r="R92">
        <v>0</v>
      </c>
      <c r="S92">
        <v>0</v>
      </c>
      <c r="T92">
        <v>0</v>
      </c>
      <c r="U92">
        <v>0</v>
      </c>
      <c r="V92">
        <v>0</v>
      </c>
      <c r="W92">
        <v>0</v>
      </c>
      <c r="X92">
        <v>0</v>
      </c>
      <c r="Y92">
        <v>0</v>
      </c>
      <c r="Z92">
        <v>0</v>
      </c>
      <c r="AA92">
        <v>0</v>
      </c>
      <c r="AB92">
        <v>0</v>
      </c>
      <c r="AE92" t="str">
        <f t="shared" si="1"/>
        <v/>
      </c>
    </row>
    <row r="93" spans="1:31">
      <c r="A93">
        <v>0</v>
      </c>
      <c r="B93">
        <v>0</v>
      </c>
      <c r="C93">
        <v>0</v>
      </c>
      <c r="D93">
        <v>0</v>
      </c>
      <c r="E93">
        <v>0</v>
      </c>
      <c r="F93">
        <v>0</v>
      </c>
      <c r="G93">
        <v>0</v>
      </c>
      <c r="H93">
        <v>0</v>
      </c>
      <c r="I93">
        <v>0</v>
      </c>
      <c r="J93">
        <v>0</v>
      </c>
      <c r="K93">
        <v>0</v>
      </c>
      <c r="L93">
        <v>0</v>
      </c>
      <c r="M93">
        <v>0</v>
      </c>
      <c r="N93">
        <v>0</v>
      </c>
      <c r="O93">
        <v>0</v>
      </c>
      <c r="P93">
        <v>0</v>
      </c>
      <c r="Q93">
        <v>0</v>
      </c>
      <c r="R93">
        <v>0</v>
      </c>
      <c r="S93">
        <v>0</v>
      </c>
      <c r="T93">
        <v>0</v>
      </c>
      <c r="U93">
        <v>0</v>
      </c>
      <c r="V93">
        <v>0</v>
      </c>
      <c r="W93">
        <v>0</v>
      </c>
      <c r="X93">
        <v>0</v>
      </c>
      <c r="Y93">
        <v>0</v>
      </c>
      <c r="Z93">
        <v>0</v>
      </c>
      <c r="AA93">
        <v>0</v>
      </c>
      <c r="AB93">
        <v>0</v>
      </c>
      <c r="AE93" t="str">
        <f t="shared" si="1"/>
        <v/>
      </c>
    </row>
    <row r="94" spans="1:31">
      <c r="A94">
        <v>0</v>
      </c>
      <c r="B94">
        <v>0</v>
      </c>
      <c r="C94">
        <v>0</v>
      </c>
      <c r="D94">
        <v>0</v>
      </c>
      <c r="E94">
        <v>0</v>
      </c>
      <c r="F94">
        <v>0</v>
      </c>
      <c r="G94">
        <v>0</v>
      </c>
      <c r="H94">
        <v>0</v>
      </c>
      <c r="I94">
        <v>0</v>
      </c>
      <c r="J94">
        <v>0</v>
      </c>
      <c r="K94">
        <v>0</v>
      </c>
      <c r="L94">
        <v>0</v>
      </c>
      <c r="M94">
        <v>0</v>
      </c>
      <c r="N94">
        <v>0</v>
      </c>
      <c r="O94">
        <v>0</v>
      </c>
      <c r="P94">
        <v>0</v>
      </c>
      <c r="Q94">
        <v>0</v>
      </c>
      <c r="R94">
        <v>0</v>
      </c>
      <c r="S94">
        <v>0</v>
      </c>
      <c r="T94">
        <v>0</v>
      </c>
      <c r="U94">
        <v>0</v>
      </c>
      <c r="V94">
        <v>0</v>
      </c>
      <c r="W94">
        <v>0</v>
      </c>
      <c r="X94">
        <v>0</v>
      </c>
      <c r="Y94">
        <v>0</v>
      </c>
      <c r="Z94">
        <v>0</v>
      </c>
      <c r="AA94">
        <v>0</v>
      </c>
      <c r="AB94">
        <v>0</v>
      </c>
      <c r="AE94" t="str">
        <f t="shared" si="1"/>
        <v/>
      </c>
    </row>
    <row r="95" spans="1:31">
      <c r="A95">
        <v>0</v>
      </c>
      <c r="B95">
        <v>0</v>
      </c>
      <c r="C95">
        <v>0</v>
      </c>
      <c r="D95">
        <v>0</v>
      </c>
      <c r="E95">
        <v>0</v>
      </c>
      <c r="F95">
        <v>0</v>
      </c>
      <c r="G95">
        <v>0</v>
      </c>
      <c r="H95">
        <v>0</v>
      </c>
      <c r="I95">
        <v>0</v>
      </c>
      <c r="J95">
        <v>0</v>
      </c>
      <c r="K95">
        <v>0</v>
      </c>
      <c r="L95">
        <v>0</v>
      </c>
      <c r="M95">
        <v>0</v>
      </c>
      <c r="N95">
        <v>0</v>
      </c>
      <c r="O95">
        <v>0</v>
      </c>
      <c r="P95">
        <v>0</v>
      </c>
      <c r="Q95">
        <v>0</v>
      </c>
      <c r="R95">
        <v>0</v>
      </c>
      <c r="S95">
        <v>0</v>
      </c>
      <c r="T95">
        <v>0</v>
      </c>
      <c r="U95">
        <v>0</v>
      </c>
      <c r="V95">
        <v>0</v>
      </c>
      <c r="W95">
        <v>0</v>
      </c>
      <c r="X95">
        <v>0</v>
      </c>
      <c r="Y95">
        <v>0</v>
      </c>
      <c r="Z95">
        <v>0</v>
      </c>
      <c r="AA95">
        <v>0</v>
      </c>
      <c r="AB95">
        <v>0</v>
      </c>
      <c r="AE95" t="str">
        <f t="shared" si="1"/>
        <v/>
      </c>
    </row>
    <row r="96" spans="1:31">
      <c r="A96">
        <v>0</v>
      </c>
      <c r="B96">
        <v>0</v>
      </c>
      <c r="C96">
        <v>0</v>
      </c>
      <c r="D96">
        <v>0</v>
      </c>
      <c r="E96">
        <v>0</v>
      </c>
      <c r="F96">
        <v>0</v>
      </c>
      <c r="G96">
        <v>0</v>
      </c>
      <c r="H96">
        <v>0</v>
      </c>
      <c r="I96">
        <v>0</v>
      </c>
      <c r="J96">
        <v>0</v>
      </c>
      <c r="K96">
        <v>0</v>
      </c>
      <c r="L96">
        <v>0</v>
      </c>
      <c r="M96">
        <v>0</v>
      </c>
      <c r="N96">
        <v>0</v>
      </c>
      <c r="O96">
        <v>0</v>
      </c>
      <c r="P96">
        <v>0</v>
      </c>
      <c r="Q96">
        <v>0</v>
      </c>
      <c r="R96">
        <v>0</v>
      </c>
      <c r="S96">
        <v>0</v>
      </c>
      <c r="T96">
        <v>0</v>
      </c>
      <c r="U96">
        <v>0</v>
      </c>
      <c r="V96">
        <v>0</v>
      </c>
      <c r="W96">
        <v>0</v>
      </c>
      <c r="X96">
        <v>0</v>
      </c>
      <c r="Y96">
        <v>0</v>
      </c>
      <c r="Z96">
        <v>0</v>
      </c>
      <c r="AA96">
        <v>0</v>
      </c>
      <c r="AB96">
        <v>0</v>
      </c>
      <c r="AE96" t="str">
        <f t="shared" si="1"/>
        <v/>
      </c>
    </row>
    <row r="97" spans="1:31">
      <c r="A97">
        <v>0</v>
      </c>
      <c r="B97">
        <v>0</v>
      </c>
      <c r="C97">
        <v>0</v>
      </c>
      <c r="D97">
        <v>0</v>
      </c>
      <c r="E97">
        <v>0</v>
      </c>
      <c r="F97">
        <v>0</v>
      </c>
      <c r="G97">
        <v>0</v>
      </c>
      <c r="H97">
        <v>0</v>
      </c>
      <c r="I97">
        <v>0</v>
      </c>
      <c r="J97">
        <v>0</v>
      </c>
      <c r="K97">
        <v>0</v>
      </c>
      <c r="L97">
        <v>0</v>
      </c>
      <c r="M97">
        <v>0</v>
      </c>
      <c r="N97">
        <v>0</v>
      </c>
      <c r="O97">
        <v>0</v>
      </c>
      <c r="P97">
        <v>0</v>
      </c>
      <c r="Q97">
        <v>0</v>
      </c>
      <c r="R97">
        <v>0</v>
      </c>
      <c r="S97">
        <v>0</v>
      </c>
      <c r="T97">
        <v>0</v>
      </c>
      <c r="U97">
        <v>0</v>
      </c>
      <c r="V97">
        <v>0</v>
      </c>
      <c r="W97">
        <v>0</v>
      </c>
      <c r="X97">
        <v>0</v>
      </c>
      <c r="Y97">
        <v>0</v>
      </c>
      <c r="Z97">
        <v>0</v>
      </c>
      <c r="AA97">
        <v>0</v>
      </c>
      <c r="AB97">
        <v>0</v>
      </c>
      <c r="AE97" t="str">
        <f t="shared" si="1"/>
        <v/>
      </c>
    </row>
    <row r="98" spans="1:31">
      <c r="A98">
        <v>0</v>
      </c>
      <c r="B98">
        <v>0</v>
      </c>
      <c r="C98">
        <v>0</v>
      </c>
      <c r="D98">
        <v>0</v>
      </c>
      <c r="E98">
        <v>0</v>
      </c>
      <c r="F98">
        <v>0</v>
      </c>
      <c r="G98">
        <v>0</v>
      </c>
      <c r="H98">
        <v>0</v>
      </c>
      <c r="I98">
        <v>0</v>
      </c>
      <c r="J98">
        <v>0</v>
      </c>
      <c r="K98">
        <v>0</v>
      </c>
      <c r="L98">
        <v>0</v>
      </c>
      <c r="M98">
        <v>0</v>
      </c>
      <c r="N98">
        <v>0</v>
      </c>
      <c r="O98">
        <v>0</v>
      </c>
      <c r="P98">
        <v>0</v>
      </c>
      <c r="Q98">
        <v>0</v>
      </c>
      <c r="R98">
        <v>0</v>
      </c>
      <c r="S98">
        <v>0</v>
      </c>
      <c r="T98">
        <v>0</v>
      </c>
      <c r="U98">
        <v>0</v>
      </c>
      <c r="V98">
        <v>0</v>
      </c>
      <c r="W98">
        <v>0</v>
      </c>
      <c r="X98">
        <v>0</v>
      </c>
      <c r="Y98">
        <v>0</v>
      </c>
      <c r="Z98">
        <v>0</v>
      </c>
      <c r="AA98">
        <v>0</v>
      </c>
      <c r="AB98">
        <v>0</v>
      </c>
      <c r="AE98" t="str">
        <f t="shared" si="1"/>
        <v/>
      </c>
    </row>
    <row r="99" spans="1:31">
      <c r="A99">
        <v>0</v>
      </c>
      <c r="B99">
        <v>0</v>
      </c>
      <c r="C99">
        <v>0</v>
      </c>
      <c r="D99">
        <v>0</v>
      </c>
      <c r="E99">
        <v>0</v>
      </c>
      <c r="F99">
        <v>0</v>
      </c>
      <c r="G99">
        <v>0</v>
      </c>
      <c r="H99">
        <v>0</v>
      </c>
      <c r="I99">
        <v>0</v>
      </c>
      <c r="J99">
        <v>0</v>
      </c>
      <c r="K99">
        <v>0</v>
      </c>
      <c r="L99">
        <v>0</v>
      </c>
      <c r="M99">
        <v>0</v>
      </c>
      <c r="N99">
        <v>0</v>
      </c>
      <c r="O99">
        <v>0</v>
      </c>
      <c r="P99">
        <v>0</v>
      </c>
      <c r="Q99">
        <v>0</v>
      </c>
      <c r="R99">
        <v>0</v>
      </c>
      <c r="S99">
        <v>0</v>
      </c>
      <c r="T99">
        <v>0</v>
      </c>
      <c r="U99">
        <v>0</v>
      </c>
      <c r="V99">
        <v>0</v>
      </c>
      <c r="W99">
        <v>0</v>
      </c>
      <c r="X99">
        <v>0</v>
      </c>
      <c r="Y99">
        <v>0</v>
      </c>
      <c r="Z99">
        <v>0</v>
      </c>
      <c r="AA99">
        <v>0</v>
      </c>
      <c r="AB99">
        <v>0</v>
      </c>
      <c r="AE99" t="str">
        <f t="shared" si="1"/>
        <v/>
      </c>
    </row>
    <row r="100" spans="1:31">
      <c r="A100">
        <v>0</v>
      </c>
      <c r="B100">
        <v>0</v>
      </c>
      <c r="C100">
        <v>0</v>
      </c>
      <c r="D100">
        <v>0</v>
      </c>
      <c r="E100">
        <v>0</v>
      </c>
      <c r="F100">
        <v>0</v>
      </c>
      <c r="G100">
        <v>0</v>
      </c>
      <c r="H100">
        <v>0</v>
      </c>
      <c r="I100">
        <v>0</v>
      </c>
      <c r="J100">
        <v>0</v>
      </c>
      <c r="K100">
        <v>0</v>
      </c>
      <c r="L100">
        <v>0</v>
      </c>
      <c r="M100">
        <v>0</v>
      </c>
      <c r="N100">
        <v>0</v>
      </c>
      <c r="O100">
        <v>0</v>
      </c>
      <c r="P100">
        <v>0</v>
      </c>
      <c r="Q100">
        <v>0</v>
      </c>
      <c r="R100">
        <v>0</v>
      </c>
      <c r="S100">
        <v>0</v>
      </c>
      <c r="T100">
        <v>0</v>
      </c>
      <c r="U100">
        <v>0</v>
      </c>
      <c r="V100">
        <v>0</v>
      </c>
      <c r="W100">
        <v>0</v>
      </c>
      <c r="X100">
        <v>0</v>
      </c>
      <c r="Y100">
        <v>0</v>
      </c>
      <c r="Z100">
        <v>0</v>
      </c>
      <c r="AA100">
        <v>0</v>
      </c>
      <c r="AB100">
        <v>0</v>
      </c>
    </row>
    <row r="101" spans="1:31">
      <c r="A101">
        <v>0</v>
      </c>
      <c r="B101">
        <v>0</v>
      </c>
      <c r="C101">
        <v>0</v>
      </c>
      <c r="D101">
        <v>0</v>
      </c>
      <c r="E101">
        <v>0</v>
      </c>
      <c r="F101">
        <v>0</v>
      </c>
      <c r="G101">
        <v>0</v>
      </c>
      <c r="H101">
        <v>0</v>
      </c>
      <c r="I101">
        <v>0</v>
      </c>
      <c r="J101">
        <v>0</v>
      </c>
      <c r="K101">
        <v>0</v>
      </c>
      <c r="L101">
        <v>0</v>
      </c>
      <c r="M101">
        <v>0</v>
      </c>
      <c r="N101">
        <v>0</v>
      </c>
      <c r="O101">
        <v>0</v>
      </c>
      <c r="P101">
        <v>0</v>
      </c>
      <c r="Q101">
        <v>0</v>
      </c>
      <c r="R101">
        <v>0</v>
      </c>
      <c r="S101">
        <v>0</v>
      </c>
      <c r="T101">
        <v>0</v>
      </c>
      <c r="U101">
        <v>0</v>
      </c>
      <c r="V101">
        <v>0</v>
      </c>
      <c r="W101">
        <v>0</v>
      </c>
      <c r="X101">
        <v>0</v>
      </c>
      <c r="Y101">
        <v>0</v>
      </c>
      <c r="Z101">
        <v>0</v>
      </c>
      <c r="AA101">
        <v>0</v>
      </c>
      <c r="AB101">
        <v>0</v>
      </c>
    </row>
    <row r="102" spans="1:31">
      <c r="A102">
        <v>0</v>
      </c>
      <c r="B102">
        <v>0</v>
      </c>
      <c r="C102">
        <v>0</v>
      </c>
      <c r="D102">
        <v>0</v>
      </c>
      <c r="E102">
        <v>0</v>
      </c>
      <c r="F102">
        <v>0</v>
      </c>
      <c r="G102">
        <v>0</v>
      </c>
      <c r="H102">
        <v>0</v>
      </c>
      <c r="I102">
        <v>0</v>
      </c>
      <c r="J102">
        <v>0</v>
      </c>
      <c r="K102">
        <v>0</v>
      </c>
      <c r="L102">
        <v>0</v>
      </c>
      <c r="M102">
        <v>0</v>
      </c>
      <c r="N102">
        <v>0</v>
      </c>
      <c r="O102">
        <v>0</v>
      </c>
      <c r="P102">
        <v>0</v>
      </c>
      <c r="Q102">
        <v>0</v>
      </c>
      <c r="R102">
        <v>0</v>
      </c>
      <c r="S102">
        <v>0</v>
      </c>
      <c r="T102">
        <v>0</v>
      </c>
      <c r="U102">
        <v>0</v>
      </c>
      <c r="V102">
        <v>0</v>
      </c>
      <c r="W102">
        <v>0</v>
      </c>
      <c r="X102">
        <v>0</v>
      </c>
      <c r="Y102">
        <v>0</v>
      </c>
      <c r="Z102">
        <v>0</v>
      </c>
      <c r="AA102">
        <v>0</v>
      </c>
      <c r="AB102">
        <v>0</v>
      </c>
    </row>
    <row r="103" spans="1:31">
      <c r="A103">
        <v>0</v>
      </c>
      <c r="B103">
        <v>0</v>
      </c>
      <c r="C103">
        <v>0</v>
      </c>
      <c r="D103">
        <v>0</v>
      </c>
      <c r="E103">
        <v>0</v>
      </c>
      <c r="F103">
        <v>0</v>
      </c>
      <c r="G103">
        <v>0</v>
      </c>
      <c r="H103">
        <v>0</v>
      </c>
      <c r="I103">
        <v>0</v>
      </c>
      <c r="J103">
        <v>0</v>
      </c>
      <c r="K103">
        <v>0</v>
      </c>
      <c r="L103">
        <v>0</v>
      </c>
      <c r="M103">
        <v>0</v>
      </c>
      <c r="N103">
        <v>0</v>
      </c>
      <c r="O103">
        <v>0</v>
      </c>
      <c r="P103">
        <v>0</v>
      </c>
      <c r="Q103">
        <v>0</v>
      </c>
      <c r="R103">
        <v>0</v>
      </c>
      <c r="S103">
        <v>0</v>
      </c>
      <c r="T103">
        <v>0</v>
      </c>
      <c r="U103">
        <v>0</v>
      </c>
      <c r="V103">
        <v>0</v>
      </c>
      <c r="W103">
        <v>0</v>
      </c>
      <c r="X103">
        <v>0</v>
      </c>
      <c r="Y103">
        <v>0</v>
      </c>
      <c r="Z103">
        <v>0</v>
      </c>
      <c r="AA103">
        <v>0</v>
      </c>
      <c r="AB103">
        <v>0</v>
      </c>
    </row>
    <row r="104" spans="1:31">
      <c r="A104">
        <v>0</v>
      </c>
      <c r="B104">
        <v>0</v>
      </c>
      <c r="C104">
        <v>0</v>
      </c>
      <c r="D104">
        <v>0</v>
      </c>
      <c r="E104">
        <v>0</v>
      </c>
      <c r="F104">
        <v>0</v>
      </c>
      <c r="G104">
        <v>0</v>
      </c>
      <c r="H104">
        <v>0</v>
      </c>
      <c r="I104">
        <v>0</v>
      </c>
      <c r="J104">
        <v>0</v>
      </c>
      <c r="K104">
        <v>0</v>
      </c>
      <c r="L104">
        <v>0</v>
      </c>
      <c r="M104">
        <v>0</v>
      </c>
      <c r="N104">
        <v>0</v>
      </c>
      <c r="O104">
        <v>0</v>
      </c>
      <c r="P104">
        <v>0</v>
      </c>
      <c r="Q104">
        <v>0</v>
      </c>
      <c r="R104">
        <v>0</v>
      </c>
      <c r="S104">
        <v>0</v>
      </c>
      <c r="T104">
        <v>0</v>
      </c>
      <c r="U104">
        <v>0</v>
      </c>
      <c r="V104">
        <v>0</v>
      </c>
      <c r="W104">
        <v>0</v>
      </c>
      <c r="X104">
        <v>0</v>
      </c>
      <c r="Y104">
        <v>0</v>
      </c>
      <c r="Z104">
        <v>0</v>
      </c>
      <c r="AA104">
        <v>0</v>
      </c>
      <c r="AB104">
        <v>0</v>
      </c>
    </row>
    <row r="105" spans="1:31">
      <c r="A105">
        <v>0</v>
      </c>
      <c r="B105">
        <v>0</v>
      </c>
      <c r="C105">
        <v>0</v>
      </c>
      <c r="D105">
        <v>0</v>
      </c>
      <c r="E105">
        <v>0</v>
      </c>
      <c r="F105">
        <v>0</v>
      </c>
      <c r="G105">
        <v>0</v>
      </c>
      <c r="H105">
        <v>0</v>
      </c>
      <c r="I105">
        <v>0</v>
      </c>
      <c r="J105">
        <v>0</v>
      </c>
      <c r="K105">
        <v>0</v>
      </c>
      <c r="L105">
        <v>0</v>
      </c>
      <c r="M105">
        <v>0</v>
      </c>
      <c r="N105">
        <v>0</v>
      </c>
      <c r="O105">
        <v>0</v>
      </c>
      <c r="P105">
        <v>0</v>
      </c>
      <c r="Q105">
        <v>0</v>
      </c>
      <c r="R105">
        <v>0</v>
      </c>
      <c r="S105">
        <v>0</v>
      </c>
      <c r="T105">
        <v>0</v>
      </c>
      <c r="U105">
        <v>0</v>
      </c>
      <c r="V105">
        <v>0</v>
      </c>
      <c r="W105">
        <v>0</v>
      </c>
      <c r="X105">
        <v>0</v>
      </c>
      <c r="Y105">
        <v>0</v>
      </c>
      <c r="Z105">
        <v>0</v>
      </c>
      <c r="AA105">
        <v>0</v>
      </c>
      <c r="AB105">
        <v>0</v>
      </c>
    </row>
    <row r="106" spans="1:31">
      <c r="A106">
        <v>0</v>
      </c>
      <c r="B106">
        <v>0</v>
      </c>
      <c r="C106">
        <v>0</v>
      </c>
      <c r="D106">
        <v>0</v>
      </c>
      <c r="E106">
        <v>0</v>
      </c>
      <c r="F106">
        <v>0</v>
      </c>
      <c r="G106">
        <v>0</v>
      </c>
      <c r="H106">
        <v>0</v>
      </c>
      <c r="I106">
        <v>0</v>
      </c>
      <c r="J106">
        <v>0</v>
      </c>
      <c r="K106">
        <v>0</v>
      </c>
      <c r="L106">
        <v>0</v>
      </c>
      <c r="M106">
        <v>0</v>
      </c>
      <c r="N106">
        <v>0</v>
      </c>
      <c r="O106">
        <v>0</v>
      </c>
      <c r="P106">
        <v>0</v>
      </c>
      <c r="Q106">
        <v>0</v>
      </c>
      <c r="R106">
        <v>0</v>
      </c>
      <c r="S106">
        <v>0</v>
      </c>
      <c r="T106">
        <v>0</v>
      </c>
      <c r="U106">
        <v>0</v>
      </c>
      <c r="V106">
        <v>0</v>
      </c>
      <c r="W106">
        <v>0</v>
      </c>
      <c r="X106">
        <v>0</v>
      </c>
      <c r="Y106">
        <v>0</v>
      </c>
      <c r="Z106">
        <v>0</v>
      </c>
      <c r="AA106">
        <v>0</v>
      </c>
      <c r="AB106">
        <v>0</v>
      </c>
    </row>
    <row r="107" spans="1:31">
      <c r="A107">
        <v>0</v>
      </c>
      <c r="B107">
        <v>0</v>
      </c>
      <c r="C107">
        <v>0</v>
      </c>
      <c r="D107">
        <v>0</v>
      </c>
      <c r="E107">
        <v>0</v>
      </c>
      <c r="F107">
        <v>0</v>
      </c>
      <c r="G107">
        <v>0</v>
      </c>
      <c r="H107">
        <v>0</v>
      </c>
      <c r="I107">
        <v>0</v>
      </c>
      <c r="J107">
        <v>0</v>
      </c>
      <c r="K107">
        <v>0</v>
      </c>
      <c r="L107">
        <v>0</v>
      </c>
      <c r="M107">
        <v>0</v>
      </c>
      <c r="N107">
        <v>0</v>
      </c>
      <c r="O107">
        <v>0</v>
      </c>
      <c r="P107">
        <v>0</v>
      </c>
      <c r="Q107">
        <v>0</v>
      </c>
      <c r="R107">
        <v>0</v>
      </c>
      <c r="S107">
        <v>0</v>
      </c>
      <c r="T107">
        <v>0</v>
      </c>
      <c r="U107">
        <v>0</v>
      </c>
      <c r="V107">
        <v>0</v>
      </c>
      <c r="W107">
        <v>0</v>
      </c>
      <c r="X107">
        <v>0</v>
      </c>
      <c r="Y107">
        <v>0</v>
      </c>
      <c r="Z107">
        <v>0</v>
      </c>
      <c r="AA107">
        <v>0</v>
      </c>
      <c r="AB107">
        <v>0</v>
      </c>
    </row>
    <row r="108" spans="1:31">
      <c r="A108">
        <v>0</v>
      </c>
      <c r="B108">
        <v>0</v>
      </c>
      <c r="C108">
        <v>0</v>
      </c>
      <c r="D108">
        <v>0</v>
      </c>
      <c r="E108">
        <v>0</v>
      </c>
      <c r="F108">
        <v>0</v>
      </c>
      <c r="G108">
        <v>0</v>
      </c>
      <c r="H108">
        <v>0</v>
      </c>
      <c r="I108">
        <v>0</v>
      </c>
      <c r="J108">
        <v>0</v>
      </c>
      <c r="K108">
        <v>0</v>
      </c>
      <c r="L108">
        <v>0</v>
      </c>
      <c r="M108">
        <v>0</v>
      </c>
      <c r="N108">
        <v>0</v>
      </c>
      <c r="O108">
        <v>0</v>
      </c>
      <c r="P108">
        <v>0</v>
      </c>
      <c r="Q108">
        <v>0</v>
      </c>
      <c r="R108">
        <v>0</v>
      </c>
      <c r="S108">
        <v>0</v>
      </c>
      <c r="T108">
        <v>0</v>
      </c>
      <c r="U108">
        <v>0</v>
      </c>
      <c r="V108">
        <v>0</v>
      </c>
      <c r="W108">
        <v>0</v>
      </c>
      <c r="X108">
        <v>0</v>
      </c>
      <c r="Y108">
        <v>0</v>
      </c>
      <c r="Z108">
        <v>0</v>
      </c>
      <c r="AA108">
        <v>0</v>
      </c>
      <c r="AB108">
        <v>0</v>
      </c>
    </row>
    <row r="109" spans="1:31">
      <c r="A109">
        <v>0</v>
      </c>
      <c r="B109">
        <v>0</v>
      </c>
      <c r="C109">
        <v>0</v>
      </c>
      <c r="D109">
        <v>0</v>
      </c>
      <c r="E109">
        <v>0</v>
      </c>
      <c r="F109">
        <v>0</v>
      </c>
      <c r="G109">
        <v>0</v>
      </c>
      <c r="H109">
        <v>0</v>
      </c>
      <c r="I109">
        <v>0</v>
      </c>
      <c r="J109">
        <v>0</v>
      </c>
      <c r="K109">
        <v>0</v>
      </c>
      <c r="L109">
        <v>0</v>
      </c>
      <c r="M109">
        <v>0</v>
      </c>
      <c r="N109">
        <v>0</v>
      </c>
      <c r="O109">
        <v>0</v>
      </c>
      <c r="P109">
        <v>0</v>
      </c>
      <c r="Q109">
        <v>0</v>
      </c>
      <c r="R109">
        <v>0</v>
      </c>
      <c r="S109">
        <v>0</v>
      </c>
      <c r="T109">
        <v>0</v>
      </c>
      <c r="U109">
        <v>0</v>
      </c>
      <c r="V109">
        <v>0</v>
      </c>
      <c r="W109">
        <v>0</v>
      </c>
      <c r="X109">
        <v>0</v>
      </c>
      <c r="Y109">
        <v>0</v>
      </c>
      <c r="Z109">
        <v>0</v>
      </c>
      <c r="AA109">
        <v>0</v>
      </c>
      <c r="AB109">
        <v>0</v>
      </c>
    </row>
    <row r="110" spans="1:31">
      <c r="A110">
        <v>0</v>
      </c>
      <c r="B110">
        <v>0</v>
      </c>
      <c r="C110">
        <v>0</v>
      </c>
      <c r="D110">
        <v>0</v>
      </c>
      <c r="E110">
        <v>0</v>
      </c>
      <c r="F110">
        <v>0</v>
      </c>
      <c r="G110">
        <v>0</v>
      </c>
      <c r="H110">
        <v>0</v>
      </c>
      <c r="I110">
        <v>0</v>
      </c>
      <c r="J110">
        <v>0</v>
      </c>
      <c r="K110">
        <v>0</v>
      </c>
      <c r="L110">
        <v>0</v>
      </c>
      <c r="M110">
        <v>0</v>
      </c>
      <c r="N110">
        <v>0</v>
      </c>
      <c r="O110">
        <v>0</v>
      </c>
      <c r="P110">
        <v>0</v>
      </c>
      <c r="Q110">
        <v>0</v>
      </c>
      <c r="R110">
        <v>0</v>
      </c>
      <c r="S110">
        <v>0</v>
      </c>
      <c r="T110">
        <v>0</v>
      </c>
      <c r="U110">
        <v>0</v>
      </c>
      <c r="V110">
        <v>0</v>
      </c>
      <c r="W110">
        <v>0</v>
      </c>
      <c r="X110">
        <v>0</v>
      </c>
      <c r="Y110">
        <v>0</v>
      </c>
      <c r="Z110">
        <v>0</v>
      </c>
      <c r="AA110">
        <v>0</v>
      </c>
      <c r="AB110">
        <v>0</v>
      </c>
    </row>
    <row r="111" spans="1:31">
      <c r="A111">
        <v>0</v>
      </c>
      <c r="B111">
        <v>0</v>
      </c>
      <c r="C111">
        <v>0</v>
      </c>
      <c r="D111">
        <v>0</v>
      </c>
      <c r="E111">
        <v>0</v>
      </c>
      <c r="F111">
        <v>0</v>
      </c>
      <c r="G111">
        <v>0</v>
      </c>
      <c r="H111">
        <v>0</v>
      </c>
      <c r="I111">
        <v>0</v>
      </c>
      <c r="J111">
        <v>0</v>
      </c>
      <c r="K111">
        <v>0</v>
      </c>
      <c r="L111">
        <v>0</v>
      </c>
      <c r="M111">
        <v>0</v>
      </c>
      <c r="N111">
        <v>0</v>
      </c>
      <c r="O111">
        <v>0</v>
      </c>
      <c r="P111">
        <v>0</v>
      </c>
      <c r="Q111">
        <v>0</v>
      </c>
      <c r="R111">
        <v>0</v>
      </c>
      <c r="S111">
        <v>0</v>
      </c>
      <c r="T111">
        <v>0</v>
      </c>
      <c r="U111">
        <v>0</v>
      </c>
      <c r="V111">
        <v>0</v>
      </c>
      <c r="W111">
        <v>0</v>
      </c>
      <c r="X111">
        <v>0</v>
      </c>
      <c r="Y111">
        <v>0</v>
      </c>
      <c r="Z111">
        <v>0</v>
      </c>
      <c r="AA111">
        <v>0</v>
      </c>
      <c r="AB111">
        <v>0</v>
      </c>
    </row>
    <row r="112" spans="1:31">
      <c r="A112">
        <v>0</v>
      </c>
      <c r="B112">
        <v>0</v>
      </c>
      <c r="C112">
        <v>0</v>
      </c>
      <c r="D112">
        <v>0</v>
      </c>
      <c r="E112">
        <v>0</v>
      </c>
      <c r="F112">
        <v>0</v>
      </c>
      <c r="G112">
        <v>0</v>
      </c>
      <c r="H112">
        <v>0</v>
      </c>
      <c r="I112">
        <v>0</v>
      </c>
      <c r="J112">
        <v>0</v>
      </c>
      <c r="K112">
        <v>0</v>
      </c>
      <c r="L112">
        <v>0</v>
      </c>
      <c r="M112">
        <v>0</v>
      </c>
      <c r="N112">
        <v>0</v>
      </c>
      <c r="O112">
        <v>0</v>
      </c>
      <c r="P112">
        <v>0</v>
      </c>
      <c r="Q112">
        <v>0</v>
      </c>
      <c r="R112">
        <v>0</v>
      </c>
      <c r="S112">
        <v>0</v>
      </c>
      <c r="T112">
        <v>0</v>
      </c>
      <c r="U112">
        <v>0</v>
      </c>
      <c r="V112">
        <v>0</v>
      </c>
      <c r="W112">
        <v>0</v>
      </c>
      <c r="X112">
        <v>0</v>
      </c>
      <c r="Y112">
        <v>0</v>
      </c>
      <c r="Z112">
        <v>0</v>
      </c>
      <c r="AA112">
        <v>0</v>
      </c>
      <c r="AB112">
        <v>0</v>
      </c>
    </row>
    <row r="113" spans="1:28">
      <c r="A113">
        <v>0</v>
      </c>
      <c r="B113">
        <v>0</v>
      </c>
      <c r="C113">
        <v>0</v>
      </c>
      <c r="D113">
        <v>0</v>
      </c>
      <c r="E113">
        <v>0</v>
      </c>
      <c r="F113">
        <v>0</v>
      </c>
      <c r="G113">
        <v>0</v>
      </c>
      <c r="H113">
        <v>0</v>
      </c>
      <c r="I113">
        <v>0</v>
      </c>
      <c r="J113">
        <v>0</v>
      </c>
      <c r="K113">
        <v>0</v>
      </c>
      <c r="L113">
        <v>0</v>
      </c>
      <c r="M113">
        <v>0</v>
      </c>
      <c r="N113">
        <v>0</v>
      </c>
      <c r="O113">
        <v>0</v>
      </c>
      <c r="P113">
        <v>0</v>
      </c>
      <c r="Q113">
        <v>0</v>
      </c>
      <c r="R113">
        <v>0</v>
      </c>
      <c r="S113">
        <v>0</v>
      </c>
      <c r="T113">
        <v>0</v>
      </c>
      <c r="U113">
        <v>0</v>
      </c>
      <c r="V113">
        <v>0</v>
      </c>
      <c r="W113">
        <v>0</v>
      </c>
      <c r="X113">
        <v>0</v>
      </c>
      <c r="Y113">
        <v>0</v>
      </c>
      <c r="Z113">
        <v>0</v>
      </c>
      <c r="AA113">
        <v>0</v>
      </c>
      <c r="AB113">
        <v>0</v>
      </c>
    </row>
    <row r="114" spans="1:28">
      <c r="A114">
        <v>0</v>
      </c>
      <c r="B114">
        <v>0</v>
      </c>
      <c r="C114">
        <v>0</v>
      </c>
      <c r="D114">
        <v>0</v>
      </c>
      <c r="E114">
        <v>0</v>
      </c>
      <c r="F114">
        <v>0</v>
      </c>
      <c r="G114">
        <v>0</v>
      </c>
      <c r="H114">
        <v>0</v>
      </c>
      <c r="I114">
        <v>0</v>
      </c>
      <c r="J114">
        <v>0</v>
      </c>
      <c r="K114">
        <v>0</v>
      </c>
      <c r="L114">
        <v>0</v>
      </c>
      <c r="M114">
        <v>0</v>
      </c>
      <c r="N114">
        <v>0</v>
      </c>
      <c r="O114">
        <v>0</v>
      </c>
      <c r="P114">
        <v>0</v>
      </c>
      <c r="Q114">
        <v>0</v>
      </c>
      <c r="R114">
        <v>0</v>
      </c>
      <c r="S114">
        <v>0</v>
      </c>
      <c r="T114">
        <v>0</v>
      </c>
      <c r="U114">
        <v>0</v>
      </c>
      <c r="V114">
        <v>0</v>
      </c>
      <c r="W114">
        <v>0</v>
      </c>
      <c r="X114">
        <v>0</v>
      </c>
      <c r="Y114">
        <v>0</v>
      </c>
      <c r="Z114">
        <v>0</v>
      </c>
      <c r="AA114">
        <v>0</v>
      </c>
      <c r="AB114">
        <v>0</v>
      </c>
    </row>
    <row r="115" spans="1:28">
      <c r="A115">
        <v>0</v>
      </c>
      <c r="B115">
        <v>0</v>
      </c>
      <c r="C115">
        <v>0</v>
      </c>
      <c r="D115">
        <v>0</v>
      </c>
      <c r="E115">
        <v>0</v>
      </c>
      <c r="F115">
        <v>0</v>
      </c>
      <c r="G115">
        <v>0</v>
      </c>
      <c r="H115">
        <v>0</v>
      </c>
      <c r="I115">
        <v>0</v>
      </c>
      <c r="J115">
        <v>0</v>
      </c>
      <c r="K115">
        <v>0</v>
      </c>
      <c r="L115">
        <v>0</v>
      </c>
      <c r="M115">
        <v>0</v>
      </c>
      <c r="N115">
        <v>0</v>
      </c>
      <c r="O115">
        <v>0</v>
      </c>
      <c r="P115">
        <v>0</v>
      </c>
      <c r="Q115">
        <v>0</v>
      </c>
      <c r="R115">
        <v>0</v>
      </c>
      <c r="S115">
        <v>0</v>
      </c>
      <c r="T115">
        <v>0</v>
      </c>
      <c r="U115">
        <v>0</v>
      </c>
      <c r="V115">
        <v>0</v>
      </c>
      <c r="W115">
        <v>0</v>
      </c>
      <c r="X115">
        <v>0</v>
      </c>
      <c r="Y115">
        <v>0</v>
      </c>
      <c r="Z115">
        <v>0</v>
      </c>
      <c r="AA115">
        <v>0</v>
      </c>
      <c r="AB115">
        <v>0</v>
      </c>
    </row>
    <row r="116" spans="1:28">
      <c r="A116">
        <v>0</v>
      </c>
      <c r="B116">
        <v>0</v>
      </c>
      <c r="C116">
        <v>0</v>
      </c>
      <c r="D116">
        <v>0</v>
      </c>
      <c r="E116">
        <v>0</v>
      </c>
      <c r="F116">
        <v>0</v>
      </c>
      <c r="G116">
        <v>0</v>
      </c>
      <c r="H116">
        <v>0</v>
      </c>
      <c r="I116">
        <v>0</v>
      </c>
      <c r="J116">
        <v>0</v>
      </c>
      <c r="K116">
        <v>0</v>
      </c>
      <c r="L116">
        <v>0</v>
      </c>
      <c r="M116">
        <v>0</v>
      </c>
      <c r="N116">
        <v>0</v>
      </c>
      <c r="O116">
        <v>0</v>
      </c>
      <c r="P116">
        <v>0</v>
      </c>
      <c r="Q116">
        <v>0</v>
      </c>
      <c r="R116">
        <v>0</v>
      </c>
      <c r="S116">
        <v>0</v>
      </c>
      <c r="T116">
        <v>0</v>
      </c>
      <c r="U116">
        <v>0</v>
      </c>
      <c r="V116">
        <v>0</v>
      </c>
      <c r="W116">
        <v>0</v>
      </c>
      <c r="X116">
        <v>0</v>
      </c>
      <c r="Y116">
        <v>0</v>
      </c>
      <c r="Z116">
        <v>0</v>
      </c>
      <c r="AA116">
        <v>0</v>
      </c>
      <c r="AB116">
        <v>0</v>
      </c>
    </row>
    <row r="117" spans="1:28">
      <c r="A117">
        <v>0</v>
      </c>
      <c r="B117">
        <v>0</v>
      </c>
      <c r="C117">
        <v>0</v>
      </c>
      <c r="D117">
        <v>0</v>
      </c>
      <c r="E117">
        <v>0</v>
      </c>
      <c r="F117">
        <v>0</v>
      </c>
      <c r="G117">
        <v>0</v>
      </c>
      <c r="H117">
        <v>0</v>
      </c>
      <c r="I117">
        <v>0</v>
      </c>
      <c r="J117">
        <v>0</v>
      </c>
      <c r="K117">
        <v>0</v>
      </c>
      <c r="L117">
        <v>0</v>
      </c>
      <c r="M117">
        <v>0</v>
      </c>
      <c r="N117">
        <v>0</v>
      </c>
      <c r="O117">
        <v>0</v>
      </c>
      <c r="P117">
        <v>0</v>
      </c>
      <c r="Q117">
        <v>0</v>
      </c>
      <c r="R117">
        <v>0</v>
      </c>
      <c r="S117">
        <v>0</v>
      </c>
      <c r="T117">
        <v>0</v>
      </c>
      <c r="U117">
        <v>0</v>
      </c>
      <c r="V117">
        <v>0</v>
      </c>
      <c r="W117">
        <v>0</v>
      </c>
      <c r="X117">
        <v>0</v>
      </c>
      <c r="Y117">
        <v>0</v>
      </c>
      <c r="Z117">
        <v>0</v>
      </c>
      <c r="AA117">
        <v>0</v>
      </c>
      <c r="AB117">
        <v>0</v>
      </c>
    </row>
    <row r="118" spans="1:28">
      <c r="A118">
        <v>0</v>
      </c>
      <c r="B118">
        <v>0</v>
      </c>
      <c r="C118">
        <v>0</v>
      </c>
      <c r="D118">
        <v>0</v>
      </c>
      <c r="E118">
        <v>0</v>
      </c>
      <c r="F118">
        <v>0</v>
      </c>
      <c r="G118">
        <v>0</v>
      </c>
      <c r="H118">
        <v>0</v>
      </c>
      <c r="I118">
        <v>0</v>
      </c>
      <c r="J118">
        <v>0</v>
      </c>
      <c r="K118">
        <v>0</v>
      </c>
      <c r="L118">
        <v>0</v>
      </c>
      <c r="M118">
        <v>0</v>
      </c>
      <c r="N118">
        <v>0</v>
      </c>
      <c r="O118">
        <v>0</v>
      </c>
      <c r="P118">
        <v>0</v>
      </c>
      <c r="Q118">
        <v>0</v>
      </c>
      <c r="R118">
        <v>0</v>
      </c>
      <c r="S118">
        <v>0</v>
      </c>
      <c r="T118">
        <v>0</v>
      </c>
      <c r="U118">
        <v>0</v>
      </c>
      <c r="V118">
        <v>0</v>
      </c>
      <c r="W118">
        <v>0</v>
      </c>
      <c r="X118">
        <v>0</v>
      </c>
      <c r="Y118">
        <v>0</v>
      </c>
      <c r="Z118">
        <v>0</v>
      </c>
      <c r="AA118">
        <v>0</v>
      </c>
      <c r="AB118">
        <v>0</v>
      </c>
    </row>
    <row r="119" spans="1:28">
      <c r="A119">
        <v>0</v>
      </c>
      <c r="B119">
        <v>0</v>
      </c>
      <c r="C119">
        <v>0</v>
      </c>
      <c r="D119">
        <v>0</v>
      </c>
      <c r="E119">
        <v>0</v>
      </c>
      <c r="F119">
        <v>0</v>
      </c>
      <c r="G119">
        <v>0</v>
      </c>
      <c r="H119">
        <v>0</v>
      </c>
      <c r="I119">
        <v>0</v>
      </c>
      <c r="J119">
        <v>0</v>
      </c>
      <c r="K119">
        <v>0</v>
      </c>
      <c r="L119">
        <v>0</v>
      </c>
      <c r="M119">
        <v>0</v>
      </c>
      <c r="N119">
        <v>0</v>
      </c>
      <c r="O119">
        <v>0</v>
      </c>
      <c r="P119">
        <v>0</v>
      </c>
      <c r="Q119">
        <v>0</v>
      </c>
      <c r="R119">
        <v>0</v>
      </c>
      <c r="S119">
        <v>0</v>
      </c>
      <c r="T119">
        <v>0</v>
      </c>
      <c r="U119">
        <v>0</v>
      </c>
      <c r="V119">
        <v>0</v>
      </c>
      <c r="W119">
        <v>0</v>
      </c>
      <c r="X119">
        <v>0</v>
      </c>
      <c r="Y119">
        <v>0</v>
      </c>
      <c r="Z119">
        <v>0</v>
      </c>
      <c r="AA119">
        <v>0</v>
      </c>
      <c r="AB119">
        <v>0</v>
      </c>
    </row>
    <row r="120" spans="1:28">
      <c r="A120">
        <v>0</v>
      </c>
      <c r="B120">
        <v>0</v>
      </c>
      <c r="C120">
        <v>0</v>
      </c>
      <c r="D120">
        <v>0</v>
      </c>
      <c r="E120">
        <v>0</v>
      </c>
      <c r="F120">
        <v>0</v>
      </c>
      <c r="G120">
        <v>0</v>
      </c>
      <c r="H120">
        <v>0</v>
      </c>
      <c r="I120">
        <v>0</v>
      </c>
      <c r="J120">
        <v>0</v>
      </c>
      <c r="K120">
        <v>0</v>
      </c>
      <c r="L120">
        <v>0</v>
      </c>
      <c r="M120">
        <v>0</v>
      </c>
      <c r="N120">
        <v>0</v>
      </c>
      <c r="O120">
        <v>0</v>
      </c>
      <c r="P120">
        <v>0</v>
      </c>
      <c r="Q120">
        <v>0</v>
      </c>
      <c r="R120">
        <v>0</v>
      </c>
      <c r="S120">
        <v>0</v>
      </c>
      <c r="T120">
        <v>0</v>
      </c>
      <c r="U120">
        <v>0</v>
      </c>
      <c r="V120">
        <v>0</v>
      </c>
      <c r="W120">
        <v>0</v>
      </c>
      <c r="X120">
        <v>0</v>
      </c>
      <c r="Y120">
        <v>0</v>
      </c>
      <c r="Z120">
        <v>0</v>
      </c>
      <c r="AA120">
        <v>0</v>
      </c>
      <c r="AB120">
        <v>0</v>
      </c>
    </row>
    <row r="121" spans="1:28">
      <c r="A121">
        <v>0</v>
      </c>
      <c r="B121">
        <v>0</v>
      </c>
      <c r="C121">
        <v>0</v>
      </c>
      <c r="D121">
        <v>0</v>
      </c>
      <c r="E121">
        <v>0</v>
      </c>
      <c r="F121">
        <v>0</v>
      </c>
      <c r="G121">
        <v>0</v>
      </c>
      <c r="H121">
        <v>0</v>
      </c>
      <c r="I121">
        <v>0</v>
      </c>
      <c r="J121">
        <v>0</v>
      </c>
      <c r="K121">
        <v>0</v>
      </c>
      <c r="L121">
        <v>0</v>
      </c>
      <c r="M121">
        <v>0</v>
      </c>
      <c r="N121">
        <v>0</v>
      </c>
      <c r="O121">
        <v>0</v>
      </c>
      <c r="P121">
        <v>0</v>
      </c>
      <c r="Q121">
        <v>0</v>
      </c>
      <c r="R121">
        <v>0</v>
      </c>
      <c r="S121">
        <v>0</v>
      </c>
      <c r="T121">
        <v>0</v>
      </c>
      <c r="U121">
        <v>0</v>
      </c>
      <c r="V121">
        <v>0</v>
      </c>
      <c r="W121">
        <v>0</v>
      </c>
      <c r="X121">
        <v>0</v>
      </c>
      <c r="Y121">
        <v>0</v>
      </c>
      <c r="Z121">
        <v>0</v>
      </c>
      <c r="AA121">
        <v>0</v>
      </c>
      <c r="AB121">
        <v>0</v>
      </c>
    </row>
    <row r="122" spans="1:28">
      <c r="A122">
        <v>0</v>
      </c>
      <c r="B122">
        <v>0</v>
      </c>
      <c r="C122">
        <v>0</v>
      </c>
      <c r="D122">
        <v>0</v>
      </c>
      <c r="E122">
        <v>0</v>
      </c>
      <c r="F122">
        <v>0</v>
      </c>
      <c r="G122">
        <v>0</v>
      </c>
      <c r="H122">
        <v>0</v>
      </c>
      <c r="I122">
        <v>0</v>
      </c>
      <c r="J122">
        <v>0</v>
      </c>
      <c r="K122">
        <v>0</v>
      </c>
      <c r="L122">
        <v>0</v>
      </c>
      <c r="M122">
        <v>0</v>
      </c>
      <c r="N122">
        <v>0</v>
      </c>
      <c r="O122">
        <v>0</v>
      </c>
      <c r="P122">
        <v>0</v>
      </c>
      <c r="Q122">
        <v>0</v>
      </c>
      <c r="R122">
        <v>0</v>
      </c>
      <c r="S122">
        <v>0</v>
      </c>
      <c r="T122">
        <v>0</v>
      </c>
      <c r="U122">
        <v>0</v>
      </c>
      <c r="V122">
        <v>0</v>
      </c>
      <c r="W122">
        <v>0</v>
      </c>
      <c r="X122">
        <v>0</v>
      </c>
      <c r="Y122">
        <v>0</v>
      </c>
      <c r="Z122">
        <v>0</v>
      </c>
      <c r="AA122">
        <v>0</v>
      </c>
      <c r="AB122">
        <v>0</v>
      </c>
    </row>
    <row r="123" spans="1:28">
      <c r="A123">
        <v>0</v>
      </c>
      <c r="B123">
        <v>0</v>
      </c>
      <c r="C123">
        <v>0</v>
      </c>
      <c r="D123">
        <v>0</v>
      </c>
      <c r="E123">
        <v>0</v>
      </c>
      <c r="F123">
        <v>0</v>
      </c>
      <c r="G123">
        <v>0</v>
      </c>
      <c r="H123">
        <v>0</v>
      </c>
      <c r="I123">
        <v>0</v>
      </c>
      <c r="J123">
        <v>0</v>
      </c>
      <c r="K123">
        <v>0</v>
      </c>
      <c r="L123">
        <v>0</v>
      </c>
      <c r="M123">
        <v>0</v>
      </c>
      <c r="N123">
        <v>0</v>
      </c>
      <c r="O123">
        <v>0</v>
      </c>
      <c r="P123">
        <v>0</v>
      </c>
      <c r="Q123">
        <v>0</v>
      </c>
      <c r="R123">
        <v>0</v>
      </c>
      <c r="S123">
        <v>0</v>
      </c>
      <c r="T123">
        <v>0</v>
      </c>
      <c r="U123">
        <v>0</v>
      </c>
      <c r="V123">
        <v>0</v>
      </c>
      <c r="W123">
        <v>0</v>
      </c>
      <c r="X123">
        <v>0</v>
      </c>
      <c r="Y123">
        <v>0</v>
      </c>
      <c r="Z123">
        <v>0</v>
      </c>
      <c r="AA123">
        <v>0</v>
      </c>
      <c r="AB123">
        <v>0</v>
      </c>
    </row>
    <row r="124" spans="1:28">
      <c r="A124">
        <v>0</v>
      </c>
      <c r="B124">
        <v>0</v>
      </c>
      <c r="C124">
        <v>0</v>
      </c>
      <c r="D124">
        <v>0</v>
      </c>
      <c r="E124">
        <v>0</v>
      </c>
      <c r="F124">
        <v>0</v>
      </c>
      <c r="G124">
        <v>0</v>
      </c>
      <c r="H124">
        <v>0</v>
      </c>
      <c r="I124">
        <v>0</v>
      </c>
      <c r="J124">
        <v>0</v>
      </c>
      <c r="K124">
        <v>0</v>
      </c>
      <c r="L124">
        <v>0</v>
      </c>
      <c r="M124">
        <v>0</v>
      </c>
      <c r="N124">
        <v>0</v>
      </c>
      <c r="O124">
        <v>0</v>
      </c>
      <c r="P124">
        <v>0</v>
      </c>
      <c r="Q124">
        <v>0</v>
      </c>
      <c r="R124">
        <v>0</v>
      </c>
      <c r="S124">
        <v>0</v>
      </c>
      <c r="T124">
        <v>0</v>
      </c>
      <c r="U124">
        <v>0</v>
      </c>
      <c r="V124">
        <v>0</v>
      </c>
      <c r="W124">
        <v>0</v>
      </c>
      <c r="X124">
        <v>0</v>
      </c>
      <c r="Y124">
        <v>0</v>
      </c>
      <c r="Z124">
        <v>0</v>
      </c>
      <c r="AA124">
        <v>0</v>
      </c>
      <c r="AB124">
        <v>0</v>
      </c>
    </row>
    <row r="125" spans="1:28">
      <c r="A125">
        <v>0</v>
      </c>
      <c r="B125">
        <v>0</v>
      </c>
      <c r="C125">
        <v>0</v>
      </c>
      <c r="D125">
        <v>0</v>
      </c>
      <c r="E125">
        <v>0</v>
      </c>
      <c r="F125">
        <v>0</v>
      </c>
      <c r="G125">
        <v>0</v>
      </c>
      <c r="H125">
        <v>0</v>
      </c>
      <c r="I125">
        <v>0</v>
      </c>
      <c r="J125">
        <v>0</v>
      </c>
      <c r="K125">
        <v>0</v>
      </c>
      <c r="L125">
        <v>0</v>
      </c>
      <c r="M125">
        <v>0</v>
      </c>
      <c r="N125">
        <v>0</v>
      </c>
      <c r="O125">
        <v>0</v>
      </c>
      <c r="P125">
        <v>0</v>
      </c>
      <c r="Q125">
        <v>0</v>
      </c>
      <c r="R125">
        <v>0</v>
      </c>
      <c r="S125">
        <v>0</v>
      </c>
      <c r="T125">
        <v>0</v>
      </c>
      <c r="U125">
        <v>0</v>
      </c>
      <c r="V125">
        <v>0</v>
      </c>
      <c r="W125">
        <v>0</v>
      </c>
      <c r="X125">
        <v>0</v>
      </c>
      <c r="Y125">
        <v>0</v>
      </c>
      <c r="Z125">
        <v>0</v>
      </c>
      <c r="AA125">
        <v>0</v>
      </c>
      <c r="AB125">
        <v>0</v>
      </c>
    </row>
    <row r="126" spans="1:28">
      <c r="A126">
        <v>0</v>
      </c>
      <c r="B126">
        <v>0</v>
      </c>
      <c r="C126">
        <v>0</v>
      </c>
      <c r="D126">
        <v>0</v>
      </c>
      <c r="E126">
        <v>0</v>
      </c>
      <c r="F126">
        <v>0</v>
      </c>
      <c r="G126">
        <v>0</v>
      </c>
      <c r="H126">
        <v>0</v>
      </c>
      <c r="I126">
        <v>0</v>
      </c>
      <c r="J126">
        <v>0</v>
      </c>
      <c r="K126">
        <v>0</v>
      </c>
      <c r="L126">
        <v>0</v>
      </c>
      <c r="M126">
        <v>0</v>
      </c>
      <c r="N126">
        <v>0</v>
      </c>
      <c r="O126">
        <v>0</v>
      </c>
      <c r="P126">
        <v>0</v>
      </c>
      <c r="Q126">
        <v>0</v>
      </c>
      <c r="R126">
        <v>0</v>
      </c>
      <c r="S126">
        <v>0</v>
      </c>
      <c r="T126">
        <v>0</v>
      </c>
      <c r="U126">
        <v>0</v>
      </c>
      <c r="V126">
        <v>0</v>
      </c>
      <c r="W126">
        <v>0</v>
      </c>
      <c r="X126">
        <v>0</v>
      </c>
      <c r="Y126">
        <v>0</v>
      </c>
      <c r="Z126">
        <v>0</v>
      </c>
      <c r="AA126">
        <v>0</v>
      </c>
      <c r="AB126">
        <v>0</v>
      </c>
    </row>
    <row r="127" spans="1:28">
      <c r="A127">
        <v>0</v>
      </c>
      <c r="B127">
        <v>0</v>
      </c>
      <c r="C127">
        <v>0</v>
      </c>
      <c r="D127">
        <v>0</v>
      </c>
      <c r="E127">
        <v>0</v>
      </c>
      <c r="F127">
        <v>0</v>
      </c>
      <c r="G127">
        <v>0</v>
      </c>
      <c r="H127">
        <v>0</v>
      </c>
      <c r="I127">
        <v>0</v>
      </c>
      <c r="J127">
        <v>0</v>
      </c>
      <c r="K127">
        <v>0</v>
      </c>
      <c r="L127">
        <v>0</v>
      </c>
      <c r="M127">
        <v>0</v>
      </c>
      <c r="N127">
        <v>0</v>
      </c>
      <c r="O127">
        <v>0</v>
      </c>
      <c r="P127">
        <v>0</v>
      </c>
      <c r="Q127">
        <v>0</v>
      </c>
      <c r="R127">
        <v>0</v>
      </c>
      <c r="S127">
        <v>0</v>
      </c>
      <c r="T127">
        <v>0</v>
      </c>
      <c r="U127">
        <v>0</v>
      </c>
      <c r="V127">
        <v>0</v>
      </c>
      <c r="W127">
        <v>0</v>
      </c>
      <c r="X127">
        <v>0</v>
      </c>
      <c r="Y127">
        <v>0</v>
      </c>
      <c r="Z127">
        <v>0</v>
      </c>
      <c r="AA127">
        <v>0</v>
      </c>
      <c r="AB127">
        <v>0</v>
      </c>
    </row>
    <row r="128" spans="1:28">
      <c r="A128">
        <v>0</v>
      </c>
      <c r="B128">
        <v>0</v>
      </c>
      <c r="C128">
        <v>0</v>
      </c>
      <c r="D128">
        <v>0</v>
      </c>
      <c r="E128">
        <v>0</v>
      </c>
      <c r="F128">
        <v>0</v>
      </c>
      <c r="G128">
        <v>0</v>
      </c>
      <c r="H128">
        <v>0</v>
      </c>
      <c r="I128">
        <v>0</v>
      </c>
      <c r="J128">
        <v>0</v>
      </c>
      <c r="K128">
        <v>0</v>
      </c>
      <c r="L128">
        <v>0</v>
      </c>
      <c r="M128">
        <v>0</v>
      </c>
      <c r="N128">
        <v>0</v>
      </c>
      <c r="O128">
        <v>0</v>
      </c>
      <c r="P128">
        <v>0</v>
      </c>
      <c r="Q128">
        <v>0</v>
      </c>
      <c r="R128">
        <v>0</v>
      </c>
      <c r="S128">
        <v>0</v>
      </c>
      <c r="T128">
        <v>0</v>
      </c>
      <c r="U128">
        <v>0</v>
      </c>
      <c r="V128">
        <v>0</v>
      </c>
      <c r="W128">
        <v>0</v>
      </c>
      <c r="X128">
        <v>0</v>
      </c>
      <c r="Y128">
        <v>0</v>
      </c>
      <c r="Z128">
        <v>0</v>
      </c>
      <c r="AA128">
        <v>0</v>
      </c>
      <c r="AB128">
        <v>0</v>
      </c>
    </row>
    <row r="129" spans="1:28">
      <c r="A129">
        <v>0</v>
      </c>
      <c r="B129">
        <v>0</v>
      </c>
      <c r="C129">
        <v>0</v>
      </c>
      <c r="D129">
        <v>0</v>
      </c>
      <c r="E129">
        <v>0</v>
      </c>
      <c r="F129">
        <v>0</v>
      </c>
      <c r="G129">
        <v>0</v>
      </c>
      <c r="H129">
        <v>0</v>
      </c>
      <c r="I129">
        <v>0</v>
      </c>
      <c r="J129">
        <v>0</v>
      </c>
      <c r="K129">
        <v>0</v>
      </c>
      <c r="L129">
        <v>0</v>
      </c>
      <c r="M129">
        <v>0</v>
      </c>
      <c r="N129">
        <v>0</v>
      </c>
      <c r="O129">
        <v>0</v>
      </c>
      <c r="P129">
        <v>0</v>
      </c>
      <c r="Q129">
        <v>0</v>
      </c>
      <c r="R129">
        <v>0</v>
      </c>
      <c r="S129">
        <v>0</v>
      </c>
      <c r="T129">
        <v>0</v>
      </c>
      <c r="U129">
        <v>0</v>
      </c>
      <c r="V129">
        <v>0</v>
      </c>
      <c r="W129">
        <v>0</v>
      </c>
      <c r="X129">
        <v>0</v>
      </c>
      <c r="Y129">
        <v>0</v>
      </c>
      <c r="Z129">
        <v>0</v>
      </c>
      <c r="AA129">
        <v>0</v>
      </c>
      <c r="AB129">
        <v>0</v>
      </c>
    </row>
    <row r="130" spans="1:28">
      <c r="A130">
        <v>0</v>
      </c>
      <c r="B130">
        <v>0</v>
      </c>
      <c r="C130">
        <v>0</v>
      </c>
      <c r="D130">
        <v>0</v>
      </c>
      <c r="E130">
        <v>0</v>
      </c>
      <c r="F130">
        <v>0</v>
      </c>
      <c r="G130">
        <v>0</v>
      </c>
      <c r="H130">
        <v>0</v>
      </c>
      <c r="I130">
        <v>0</v>
      </c>
      <c r="J130">
        <v>0</v>
      </c>
      <c r="K130">
        <v>0</v>
      </c>
      <c r="L130">
        <v>0</v>
      </c>
      <c r="M130">
        <v>0</v>
      </c>
      <c r="N130">
        <v>0</v>
      </c>
      <c r="O130">
        <v>0</v>
      </c>
      <c r="P130">
        <v>0</v>
      </c>
      <c r="Q130">
        <v>0</v>
      </c>
      <c r="R130">
        <v>0</v>
      </c>
      <c r="S130">
        <v>0</v>
      </c>
      <c r="T130">
        <v>0</v>
      </c>
      <c r="U130">
        <v>0</v>
      </c>
      <c r="V130">
        <v>0</v>
      </c>
      <c r="W130">
        <v>0</v>
      </c>
      <c r="X130">
        <v>0</v>
      </c>
      <c r="Y130">
        <v>0</v>
      </c>
      <c r="Z130">
        <v>0</v>
      </c>
      <c r="AA130">
        <v>0</v>
      </c>
      <c r="AB130">
        <v>0</v>
      </c>
    </row>
    <row r="131" spans="1:28">
      <c r="A131">
        <v>0</v>
      </c>
      <c r="B131">
        <v>0</v>
      </c>
      <c r="C131">
        <v>0</v>
      </c>
      <c r="D131">
        <v>0</v>
      </c>
      <c r="E131">
        <v>0</v>
      </c>
      <c r="F131">
        <v>0</v>
      </c>
      <c r="G131">
        <v>0</v>
      </c>
      <c r="H131">
        <v>0</v>
      </c>
      <c r="I131">
        <v>0</v>
      </c>
      <c r="J131">
        <v>0</v>
      </c>
      <c r="K131">
        <v>0</v>
      </c>
      <c r="L131">
        <v>0</v>
      </c>
      <c r="M131">
        <v>0</v>
      </c>
      <c r="N131">
        <v>0</v>
      </c>
      <c r="O131">
        <v>0</v>
      </c>
      <c r="P131">
        <v>0</v>
      </c>
      <c r="Q131">
        <v>0</v>
      </c>
      <c r="R131">
        <v>0</v>
      </c>
      <c r="S131">
        <v>0</v>
      </c>
      <c r="T131">
        <v>0</v>
      </c>
      <c r="U131">
        <v>0</v>
      </c>
      <c r="V131">
        <v>0</v>
      </c>
      <c r="W131">
        <v>0</v>
      </c>
      <c r="X131">
        <v>0</v>
      </c>
      <c r="Y131">
        <v>0</v>
      </c>
      <c r="Z131">
        <v>0</v>
      </c>
      <c r="AA131">
        <v>0</v>
      </c>
      <c r="AB131">
        <v>0</v>
      </c>
    </row>
    <row r="132" spans="1:28">
      <c r="A132">
        <v>0</v>
      </c>
      <c r="B132">
        <v>0</v>
      </c>
      <c r="C132">
        <v>0</v>
      </c>
      <c r="D132">
        <v>0</v>
      </c>
      <c r="E132">
        <v>0</v>
      </c>
      <c r="F132">
        <v>0</v>
      </c>
      <c r="G132">
        <v>0</v>
      </c>
      <c r="H132">
        <v>0</v>
      </c>
      <c r="I132">
        <v>0</v>
      </c>
      <c r="J132">
        <v>0</v>
      </c>
      <c r="K132">
        <v>0</v>
      </c>
      <c r="L132">
        <v>0</v>
      </c>
      <c r="M132">
        <v>0</v>
      </c>
      <c r="N132">
        <v>0</v>
      </c>
      <c r="O132">
        <v>0</v>
      </c>
      <c r="P132">
        <v>0</v>
      </c>
      <c r="Q132">
        <v>0</v>
      </c>
      <c r="R132">
        <v>0</v>
      </c>
      <c r="S132">
        <v>0</v>
      </c>
      <c r="T132">
        <v>0</v>
      </c>
      <c r="U132">
        <v>0</v>
      </c>
      <c r="V132">
        <v>0</v>
      </c>
      <c r="W132">
        <v>0</v>
      </c>
      <c r="X132">
        <v>0</v>
      </c>
      <c r="Y132">
        <v>0</v>
      </c>
      <c r="Z132">
        <v>0</v>
      </c>
      <c r="AA132">
        <v>0</v>
      </c>
      <c r="AB132">
        <v>0</v>
      </c>
    </row>
    <row r="133" spans="1:28">
      <c r="A133">
        <v>0</v>
      </c>
      <c r="B133">
        <v>0</v>
      </c>
      <c r="C133">
        <v>0</v>
      </c>
      <c r="D133">
        <v>0</v>
      </c>
      <c r="E133">
        <v>0</v>
      </c>
      <c r="F133">
        <v>0</v>
      </c>
      <c r="G133">
        <v>0</v>
      </c>
      <c r="H133">
        <v>0</v>
      </c>
      <c r="I133">
        <v>0</v>
      </c>
      <c r="J133">
        <v>0</v>
      </c>
      <c r="K133">
        <v>0</v>
      </c>
      <c r="L133">
        <v>0</v>
      </c>
      <c r="M133">
        <v>0</v>
      </c>
      <c r="N133">
        <v>0</v>
      </c>
      <c r="O133">
        <v>0</v>
      </c>
      <c r="P133">
        <v>0</v>
      </c>
      <c r="Q133">
        <v>0</v>
      </c>
      <c r="R133">
        <v>0</v>
      </c>
      <c r="S133">
        <v>0</v>
      </c>
      <c r="T133">
        <v>0</v>
      </c>
      <c r="U133">
        <v>0</v>
      </c>
      <c r="V133">
        <v>0</v>
      </c>
      <c r="W133">
        <v>0</v>
      </c>
      <c r="X133">
        <v>0</v>
      </c>
      <c r="Y133">
        <v>0</v>
      </c>
      <c r="Z133">
        <v>0</v>
      </c>
      <c r="AA133">
        <v>0</v>
      </c>
      <c r="AB133">
        <v>0</v>
      </c>
    </row>
    <row r="134" spans="1:28">
      <c r="A134">
        <v>0</v>
      </c>
      <c r="B134">
        <v>0</v>
      </c>
      <c r="C134">
        <v>0</v>
      </c>
      <c r="D134">
        <v>0</v>
      </c>
      <c r="E134">
        <v>0</v>
      </c>
      <c r="F134">
        <v>0</v>
      </c>
      <c r="G134">
        <v>0</v>
      </c>
      <c r="H134">
        <v>0</v>
      </c>
      <c r="I134">
        <v>0</v>
      </c>
      <c r="J134">
        <v>0</v>
      </c>
      <c r="K134">
        <v>0</v>
      </c>
      <c r="L134">
        <v>0</v>
      </c>
      <c r="M134">
        <v>0</v>
      </c>
      <c r="N134">
        <v>0</v>
      </c>
      <c r="O134">
        <v>0</v>
      </c>
      <c r="P134">
        <v>0</v>
      </c>
      <c r="Q134">
        <v>0</v>
      </c>
      <c r="R134">
        <v>0</v>
      </c>
      <c r="S134">
        <v>0</v>
      </c>
      <c r="T134">
        <v>0</v>
      </c>
      <c r="U134">
        <v>0</v>
      </c>
      <c r="V134">
        <v>0</v>
      </c>
      <c r="W134">
        <v>0</v>
      </c>
      <c r="X134">
        <v>0</v>
      </c>
      <c r="Y134">
        <v>0</v>
      </c>
      <c r="Z134">
        <v>0</v>
      </c>
      <c r="AA134">
        <v>0</v>
      </c>
      <c r="AB134">
        <v>0</v>
      </c>
    </row>
    <row r="135" spans="1:28">
      <c r="A135">
        <v>0</v>
      </c>
      <c r="B135">
        <v>0</v>
      </c>
      <c r="C135">
        <v>0</v>
      </c>
      <c r="D135">
        <v>0</v>
      </c>
      <c r="E135">
        <v>0</v>
      </c>
      <c r="F135">
        <v>0</v>
      </c>
      <c r="G135">
        <v>0</v>
      </c>
      <c r="H135">
        <v>0</v>
      </c>
      <c r="I135">
        <v>0</v>
      </c>
      <c r="J135">
        <v>0</v>
      </c>
      <c r="K135">
        <v>0</v>
      </c>
      <c r="L135">
        <v>0</v>
      </c>
      <c r="M135">
        <v>0</v>
      </c>
      <c r="N135">
        <v>0</v>
      </c>
      <c r="O135">
        <v>0</v>
      </c>
      <c r="P135">
        <v>0</v>
      </c>
      <c r="Q135">
        <v>0</v>
      </c>
      <c r="R135">
        <v>0</v>
      </c>
      <c r="S135">
        <v>0</v>
      </c>
      <c r="T135">
        <v>0</v>
      </c>
      <c r="U135">
        <v>0</v>
      </c>
      <c r="V135">
        <v>0</v>
      </c>
      <c r="W135">
        <v>0</v>
      </c>
      <c r="X135">
        <v>0</v>
      </c>
      <c r="Y135">
        <v>0</v>
      </c>
      <c r="Z135">
        <v>0</v>
      </c>
      <c r="AA135">
        <v>0</v>
      </c>
      <c r="AB135">
        <v>0</v>
      </c>
    </row>
    <row r="136" spans="1:28">
      <c r="A136">
        <v>0</v>
      </c>
      <c r="B136">
        <v>0</v>
      </c>
      <c r="C136">
        <v>0</v>
      </c>
      <c r="D136">
        <v>0</v>
      </c>
      <c r="E136">
        <v>0</v>
      </c>
      <c r="F136">
        <v>0</v>
      </c>
      <c r="G136">
        <v>0</v>
      </c>
      <c r="H136">
        <v>0</v>
      </c>
      <c r="I136">
        <v>0</v>
      </c>
      <c r="J136">
        <v>0</v>
      </c>
      <c r="K136">
        <v>0</v>
      </c>
      <c r="L136">
        <v>0</v>
      </c>
      <c r="M136">
        <v>0</v>
      </c>
      <c r="N136">
        <v>0</v>
      </c>
      <c r="O136">
        <v>0</v>
      </c>
      <c r="P136">
        <v>0</v>
      </c>
      <c r="Q136">
        <v>0</v>
      </c>
      <c r="R136">
        <v>0</v>
      </c>
      <c r="S136">
        <v>0</v>
      </c>
      <c r="T136">
        <v>0</v>
      </c>
      <c r="U136">
        <v>0</v>
      </c>
      <c r="V136">
        <v>0</v>
      </c>
      <c r="W136">
        <v>0</v>
      </c>
      <c r="X136">
        <v>0</v>
      </c>
      <c r="Y136">
        <v>0</v>
      </c>
      <c r="Z136">
        <v>0</v>
      </c>
      <c r="AA136">
        <v>0</v>
      </c>
      <c r="AB136">
        <v>0</v>
      </c>
    </row>
    <row r="137" spans="1:28">
      <c r="A137">
        <v>0</v>
      </c>
      <c r="B137">
        <v>0</v>
      </c>
      <c r="C137">
        <v>0</v>
      </c>
      <c r="D137">
        <v>0</v>
      </c>
      <c r="E137">
        <v>0</v>
      </c>
      <c r="F137">
        <v>0</v>
      </c>
      <c r="G137">
        <v>0</v>
      </c>
      <c r="H137">
        <v>0</v>
      </c>
      <c r="I137">
        <v>0</v>
      </c>
      <c r="J137">
        <v>0</v>
      </c>
      <c r="K137">
        <v>0</v>
      </c>
      <c r="L137">
        <v>0</v>
      </c>
      <c r="M137">
        <v>0</v>
      </c>
      <c r="N137">
        <v>0</v>
      </c>
      <c r="O137">
        <v>0</v>
      </c>
      <c r="P137">
        <v>0</v>
      </c>
      <c r="Q137">
        <v>0</v>
      </c>
      <c r="R137">
        <v>0</v>
      </c>
      <c r="S137">
        <v>0</v>
      </c>
      <c r="T137">
        <v>0</v>
      </c>
      <c r="U137">
        <v>0</v>
      </c>
      <c r="V137">
        <v>0</v>
      </c>
      <c r="W137">
        <v>0</v>
      </c>
      <c r="X137">
        <v>0</v>
      </c>
      <c r="Y137">
        <v>0</v>
      </c>
      <c r="Z137">
        <v>0</v>
      </c>
      <c r="AA137">
        <v>0</v>
      </c>
      <c r="AB137">
        <v>0</v>
      </c>
    </row>
    <row r="138" spans="1:28">
      <c r="A138">
        <v>0</v>
      </c>
      <c r="B138">
        <v>0</v>
      </c>
      <c r="C138">
        <v>0</v>
      </c>
      <c r="D138">
        <v>0</v>
      </c>
      <c r="E138">
        <v>0</v>
      </c>
      <c r="F138">
        <v>0</v>
      </c>
      <c r="G138">
        <v>0</v>
      </c>
      <c r="H138">
        <v>0</v>
      </c>
      <c r="I138">
        <v>0</v>
      </c>
      <c r="J138">
        <v>0</v>
      </c>
      <c r="K138">
        <v>0</v>
      </c>
      <c r="L138">
        <v>0</v>
      </c>
      <c r="M138">
        <v>0</v>
      </c>
      <c r="N138">
        <v>0</v>
      </c>
      <c r="O138">
        <v>0</v>
      </c>
      <c r="P138">
        <v>0</v>
      </c>
      <c r="Q138">
        <v>0</v>
      </c>
      <c r="R138">
        <v>0</v>
      </c>
      <c r="S138">
        <v>0</v>
      </c>
      <c r="T138">
        <v>0</v>
      </c>
      <c r="U138">
        <v>0</v>
      </c>
      <c r="V138">
        <v>0</v>
      </c>
      <c r="W138">
        <v>0</v>
      </c>
      <c r="X138">
        <v>0</v>
      </c>
      <c r="Y138">
        <v>0</v>
      </c>
      <c r="Z138">
        <v>0</v>
      </c>
      <c r="AA138">
        <v>0</v>
      </c>
      <c r="AB138">
        <v>0</v>
      </c>
    </row>
    <row r="139" spans="1:28">
      <c r="A139">
        <v>0</v>
      </c>
      <c r="B139">
        <v>0</v>
      </c>
      <c r="C139">
        <v>0</v>
      </c>
      <c r="D139">
        <v>0</v>
      </c>
      <c r="E139">
        <v>0</v>
      </c>
      <c r="F139">
        <v>0</v>
      </c>
      <c r="G139">
        <v>0</v>
      </c>
      <c r="H139">
        <v>0</v>
      </c>
      <c r="I139">
        <v>0</v>
      </c>
      <c r="J139">
        <v>0</v>
      </c>
      <c r="K139">
        <v>0</v>
      </c>
      <c r="L139">
        <v>0</v>
      </c>
      <c r="M139">
        <v>0</v>
      </c>
      <c r="N139">
        <v>0</v>
      </c>
      <c r="O139">
        <v>0</v>
      </c>
      <c r="P139">
        <v>0</v>
      </c>
      <c r="Q139">
        <v>0</v>
      </c>
      <c r="R139">
        <v>0</v>
      </c>
      <c r="S139">
        <v>0</v>
      </c>
      <c r="T139">
        <v>0</v>
      </c>
      <c r="U139">
        <v>0</v>
      </c>
      <c r="V139">
        <v>0</v>
      </c>
      <c r="W139">
        <v>0</v>
      </c>
      <c r="X139">
        <v>0</v>
      </c>
      <c r="Y139">
        <v>0</v>
      </c>
      <c r="Z139">
        <v>0</v>
      </c>
      <c r="AA139">
        <v>0</v>
      </c>
      <c r="AB139">
        <v>0</v>
      </c>
    </row>
    <row r="140" spans="1:28">
      <c r="A140">
        <v>0</v>
      </c>
      <c r="B140">
        <v>0</v>
      </c>
      <c r="C140">
        <v>0</v>
      </c>
      <c r="D140">
        <v>0</v>
      </c>
      <c r="E140">
        <v>0</v>
      </c>
      <c r="F140">
        <v>0</v>
      </c>
      <c r="G140">
        <v>0</v>
      </c>
      <c r="H140">
        <v>0</v>
      </c>
      <c r="I140">
        <v>0</v>
      </c>
      <c r="J140">
        <v>0</v>
      </c>
      <c r="K140">
        <v>0</v>
      </c>
      <c r="L140">
        <v>0</v>
      </c>
      <c r="M140">
        <v>0</v>
      </c>
      <c r="N140">
        <v>0</v>
      </c>
      <c r="O140">
        <v>0</v>
      </c>
      <c r="P140">
        <v>0</v>
      </c>
      <c r="Q140">
        <v>0</v>
      </c>
      <c r="R140">
        <v>0</v>
      </c>
      <c r="S140">
        <v>0</v>
      </c>
      <c r="T140">
        <v>0</v>
      </c>
      <c r="U140">
        <v>0</v>
      </c>
      <c r="V140">
        <v>0</v>
      </c>
      <c r="W140">
        <v>0</v>
      </c>
      <c r="X140">
        <v>0</v>
      </c>
      <c r="Y140">
        <v>0</v>
      </c>
      <c r="Z140">
        <v>0</v>
      </c>
      <c r="AA140">
        <v>0</v>
      </c>
      <c r="AB140">
        <v>0</v>
      </c>
    </row>
    <row r="141" spans="1:28">
      <c r="A141">
        <v>0</v>
      </c>
      <c r="B141">
        <v>0</v>
      </c>
      <c r="C141">
        <v>0</v>
      </c>
      <c r="D141">
        <v>0</v>
      </c>
      <c r="E141">
        <v>0</v>
      </c>
      <c r="F141">
        <v>0</v>
      </c>
      <c r="G141">
        <v>0</v>
      </c>
      <c r="H141">
        <v>0</v>
      </c>
      <c r="I141">
        <v>0</v>
      </c>
      <c r="J141">
        <v>0</v>
      </c>
      <c r="K141">
        <v>0</v>
      </c>
      <c r="L141">
        <v>0</v>
      </c>
      <c r="M141">
        <v>0</v>
      </c>
      <c r="N141">
        <v>0</v>
      </c>
      <c r="O141">
        <v>0</v>
      </c>
      <c r="P141">
        <v>0</v>
      </c>
      <c r="Q141">
        <v>0</v>
      </c>
      <c r="R141">
        <v>0</v>
      </c>
      <c r="S141">
        <v>0</v>
      </c>
      <c r="T141">
        <v>0</v>
      </c>
      <c r="U141">
        <v>0</v>
      </c>
      <c r="V141">
        <v>0</v>
      </c>
      <c r="W141">
        <v>0</v>
      </c>
      <c r="X141">
        <v>0</v>
      </c>
      <c r="Y141">
        <v>0</v>
      </c>
      <c r="Z141">
        <v>0</v>
      </c>
      <c r="AA141">
        <v>0</v>
      </c>
      <c r="AB141">
        <v>0</v>
      </c>
    </row>
    <row r="142" spans="1:28">
      <c r="A142">
        <v>0</v>
      </c>
      <c r="B142">
        <v>0</v>
      </c>
      <c r="C142">
        <v>0</v>
      </c>
      <c r="D142">
        <v>0</v>
      </c>
      <c r="E142">
        <v>0</v>
      </c>
      <c r="F142">
        <v>0</v>
      </c>
      <c r="G142">
        <v>0</v>
      </c>
      <c r="H142">
        <v>0</v>
      </c>
      <c r="I142">
        <v>0</v>
      </c>
      <c r="J142">
        <v>0</v>
      </c>
      <c r="K142">
        <v>0</v>
      </c>
      <c r="L142">
        <v>0</v>
      </c>
      <c r="M142">
        <v>0</v>
      </c>
      <c r="N142">
        <v>0</v>
      </c>
      <c r="O142">
        <v>0</v>
      </c>
      <c r="P142">
        <v>0</v>
      </c>
      <c r="Q142">
        <v>0</v>
      </c>
      <c r="R142">
        <v>0</v>
      </c>
      <c r="S142">
        <v>0</v>
      </c>
      <c r="T142">
        <v>0</v>
      </c>
      <c r="U142">
        <v>0</v>
      </c>
      <c r="V142">
        <v>0</v>
      </c>
      <c r="W142">
        <v>0</v>
      </c>
      <c r="X142">
        <v>0</v>
      </c>
      <c r="Y142">
        <v>0</v>
      </c>
      <c r="Z142">
        <v>0</v>
      </c>
      <c r="AA142">
        <v>0</v>
      </c>
      <c r="AB142">
        <v>0</v>
      </c>
    </row>
    <row r="143" spans="1:28">
      <c r="A143">
        <v>0</v>
      </c>
      <c r="B143">
        <v>0</v>
      </c>
      <c r="C143">
        <v>0</v>
      </c>
      <c r="D143">
        <v>0</v>
      </c>
      <c r="E143">
        <v>0</v>
      </c>
      <c r="F143">
        <v>0</v>
      </c>
      <c r="G143">
        <v>0</v>
      </c>
      <c r="H143">
        <v>0</v>
      </c>
      <c r="I143">
        <v>0</v>
      </c>
      <c r="J143">
        <v>0</v>
      </c>
      <c r="K143">
        <v>0</v>
      </c>
      <c r="L143">
        <v>0</v>
      </c>
      <c r="M143">
        <v>0</v>
      </c>
      <c r="N143">
        <v>0</v>
      </c>
      <c r="O143">
        <v>0</v>
      </c>
      <c r="P143">
        <v>0</v>
      </c>
      <c r="Q143">
        <v>0</v>
      </c>
      <c r="R143">
        <v>0</v>
      </c>
      <c r="S143">
        <v>0</v>
      </c>
      <c r="T143">
        <v>0</v>
      </c>
      <c r="U143">
        <v>0</v>
      </c>
      <c r="V143">
        <v>0</v>
      </c>
      <c r="W143">
        <v>0</v>
      </c>
      <c r="X143">
        <v>0</v>
      </c>
      <c r="Y143">
        <v>0</v>
      </c>
      <c r="Z143">
        <v>0</v>
      </c>
      <c r="AA143">
        <v>0</v>
      </c>
      <c r="AB143">
        <v>0</v>
      </c>
    </row>
    <row r="144" spans="1:28">
      <c r="A144">
        <v>0</v>
      </c>
      <c r="B144">
        <v>0</v>
      </c>
      <c r="C144">
        <v>0</v>
      </c>
      <c r="D144">
        <v>0</v>
      </c>
      <c r="E144">
        <v>0</v>
      </c>
      <c r="F144">
        <v>0</v>
      </c>
      <c r="G144">
        <v>0</v>
      </c>
      <c r="H144">
        <v>0</v>
      </c>
      <c r="I144">
        <v>0</v>
      </c>
      <c r="J144">
        <v>0</v>
      </c>
      <c r="K144">
        <v>0</v>
      </c>
      <c r="L144">
        <v>0</v>
      </c>
      <c r="M144">
        <v>0</v>
      </c>
      <c r="N144">
        <v>0</v>
      </c>
      <c r="O144">
        <v>0</v>
      </c>
      <c r="P144">
        <v>0</v>
      </c>
      <c r="Q144">
        <v>0</v>
      </c>
      <c r="R144">
        <v>0</v>
      </c>
      <c r="S144">
        <v>0</v>
      </c>
      <c r="T144">
        <v>0</v>
      </c>
      <c r="U144">
        <v>0</v>
      </c>
      <c r="V144">
        <v>0</v>
      </c>
      <c r="W144">
        <v>0</v>
      </c>
      <c r="X144">
        <v>0</v>
      </c>
      <c r="Y144">
        <v>0</v>
      </c>
      <c r="Z144">
        <v>0</v>
      </c>
      <c r="AA144">
        <v>0</v>
      </c>
      <c r="AB144">
        <v>0</v>
      </c>
    </row>
    <row r="145" spans="1:28">
      <c r="A145">
        <v>0</v>
      </c>
      <c r="B145">
        <v>0</v>
      </c>
      <c r="C145">
        <v>0</v>
      </c>
      <c r="D145">
        <v>0</v>
      </c>
      <c r="E145">
        <v>0</v>
      </c>
      <c r="F145">
        <v>0</v>
      </c>
      <c r="G145">
        <v>0</v>
      </c>
      <c r="H145">
        <v>0</v>
      </c>
      <c r="I145">
        <v>0</v>
      </c>
      <c r="J145">
        <v>0</v>
      </c>
      <c r="K145">
        <v>0</v>
      </c>
      <c r="L145">
        <v>0</v>
      </c>
      <c r="M145">
        <v>0</v>
      </c>
      <c r="N145">
        <v>0</v>
      </c>
      <c r="O145">
        <v>0</v>
      </c>
      <c r="P145">
        <v>0</v>
      </c>
      <c r="Q145">
        <v>0</v>
      </c>
      <c r="R145">
        <v>0</v>
      </c>
      <c r="S145">
        <v>0</v>
      </c>
      <c r="T145">
        <v>0</v>
      </c>
      <c r="U145">
        <v>0</v>
      </c>
      <c r="V145">
        <v>0</v>
      </c>
      <c r="W145">
        <v>0</v>
      </c>
      <c r="X145">
        <v>0</v>
      </c>
      <c r="Y145">
        <v>0</v>
      </c>
      <c r="Z145">
        <v>0</v>
      </c>
      <c r="AA145">
        <v>0</v>
      </c>
      <c r="AB145">
        <v>0</v>
      </c>
    </row>
    <row r="146" spans="1:28">
      <c r="A146">
        <v>0</v>
      </c>
      <c r="B146">
        <v>0</v>
      </c>
      <c r="C146">
        <v>0</v>
      </c>
      <c r="D146">
        <v>0</v>
      </c>
      <c r="E146">
        <v>0</v>
      </c>
      <c r="F146">
        <v>0</v>
      </c>
      <c r="G146">
        <v>0</v>
      </c>
      <c r="H146">
        <v>0</v>
      </c>
      <c r="I146">
        <v>0</v>
      </c>
      <c r="J146">
        <v>0</v>
      </c>
      <c r="K146">
        <v>0</v>
      </c>
      <c r="L146">
        <v>0</v>
      </c>
      <c r="M146">
        <v>0</v>
      </c>
      <c r="N146">
        <v>0</v>
      </c>
      <c r="O146">
        <v>0</v>
      </c>
      <c r="P146">
        <v>0</v>
      </c>
      <c r="Q146">
        <v>0</v>
      </c>
      <c r="R146">
        <v>0</v>
      </c>
      <c r="S146">
        <v>0</v>
      </c>
      <c r="T146">
        <v>0</v>
      </c>
      <c r="U146">
        <v>0</v>
      </c>
      <c r="V146">
        <v>0</v>
      </c>
      <c r="W146">
        <v>0</v>
      </c>
      <c r="X146">
        <v>0</v>
      </c>
      <c r="Y146">
        <v>0</v>
      </c>
      <c r="Z146">
        <v>0</v>
      </c>
      <c r="AA146">
        <v>0</v>
      </c>
      <c r="AB146">
        <v>0</v>
      </c>
    </row>
    <row r="147" spans="1:28">
      <c r="A147">
        <v>0</v>
      </c>
      <c r="B147">
        <v>0</v>
      </c>
      <c r="C147">
        <v>0</v>
      </c>
      <c r="D147">
        <v>0</v>
      </c>
      <c r="E147">
        <v>0</v>
      </c>
      <c r="F147">
        <v>0</v>
      </c>
      <c r="G147">
        <v>0</v>
      </c>
      <c r="H147">
        <v>0</v>
      </c>
      <c r="I147">
        <v>0</v>
      </c>
      <c r="J147">
        <v>0</v>
      </c>
      <c r="K147">
        <v>0</v>
      </c>
      <c r="L147">
        <v>0</v>
      </c>
      <c r="M147">
        <v>0</v>
      </c>
      <c r="N147">
        <v>0</v>
      </c>
      <c r="O147">
        <v>0</v>
      </c>
      <c r="P147">
        <v>0</v>
      </c>
      <c r="Q147">
        <v>0</v>
      </c>
      <c r="R147">
        <v>0</v>
      </c>
      <c r="S147">
        <v>0</v>
      </c>
      <c r="T147">
        <v>0</v>
      </c>
      <c r="U147">
        <v>0</v>
      </c>
      <c r="V147">
        <v>0</v>
      </c>
      <c r="W147">
        <v>0</v>
      </c>
      <c r="X147">
        <v>0</v>
      </c>
      <c r="Y147">
        <v>0</v>
      </c>
      <c r="Z147">
        <v>0</v>
      </c>
      <c r="AA147">
        <v>0</v>
      </c>
      <c r="AB147">
        <v>0</v>
      </c>
    </row>
    <row r="148" spans="1:28">
      <c r="A148">
        <v>0</v>
      </c>
      <c r="B148">
        <v>0</v>
      </c>
      <c r="C148">
        <v>0</v>
      </c>
      <c r="D148">
        <v>0</v>
      </c>
      <c r="E148">
        <v>0</v>
      </c>
      <c r="F148">
        <v>0</v>
      </c>
      <c r="G148">
        <v>0</v>
      </c>
      <c r="H148">
        <v>0</v>
      </c>
      <c r="I148">
        <v>0</v>
      </c>
      <c r="J148">
        <v>0</v>
      </c>
      <c r="K148">
        <v>0</v>
      </c>
      <c r="L148">
        <v>0</v>
      </c>
      <c r="M148">
        <v>0</v>
      </c>
      <c r="N148">
        <v>0</v>
      </c>
      <c r="O148">
        <v>0</v>
      </c>
      <c r="P148">
        <v>0</v>
      </c>
      <c r="Q148">
        <v>0</v>
      </c>
      <c r="R148">
        <v>0</v>
      </c>
      <c r="S148">
        <v>0</v>
      </c>
      <c r="T148">
        <v>0</v>
      </c>
      <c r="U148">
        <v>0</v>
      </c>
      <c r="V148">
        <v>0</v>
      </c>
      <c r="W148">
        <v>0</v>
      </c>
      <c r="X148">
        <v>0</v>
      </c>
      <c r="Y148">
        <v>0</v>
      </c>
      <c r="Z148">
        <v>0</v>
      </c>
      <c r="AA148">
        <v>0</v>
      </c>
      <c r="AB148">
        <v>0</v>
      </c>
    </row>
    <row r="149" spans="1:28">
      <c r="A149">
        <v>0</v>
      </c>
      <c r="B149">
        <v>0</v>
      </c>
      <c r="C149">
        <v>0</v>
      </c>
      <c r="D149">
        <v>0</v>
      </c>
      <c r="E149">
        <v>0</v>
      </c>
      <c r="F149">
        <v>0</v>
      </c>
      <c r="G149">
        <v>0</v>
      </c>
      <c r="H149">
        <v>0</v>
      </c>
      <c r="I149">
        <v>0</v>
      </c>
      <c r="J149">
        <v>0</v>
      </c>
      <c r="K149">
        <v>0</v>
      </c>
      <c r="L149">
        <v>0</v>
      </c>
      <c r="M149">
        <v>0</v>
      </c>
      <c r="N149">
        <v>0</v>
      </c>
      <c r="O149">
        <v>0</v>
      </c>
      <c r="P149">
        <v>0</v>
      </c>
      <c r="Q149">
        <v>0</v>
      </c>
      <c r="R149">
        <v>0</v>
      </c>
      <c r="S149">
        <v>0</v>
      </c>
      <c r="T149">
        <v>0</v>
      </c>
      <c r="U149">
        <v>0</v>
      </c>
      <c r="V149">
        <v>0</v>
      </c>
      <c r="W149">
        <v>0</v>
      </c>
      <c r="X149">
        <v>0</v>
      </c>
      <c r="Y149">
        <v>0</v>
      </c>
      <c r="Z149">
        <v>0</v>
      </c>
      <c r="AA149">
        <v>0</v>
      </c>
      <c r="AB149">
        <v>0</v>
      </c>
    </row>
    <row r="150" spans="1:28">
      <c r="A150">
        <v>0</v>
      </c>
      <c r="B150">
        <v>0</v>
      </c>
      <c r="C150">
        <v>0</v>
      </c>
      <c r="D150">
        <v>0</v>
      </c>
      <c r="E150">
        <v>0</v>
      </c>
      <c r="F150">
        <v>0</v>
      </c>
      <c r="G150">
        <v>0</v>
      </c>
      <c r="H150">
        <v>0</v>
      </c>
      <c r="I150">
        <v>0</v>
      </c>
      <c r="J150">
        <v>0</v>
      </c>
      <c r="K150">
        <v>0</v>
      </c>
      <c r="L150">
        <v>0</v>
      </c>
      <c r="M150">
        <v>0</v>
      </c>
      <c r="N150">
        <v>0</v>
      </c>
      <c r="O150">
        <v>0</v>
      </c>
      <c r="P150">
        <v>0</v>
      </c>
      <c r="Q150">
        <v>0</v>
      </c>
      <c r="R150">
        <v>0</v>
      </c>
      <c r="S150">
        <v>0</v>
      </c>
      <c r="T150">
        <v>0</v>
      </c>
      <c r="U150">
        <v>0</v>
      </c>
      <c r="V150">
        <v>0</v>
      </c>
      <c r="W150">
        <v>0</v>
      </c>
      <c r="X150">
        <v>0</v>
      </c>
      <c r="Y150">
        <v>0</v>
      </c>
      <c r="Z150">
        <v>0</v>
      </c>
      <c r="AA150">
        <v>0</v>
      </c>
      <c r="AB150">
        <v>0</v>
      </c>
    </row>
    <row r="151" spans="1:28">
      <c r="A151">
        <v>0</v>
      </c>
      <c r="B151">
        <v>0</v>
      </c>
      <c r="C151">
        <v>0</v>
      </c>
      <c r="D151">
        <v>0</v>
      </c>
      <c r="E151">
        <v>0</v>
      </c>
      <c r="F151">
        <v>0</v>
      </c>
      <c r="G151">
        <v>0</v>
      </c>
      <c r="H151">
        <v>0</v>
      </c>
      <c r="I151">
        <v>0</v>
      </c>
      <c r="J151">
        <v>0</v>
      </c>
      <c r="K151">
        <v>0</v>
      </c>
      <c r="L151">
        <v>0</v>
      </c>
      <c r="M151">
        <v>0</v>
      </c>
      <c r="N151">
        <v>0</v>
      </c>
      <c r="O151">
        <v>0</v>
      </c>
      <c r="P151">
        <v>0</v>
      </c>
      <c r="Q151">
        <v>0</v>
      </c>
      <c r="R151">
        <v>0</v>
      </c>
      <c r="S151">
        <v>0</v>
      </c>
      <c r="T151">
        <v>0</v>
      </c>
      <c r="U151">
        <v>0</v>
      </c>
      <c r="V151">
        <v>0</v>
      </c>
      <c r="W151">
        <v>0</v>
      </c>
      <c r="X151">
        <v>0</v>
      </c>
      <c r="Y151">
        <v>0</v>
      </c>
      <c r="Z151">
        <v>0</v>
      </c>
      <c r="AA151">
        <v>0</v>
      </c>
      <c r="AB151">
        <v>0</v>
      </c>
    </row>
    <row r="152" spans="1:28">
      <c r="A152">
        <v>0</v>
      </c>
      <c r="B152">
        <v>0</v>
      </c>
      <c r="C152">
        <v>0</v>
      </c>
      <c r="D152">
        <v>0</v>
      </c>
      <c r="E152">
        <v>0</v>
      </c>
      <c r="F152">
        <v>0</v>
      </c>
      <c r="G152">
        <v>0</v>
      </c>
      <c r="H152">
        <v>0</v>
      </c>
      <c r="I152">
        <v>0</v>
      </c>
      <c r="J152">
        <v>0</v>
      </c>
      <c r="K152">
        <v>0</v>
      </c>
      <c r="L152">
        <v>0</v>
      </c>
      <c r="M152">
        <v>0</v>
      </c>
      <c r="N152">
        <v>0</v>
      </c>
      <c r="O152">
        <v>0</v>
      </c>
      <c r="P152">
        <v>0</v>
      </c>
      <c r="Q152">
        <v>0</v>
      </c>
      <c r="R152">
        <v>0</v>
      </c>
      <c r="S152">
        <v>0</v>
      </c>
      <c r="T152">
        <v>0</v>
      </c>
      <c r="U152">
        <v>0</v>
      </c>
      <c r="V152">
        <v>0</v>
      </c>
      <c r="W152">
        <v>0</v>
      </c>
      <c r="X152">
        <v>0</v>
      </c>
      <c r="Y152">
        <v>0</v>
      </c>
      <c r="Z152">
        <v>0</v>
      </c>
      <c r="AA152">
        <v>0</v>
      </c>
      <c r="AB152">
        <v>0</v>
      </c>
    </row>
    <row r="153" spans="1:28">
      <c r="A153">
        <v>0</v>
      </c>
      <c r="B153">
        <v>0</v>
      </c>
      <c r="C153">
        <v>0</v>
      </c>
      <c r="D153">
        <v>0</v>
      </c>
      <c r="E153">
        <v>0</v>
      </c>
      <c r="F153">
        <v>0</v>
      </c>
      <c r="G153">
        <v>0</v>
      </c>
      <c r="H153">
        <v>0</v>
      </c>
      <c r="I153">
        <v>0</v>
      </c>
      <c r="J153">
        <v>0</v>
      </c>
      <c r="K153">
        <v>0</v>
      </c>
      <c r="L153">
        <v>0</v>
      </c>
      <c r="M153">
        <v>0</v>
      </c>
      <c r="N153">
        <v>0</v>
      </c>
      <c r="O153">
        <v>0</v>
      </c>
      <c r="P153">
        <v>0</v>
      </c>
      <c r="Q153">
        <v>0</v>
      </c>
      <c r="R153">
        <v>0</v>
      </c>
      <c r="S153">
        <v>0</v>
      </c>
      <c r="T153">
        <v>0</v>
      </c>
      <c r="U153">
        <v>0</v>
      </c>
      <c r="V153">
        <v>0</v>
      </c>
      <c r="W153">
        <v>0</v>
      </c>
      <c r="X153">
        <v>0</v>
      </c>
      <c r="Y153">
        <v>0</v>
      </c>
      <c r="Z153">
        <v>0</v>
      </c>
      <c r="AA153">
        <v>0</v>
      </c>
      <c r="AB153">
        <v>0</v>
      </c>
    </row>
    <row r="154" spans="1:28">
      <c r="A154">
        <v>0</v>
      </c>
      <c r="B154">
        <v>0</v>
      </c>
      <c r="C154">
        <v>0</v>
      </c>
      <c r="D154">
        <v>0</v>
      </c>
      <c r="E154">
        <v>0</v>
      </c>
      <c r="F154">
        <v>0</v>
      </c>
      <c r="G154">
        <v>0</v>
      </c>
      <c r="H154">
        <v>0</v>
      </c>
      <c r="I154">
        <v>0</v>
      </c>
      <c r="J154">
        <v>0</v>
      </c>
      <c r="K154">
        <v>0</v>
      </c>
      <c r="L154">
        <v>0</v>
      </c>
      <c r="M154">
        <v>0</v>
      </c>
      <c r="N154">
        <v>0</v>
      </c>
      <c r="O154">
        <v>0</v>
      </c>
      <c r="P154">
        <v>0</v>
      </c>
      <c r="Q154">
        <v>0</v>
      </c>
      <c r="R154">
        <v>0</v>
      </c>
      <c r="S154">
        <v>0</v>
      </c>
      <c r="T154">
        <v>0</v>
      </c>
      <c r="U154">
        <v>0</v>
      </c>
      <c r="V154">
        <v>0</v>
      </c>
      <c r="W154">
        <v>0</v>
      </c>
      <c r="X154">
        <v>0</v>
      </c>
      <c r="Y154">
        <v>0</v>
      </c>
      <c r="Z154">
        <v>0</v>
      </c>
      <c r="AA154">
        <v>0</v>
      </c>
      <c r="AB154">
        <v>0</v>
      </c>
    </row>
    <row r="155" spans="1:28">
      <c r="A155">
        <v>0</v>
      </c>
      <c r="B155">
        <v>0</v>
      </c>
      <c r="C155">
        <v>0</v>
      </c>
      <c r="D155">
        <v>0</v>
      </c>
      <c r="E155">
        <v>0</v>
      </c>
      <c r="F155">
        <v>0</v>
      </c>
      <c r="G155">
        <v>0</v>
      </c>
      <c r="H155">
        <v>0</v>
      </c>
      <c r="I155">
        <v>0</v>
      </c>
      <c r="J155">
        <v>0</v>
      </c>
      <c r="K155">
        <v>0</v>
      </c>
      <c r="L155">
        <v>0</v>
      </c>
      <c r="M155">
        <v>0</v>
      </c>
      <c r="N155">
        <v>0</v>
      </c>
      <c r="O155">
        <v>0</v>
      </c>
      <c r="P155">
        <v>0</v>
      </c>
      <c r="Q155">
        <v>0</v>
      </c>
      <c r="R155">
        <v>0</v>
      </c>
      <c r="S155">
        <v>0</v>
      </c>
      <c r="T155">
        <v>0</v>
      </c>
      <c r="U155">
        <v>0</v>
      </c>
      <c r="V155">
        <v>0</v>
      </c>
      <c r="W155">
        <v>0</v>
      </c>
      <c r="X155">
        <v>0</v>
      </c>
      <c r="Y155">
        <v>0</v>
      </c>
      <c r="Z155">
        <v>0</v>
      </c>
      <c r="AA155">
        <v>0</v>
      </c>
      <c r="AB155">
        <v>0</v>
      </c>
    </row>
    <row r="156" spans="1:28">
      <c r="A156">
        <v>0</v>
      </c>
      <c r="B156">
        <v>0</v>
      </c>
      <c r="C156">
        <v>0</v>
      </c>
      <c r="D156">
        <v>0</v>
      </c>
      <c r="E156">
        <v>0</v>
      </c>
      <c r="F156">
        <v>0</v>
      </c>
      <c r="G156">
        <v>0</v>
      </c>
      <c r="H156">
        <v>0</v>
      </c>
      <c r="I156">
        <v>0</v>
      </c>
      <c r="J156">
        <v>0</v>
      </c>
      <c r="K156">
        <v>0</v>
      </c>
      <c r="L156">
        <v>0</v>
      </c>
      <c r="M156">
        <v>0</v>
      </c>
      <c r="N156">
        <v>0</v>
      </c>
      <c r="O156">
        <v>0</v>
      </c>
      <c r="P156">
        <v>0</v>
      </c>
      <c r="Q156">
        <v>0</v>
      </c>
      <c r="R156">
        <v>0</v>
      </c>
      <c r="S156">
        <v>0</v>
      </c>
      <c r="T156">
        <v>0</v>
      </c>
      <c r="U156">
        <v>0</v>
      </c>
      <c r="V156">
        <v>0</v>
      </c>
      <c r="W156">
        <v>0</v>
      </c>
      <c r="X156">
        <v>0</v>
      </c>
      <c r="Y156">
        <v>0</v>
      </c>
      <c r="Z156">
        <v>0</v>
      </c>
      <c r="AA156">
        <v>0</v>
      </c>
      <c r="AB156">
        <v>0</v>
      </c>
    </row>
    <row r="157" spans="1:28">
      <c r="A157">
        <v>0</v>
      </c>
      <c r="B157">
        <v>0</v>
      </c>
      <c r="C157">
        <v>0</v>
      </c>
      <c r="D157">
        <v>0</v>
      </c>
      <c r="E157">
        <v>0</v>
      </c>
      <c r="F157">
        <v>0</v>
      </c>
      <c r="G157">
        <v>0</v>
      </c>
      <c r="H157">
        <v>0</v>
      </c>
      <c r="I157">
        <v>0</v>
      </c>
      <c r="J157">
        <v>0</v>
      </c>
      <c r="K157">
        <v>0</v>
      </c>
      <c r="L157">
        <v>0</v>
      </c>
      <c r="M157">
        <v>0</v>
      </c>
      <c r="N157">
        <v>0</v>
      </c>
      <c r="O157">
        <v>0</v>
      </c>
      <c r="P157">
        <v>0</v>
      </c>
      <c r="Q157">
        <v>0</v>
      </c>
      <c r="R157">
        <v>0</v>
      </c>
      <c r="S157">
        <v>0</v>
      </c>
      <c r="T157">
        <v>0</v>
      </c>
      <c r="U157">
        <v>0</v>
      </c>
      <c r="V157">
        <v>0</v>
      </c>
      <c r="W157">
        <v>0</v>
      </c>
      <c r="X157">
        <v>0</v>
      </c>
      <c r="Y157">
        <v>0</v>
      </c>
      <c r="Z157">
        <v>0</v>
      </c>
      <c r="AA157">
        <v>0</v>
      </c>
      <c r="AB157">
        <v>0</v>
      </c>
    </row>
    <row r="158" spans="1:28">
      <c r="A158">
        <v>0</v>
      </c>
      <c r="B158">
        <v>0</v>
      </c>
      <c r="C158">
        <v>0</v>
      </c>
      <c r="D158">
        <v>0</v>
      </c>
      <c r="E158">
        <v>0</v>
      </c>
      <c r="F158">
        <v>0</v>
      </c>
      <c r="G158">
        <v>0</v>
      </c>
      <c r="H158">
        <v>0</v>
      </c>
      <c r="I158">
        <v>0</v>
      </c>
      <c r="J158">
        <v>0</v>
      </c>
      <c r="K158">
        <v>0</v>
      </c>
      <c r="L158">
        <v>0</v>
      </c>
      <c r="M158">
        <v>0</v>
      </c>
      <c r="N158">
        <v>0</v>
      </c>
      <c r="O158">
        <v>0</v>
      </c>
      <c r="P158">
        <v>0</v>
      </c>
      <c r="Q158">
        <v>0</v>
      </c>
      <c r="R158">
        <v>0</v>
      </c>
      <c r="S158">
        <v>0</v>
      </c>
      <c r="T158">
        <v>0</v>
      </c>
      <c r="U158">
        <v>0</v>
      </c>
      <c r="V158">
        <v>0</v>
      </c>
      <c r="W158">
        <v>0</v>
      </c>
      <c r="X158">
        <v>0</v>
      </c>
      <c r="Y158">
        <v>0</v>
      </c>
      <c r="Z158">
        <v>0</v>
      </c>
      <c r="AA158">
        <v>0</v>
      </c>
      <c r="AB158">
        <v>0</v>
      </c>
    </row>
    <row r="159" spans="1:28">
      <c r="A159">
        <v>0</v>
      </c>
      <c r="B159">
        <v>0</v>
      </c>
      <c r="C159">
        <v>0</v>
      </c>
      <c r="D159">
        <v>0</v>
      </c>
      <c r="E159">
        <v>0</v>
      </c>
      <c r="F159">
        <v>0</v>
      </c>
      <c r="G159">
        <v>0</v>
      </c>
      <c r="H159">
        <v>0</v>
      </c>
      <c r="I159">
        <v>0</v>
      </c>
      <c r="J159">
        <v>0</v>
      </c>
      <c r="K159">
        <v>0</v>
      </c>
      <c r="L159">
        <v>0</v>
      </c>
      <c r="M159">
        <v>0</v>
      </c>
      <c r="N159">
        <v>0</v>
      </c>
      <c r="O159">
        <v>0</v>
      </c>
      <c r="P159">
        <v>0</v>
      </c>
      <c r="Q159">
        <v>0</v>
      </c>
      <c r="R159">
        <v>0</v>
      </c>
      <c r="S159">
        <v>0</v>
      </c>
      <c r="T159">
        <v>0</v>
      </c>
      <c r="U159">
        <v>0</v>
      </c>
      <c r="V159">
        <v>0</v>
      </c>
      <c r="W159">
        <v>0</v>
      </c>
      <c r="X159">
        <v>0</v>
      </c>
      <c r="Y159">
        <v>0</v>
      </c>
      <c r="Z159">
        <v>0</v>
      </c>
      <c r="AA159">
        <v>0</v>
      </c>
      <c r="AB159">
        <v>0</v>
      </c>
    </row>
    <row r="160" spans="1:28">
      <c r="A160">
        <v>0</v>
      </c>
      <c r="B160">
        <v>0</v>
      </c>
      <c r="C160">
        <v>0</v>
      </c>
      <c r="D160">
        <v>0</v>
      </c>
      <c r="E160">
        <v>0</v>
      </c>
      <c r="F160">
        <v>0</v>
      </c>
      <c r="G160">
        <v>0</v>
      </c>
      <c r="H160">
        <v>0</v>
      </c>
      <c r="I160">
        <v>0</v>
      </c>
      <c r="J160">
        <v>0</v>
      </c>
      <c r="K160">
        <v>0</v>
      </c>
      <c r="L160">
        <v>0</v>
      </c>
      <c r="M160">
        <v>0</v>
      </c>
      <c r="N160">
        <v>0</v>
      </c>
      <c r="O160">
        <v>0</v>
      </c>
      <c r="P160">
        <v>0</v>
      </c>
      <c r="Q160">
        <v>0</v>
      </c>
      <c r="R160">
        <v>0</v>
      </c>
      <c r="S160">
        <v>0</v>
      </c>
      <c r="T160">
        <v>0</v>
      </c>
      <c r="U160">
        <v>0</v>
      </c>
      <c r="V160">
        <v>0</v>
      </c>
      <c r="W160">
        <v>0</v>
      </c>
      <c r="X160">
        <v>0</v>
      </c>
      <c r="Y160">
        <v>0</v>
      </c>
      <c r="Z160">
        <v>0</v>
      </c>
      <c r="AA160">
        <v>0</v>
      </c>
      <c r="AB160">
        <v>0</v>
      </c>
    </row>
    <row r="161" spans="1:28">
      <c r="A161">
        <v>0</v>
      </c>
      <c r="B161">
        <v>0</v>
      </c>
      <c r="C161">
        <v>0</v>
      </c>
      <c r="D161">
        <v>0</v>
      </c>
      <c r="E161">
        <v>0</v>
      </c>
      <c r="F161">
        <v>0</v>
      </c>
      <c r="G161">
        <v>0</v>
      </c>
      <c r="H161">
        <v>0</v>
      </c>
      <c r="I161">
        <v>0</v>
      </c>
      <c r="J161">
        <v>0</v>
      </c>
      <c r="K161">
        <v>0</v>
      </c>
      <c r="L161">
        <v>0</v>
      </c>
      <c r="M161">
        <v>0</v>
      </c>
      <c r="N161">
        <v>0</v>
      </c>
      <c r="O161">
        <v>0</v>
      </c>
      <c r="P161">
        <v>0</v>
      </c>
      <c r="Q161">
        <v>0</v>
      </c>
      <c r="R161">
        <v>0</v>
      </c>
      <c r="S161">
        <v>0</v>
      </c>
      <c r="T161">
        <v>0</v>
      </c>
      <c r="U161">
        <v>0</v>
      </c>
      <c r="V161">
        <v>0</v>
      </c>
      <c r="W161">
        <v>0</v>
      </c>
      <c r="X161">
        <v>0</v>
      </c>
      <c r="Y161">
        <v>0</v>
      </c>
      <c r="Z161">
        <v>0</v>
      </c>
      <c r="AA161">
        <v>0</v>
      </c>
      <c r="AB161">
        <v>0</v>
      </c>
    </row>
    <row r="162" spans="1:28">
      <c r="A162">
        <v>0</v>
      </c>
      <c r="B162">
        <v>0</v>
      </c>
      <c r="C162">
        <v>0</v>
      </c>
      <c r="D162">
        <v>0</v>
      </c>
      <c r="E162">
        <v>0</v>
      </c>
      <c r="F162">
        <v>0</v>
      </c>
      <c r="G162">
        <v>0</v>
      </c>
      <c r="H162">
        <v>0</v>
      </c>
      <c r="I162">
        <v>0</v>
      </c>
      <c r="J162">
        <v>0</v>
      </c>
      <c r="K162">
        <v>0</v>
      </c>
      <c r="L162">
        <v>0</v>
      </c>
      <c r="M162">
        <v>0</v>
      </c>
      <c r="N162">
        <v>0</v>
      </c>
      <c r="O162">
        <v>0</v>
      </c>
      <c r="P162">
        <v>0</v>
      </c>
      <c r="Q162">
        <v>0</v>
      </c>
      <c r="R162">
        <v>0</v>
      </c>
      <c r="S162">
        <v>0</v>
      </c>
      <c r="T162">
        <v>0</v>
      </c>
      <c r="U162">
        <v>0</v>
      </c>
      <c r="V162">
        <v>0</v>
      </c>
      <c r="W162">
        <v>0</v>
      </c>
      <c r="X162">
        <v>0</v>
      </c>
      <c r="Y162">
        <v>0</v>
      </c>
      <c r="Z162">
        <v>0</v>
      </c>
      <c r="AA162">
        <v>0</v>
      </c>
      <c r="AB162">
        <v>0</v>
      </c>
    </row>
    <row r="163" spans="1:28">
      <c r="A163">
        <v>0</v>
      </c>
      <c r="B163">
        <v>0</v>
      </c>
      <c r="C163">
        <v>0</v>
      </c>
      <c r="D163">
        <v>0</v>
      </c>
      <c r="E163">
        <v>0</v>
      </c>
      <c r="F163">
        <v>0</v>
      </c>
      <c r="G163">
        <v>0</v>
      </c>
      <c r="H163">
        <v>0</v>
      </c>
      <c r="I163">
        <v>0</v>
      </c>
      <c r="J163">
        <v>0</v>
      </c>
      <c r="K163">
        <v>0</v>
      </c>
      <c r="L163">
        <v>0</v>
      </c>
      <c r="M163">
        <v>0</v>
      </c>
      <c r="N163">
        <v>0</v>
      </c>
      <c r="O163">
        <v>0</v>
      </c>
      <c r="P163">
        <v>0</v>
      </c>
      <c r="Q163">
        <v>0</v>
      </c>
      <c r="R163">
        <v>0</v>
      </c>
      <c r="S163">
        <v>0</v>
      </c>
      <c r="T163">
        <v>0</v>
      </c>
      <c r="U163">
        <v>0</v>
      </c>
      <c r="V163">
        <v>0</v>
      </c>
      <c r="W163">
        <v>0</v>
      </c>
      <c r="X163">
        <v>0</v>
      </c>
      <c r="Y163">
        <v>0</v>
      </c>
      <c r="Z163">
        <v>0</v>
      </c>
      <c r="AA163">
        <v>0</v>
      </c>
      <c r="AB163">
        <v>0</v>
      </c>
    </row>
    <row r="164" spans="1:28">
      <c r="A164">
        <v>0</v>
      </c>
      <c r="B164">
        <v>0</v>
      </c>
      <c r="C164">
        <v>0</v>
      </c>
      <c r="D164">
        <v>0</v>
      </c>
      <c r="E164">
        <v>0</v>
      </c>
      <c r="F164">
        <v>0</v>
      </c>
      <c r="G164">
        <v>0</v>
      </c>
      <c r="H164">
        <v>0</v>
      </c>
      <c r="I164">
        <v>0</v>
      </c>
      <c r="J164">
        <v>0</v>
      </c>
      <c r="K164">
        <v>0</v>
      </c>
      <c r="L164">
        <v>0</v>
      </c>
      <c r="M164">
        <v>0</v>
      </c>
      <c r="N164">
        <v>0</v>
      </c>
      <c r="O164">
        <v>0</v>
      </c>
      <c r="P164">
        <v>0</v>
      </c>
      <c r="Q164">
        <v>0</v>
      </c>
      <c r="R164">
        <v>0</v>
      </c>
      <c r="S164">
        <v>0</v>
      </c>
      <c r="T164">
        <v>0</v>
      </c>
      <c r="U164">
        <v>0</v>
      </c>
      <c r="V164">
        <v>0</v>
      </c>
      <c r="W164">
        <v>0</v>
      </c>
      <c r="X164">
        <v>0</v>
      </c>
      <c r="Y164">
        <v>0</v>
      </c>
      <c r="Z164">
        <v>0</v>
      </c>
      <c r="AA164">
        <v>0</v>
      </c>
      <c r="AB164">
        <v>0</v>
      </c>
    </row>
    <row r="165" spans="1:28">
      <c r="A165">
        <v>0</v>
      </c>
      <c r="B165">
        <v>0</v>
      </c>
      <c r="C165">
        <v>0</v>
      </c>
      <c r="D165">
        <v>0</v>
      </c>
      <c r="E165">
        <v>0</v>
      </c>
      <c r="F165">
        <v>0</v>
      </c>
      <c r="G165">
        <v>0</v>
      </c>
      <c r="H165">
        <v>0</v>
      </c>
      <c r="I165">
        <v>0</v>
      </c>
      <c r="J165">
        <v>0</v>
      </c>
      <c r="K165">
        <v>0</v>
      </c>
      <c r="L165">
        <v>0</v>
      </c>
      <c r="M165">
        <v>0</v>
      </c>
      <c r="N165">
        <v>0</v>
      </c>
      <c r="O165">
        <v>0</v>
      </c>
      <c r="P165">
        <v>0</v>
      </c>
      <c r="Q165">
        <v>0</v>
      </c>
      <c r="R165">
        <v>0</v>
      </c>
      <c r="S165">
        <v>0</v>
      </c>
      <c r="T165">
        <v>0</v>
      </c>
      <c r="U165">
        <v>0</v>
      </c>
      <c r="V165">
        <v>0</v>
      </c>
      <c r="W165">
        <v>0</v>
      </c>
      <c r="X165">
        <v>0</v>
      </c>
      <c r="Y165">
        <v>0</v>
      </c>
      <c r="Z165">
        <v>0</v>
      </c>
      <c r="AA165">
        <v>0</v>
      </c>
      <c r="AB165">
        <v>0</v>
      </c>
    </row>
    <row r="166" spans="1:28">
      <c r="A166">
        <v>0</v>
      </c>
      <c r="B166">
        <v>0</v>
      </c>
      <c r="C166">
        <v>0</v>
      </c>
      <c r="D166">
        <v>0</v>
      </c>
      <c r="E166">
        <v>0</v>
      </c>
      <c r="F166">
        <v>0</v>
      </c>
      <c r="G166">
        <v>0</v>
      </c>
      <c r="H166">
        <v>0</v>
      </c>
      <c r="I166">
        <v>0</v>
      </c>
      <c r="J166">
        <v>0</v>
      </c>
      <c r="K166">
        <v>0</v>
      </c>
      <c r="L166">
        <v>0</v>
      </c>
      <c r="M166">
        <v>0</v>
      </c>
      <c r="N166">
        <v>0</v>
      </c>
      <c r="O166">
        <v>0</v>
      </c>
      <c r="P166">
        <v>0</v>
      </c>
      <c r="Q166">
        <v>0</v>
      </c>
      <c r="R166">
        <v>0</v>
      </c>
      <c r="S166">
        <v>0</v>
      </c>
      <c r="T166">
        <v>0</v>
      </c>
      <c r="U166">
        <v>0</v>
      </c>
      <c r="V166">
        <v>0</v>
      </c>
      <c r="W166">
        <v>0</v>
      </c>
      <c r="X166">
        <v>0</v>
      </c>
      <c r="Y166">
        <v>0</v>
      </c>
      <c r="Z166">
        <v>0</v>
      </c>
      <c r="AA166">
        <v>0</v>
      </c>
      <c r="AB166">
        <v>0</v>
      </c>
    </row>
    <row r="167" spans="1:28">
      <c r="A167">
        <v>0</v>
      </c>
      <c r="B167">
        <v>0</v>
      </c>
      <c r="C167">
        <v>0</v>
      </c>
      <c r="D167">
        <v>0</v>
      </c>
      <c r="E167">
        <v>0</v>
      </c>
      <c r="F167">
        <v>0</v>
      </c>
      <c r="G167">
        <v>0</v>
      </c>
      <c r="H167">
        <v>0</v>
      </c>
      <c r="I167">
        <v>0</v>
      </c>
      <c r="J167">
        <v>0</v>
      </c>
      <c r="K167">
        <v>0</v>
      </c>
      <c r="L167">
        <v>0</v>
      </c>
      <c r="M167">
        <v>0</v>
      </c>
      <c r="N167">
        <v>0</v>
      </c>
      <c r="O167">
        <v>0</v>
      </c>
      <c r="P167">
        <v>0</v>
      </c>
      <c r="Q167">
        <v>0</v>
      </c>
      <c r="R167">
        <v>0</v>
      </c>
      <c r="S167">
        <v>0</v>
      </c>
      <c r="T167">
        <v>0</v>
      </c>
      <c r="U167">
        <v>0</v>
      </c>
      <c r="V167">
        <v>0</v>
      </c>
      <c r="W167">
        <v>0</v>
      </c>
      <c r="X167">
        <v>0</v>
      </c>
      <c r="Y167">
        <v>0</v>
      </c>
      <c r="Z167">
        <v>0</v>
      </c>
      <c r="AA167">
        <v>0</v>
      </c>
      <c r="AB167">
        <v>0</v>
      </c>
    </row>
    <row r="168" spans="1:28">
      <c r="A168">
        <v>0</v>
      </c>
      <c r="B168">
        <v>0</v>
      </c>
      <c r="C168">
        <v>0</v>
      </c>
      <c r="D168">
        <v>0</v>
      </c>
      <c r="E168">
        <v>0</v>
      </c>
      <c r="F168">
        <v>0</v>
      </c>
      <c r="G168">
        <v>0</v>
      </c>
      <c r="H168">
        <v>0</v>
      </c>
      <c r="I168">
        <v>0</v>
      </c>
      <c r="J168">
        <v>0</v>
      </c>
      <c r="K168">
        <v>0</v>
      </c>
      <c r="L168">
        <v>0</v>
      </c>
      <c r="M168">
        <v>0</v>
      </c>
      <c r="N168">
        <v>0</v>
      </c>
      <c r="O168">
        <v>0</v>
      </c>
      <c r="P168">
        <v>0</v>
      </c>
      <c r="Q168">
        <v>0</v>
      </c>
      <c r="R168">
        <v>0</v>
      </c>
      <c r="S168">
        <v>0</v>
      </c>
      <c r="T168">
        <v>0</v>
      </c>
      <c r="U168">
        <v>0</v>
      </c>
      <c r="V168">
        <v>0</v>
      </c>
      <c r="W168">
        <v>0</v>
      </c>
      <c r="X168">
        <v>0</v>
      </c>
      <c r="Y168">
        <v>0</v>
      </c>
      <c r="Z168">
        <v>0</v>
      </c>
      <c r="AA168">
        <v>0</v>
      </c>
      <c r="AB168">
        <v>0</v>
      </c>
    </row>
    <row r="169" spans="1:28">
      <c r="A169">
        <v>0</v>
      </c>
      <c r="B169">
        <v>0</v>
      </c>
      <c r="C169">
        <v>0</v>
      </c>
      <c r="D169">
        <v>0</v>
      </c>
      <c r="E169">
        <v>0</v>
      </c>
      <c r="F169">
        <v>0</v>
      </c>
      <c r="G169">
        <v>0</v>
      </c>
      <c r="H169">
        <v>0</v>
      </c>
      <c r="I169">
        <v>0</v>
      </c>
      <c r="J169">
        <v>0</v>
      </c>
      <c r="K169">
        <v>0</v>
      </c>
      <c r="L169">
        <v>0</v>
      </c>
      <c r="M169">
        <v>0</v>
      </c>
      <c r="N169">
        <v>0</v>
      </c>
      <c r="O169">
        <v>0</v>
      </c>
      <c r="P169">
        <v>0</v>
      </c>
      <c r="Q169">
        <v>0</v>
      </c>
      <c r="R169">
        <v>0</v>
      </c>
      <c r="S169">
        <v>0</v>
      </c>
      <c r="T169">
        <v>0</v>
      </c>
      <c r="U169">
        <v>0</v>
      </c>
      <c r="V169">
        <v>0</v>
      </c>
      <c r="W169">
        <v>0</v>
      </c>
      <c r="X169">
        <v>0</v>
      </c>
      <c r="Y169">
        <v>0</v>
      </c>
      <c r="Z169">
        <v>0</v>
      </c>
      <c r="AA169">
        <v>0</v>
      </c>
      <c r="AB169">
        <v>0</v>
      </c>
    </row>
    <row r="170" spans="1:28">
      <c r="A170">
        <v>0</v>
      </c>
      <c r="B170">
        <v>0</v>
      </c>
      <c r="C170">
        <v>0</v>
      </c>
      <c r="D170">
        <v>0</v>
      </c>
      <c r="E170">
        <v>0</v>
      </c>
      <c r="F170">
        <v>0</v>
      </c>
      <c r="G170">
        <v>0</v>
      </c>
      <c r="H170">
        <v>0</v>
      </c>
      <c r="I170">
        <v>0</v>
      </c>
      <c r="J170">
        <v>0</v>
      </c>
      <c r="K170">
        <v>0</v>
      </c>
      <c r="L170">
        <v>0</v>
      </c>
      <c r="M170">
        <v>0</v>
      </c>
      <c r="N170">
        <v>0</v>
      </c>
      <c r="O170">
        <v>0</v>
      </c>
      <c r="P170">
        <v>0</v>
      </c>
      <c r="Q170">
        <v>0</v>
      </c>
      <c r="R170">
        <v>0</v>
      </c>
      <c r="S170">
        <v>0</v>
      </c>
      <c r="T170">
        <v>0</v>
      </c>
      <c r="U170">
        <v>0</v>
      </c>
      <c r="V170">
        <v>0</v>
      </c>
      <c r="W170">
        <v>0</v>
      </c>
      <c r="X170">
        <v>0</v>
      </c>
      <c r="Y170">
        <v>0</v>
      </c>
      <c r="Z170">
        <v>0</v>
      </c>
      <c r="AA170">
        <v>0</v>
      </c>
      <c r="AB170">
        <v>0</v>
      </c>
    </row>
    <row r="171" spans="1:28">
      <c r="A171">
        <v>0</v>
      </c>
      <c r="B171">
        <v>0</v>
      </c>
      <c r="C171">
        <v>0</v>
      </c>
      <c r="D171">
        <v>0</v>
      </c>
      <c r="E171">
        <v>0</v>
      </c>
      <c r="F171">
        <v>0</v>
      </c>
      <c r="G171">
        <v>0</v>
      </c>
      <c r="H171">
        <v>0</v>
      </c>
      <c r="I171">
        <v>0</v>
      </c>
      <c r="J171">
        <v>0</v>
      </c>
      <c r="K171">
        <v>0</v>
      </c>
      <c r="L171">
        <v>0</v>
      </c>
      <c r="M171">
        <v>0</v>
      </c>
      <c r="N171">
        <v>0</v>
      </c>
      <c r="O171">
        <v>0</v>
      </c>
      <c r="P171">
        <v>0</v>
      </c>
      <c r="Q171">
        <v>0</v>
      </c>
      <c r="R171">
        <v>0</v>
      </c>
      <c r="S171">
        <v>0</v>
      </c>
      <c r="T171">
        <v>0</v>
      </c>
      <c r="U171">
        <v>0</v>
      </c>
      <c r="V171">
        <v>0</v>
      </c>
      <c r="W171">
        <v>0</v>
      </c>
      <c r="X171">
        <v>0</v>
      </c>
      <c r="Y171">
        <v>0</v>
      </c>
      <c r="Z171">
        <v>0</v>
      </c>
      <c r="AA171">
        <v>0</v>
      </c>
      <c r="AB171">
        <v>0</v>
      </c>
    </row>
    <row r="172" spans="1:28">
      <c r="A172">
        <v>0</v>
      </c>
      <c r="B172">
        <v>0</v>
      </c>
      <c r="C172">
        <v>0</v>
      </c>
      <c r="D172">
        <v>0</v>
      </c>
      <c r="E172">
        <v>0</v>
      </c>
      <c r="F172">
        <v>0</v>
      </c>
      <c r="G172">
        <v>0</v>
      </c>
      <c r="H172">
        <v>0</v>
      </c>
      <c r="I172">
        <v>0</v>
      </c>
      <c r="J172">
        <v>0</v>
      </c>
      <c r="K172">
        <v>0</v>
      </c>
      <c r="L172">
        <v>0</v>
      </c>
      <c r="M172">
        <v>0</v>
      </c>
      <c r="N172">
        <v>0</v>
      </c>
      <c r="O172">
        <v>0</v>
      </c>
      <c r="P172">
        <v>0</v>
      </c>
      <c r="Q172">
        <v>0</v>
      </c>
      <c r="R172">
        <v>0</v>
      </c>
      <c r="S172">
        <v>0</v>
      </c>
      <c r="T172">
        <v>0</v>
      </c>
      <c r="U172">
        <v>0</v>
      </c>
      <c r="V172">
        <v>0</v>
      </c>
      <c r="W172">
        <v>0</v>
      </c>
      <c r="X172">
        <v>0</v>
      </c>
      <c r="Y172">
        <v>0</v>
      </c>
      <c r="Z172">
        <v>0</v>
      </c>
      <c r="AA172">
        <v>0</v>
      </c>
      <c r="AB172">
        <v>0</v>
      </c>
    </row>
    <row r="173" spans="1:28">
      <c r="A173">
        <v>0</v>
      </c>
      <c r="B173">
        <v>0</v>
      </c>
      <c r="C173">
        <v>0</v>
      </c>
      <c r="D173">
        <v>0</v>
      </c>
      <c r="E173">
        <v>0</v>
      </c>
      <c r="F173">
        <v>0</v>
      </c>
      <c r="G173">
        <v>0</v>
      </c>
      <c r="H173">
        <v>0</v>
      </c>
      <c r="I173">
        <v>0</v>
      </c>
      <c r="J173">
        <v>0</v>
      </c>
      <c r="K173">
        <v>0</v>
      </c>
      <c r="L173">
        <v>0</v>
      </c>
      <c r="M173">
        <v>0</v>
      </c>
      <c r="N173">
        <v>0</v>
      </c>
      <c r="O173">
        <v>0</v>
      </c>
      <c r="P173">
        <v>0</v>
      </c>
      <c r="Q173">
        <v>0</v>
      </c>
      <c r="R173">
        <v>0</v>
      </c>
      <c r="S173">
        <v>0</v>
      </c>
      <c r="T173">
        <v>0</v>
      </c>
      <c r="U173">
        <v>0</v>
      </c>
      <c r="V173">
        <v>0</v>
      </c>
      <c r="W173">
        <v>0</v>
      </c>
      <c r="X173">
        <v>0</v>
      </c>
      <c r="Y173">
        <v>0</v>
      </c>
      <c r="Z173">
        <v>0</v>
      </c>
      <c r="AA173">
        <v>0</v>
      </c>
      <c r="AB173">
        <v>0</v>
      </c>
    </row>
    <row r="174" spans="1:28">
      <c r="A174">
        <v>0</v>
      </c>
      <c r="B174">
        <v>0</v>
      </c>
      <c r="C174">
        <v>0</v>
      </c>
      <c r="D174">
        <v>0</v>
      </c>
      <c r="E174">
        <v>0</v>
      </c>
      <c r="F174">
        <v>0</v>
      </c>
      <c r="G174">
        <v>0</v>
      </c>
      <c r="H174">
        <v>0</v>
      </c>
      <c r="I174">
        <v>0</v>
      </c>
      <c r="J174">
        <v>0</v>
      </c>
      <c r="K174">
        <v>0</v>
      </c>
      <c r="L174">
        <v>0</v>
      </c>
      <c r="M174">
        <v>0</v>
      </c>
      <c r="N174">
        <v>0</v>
      </c>
      <c r="O174">
        <v>0</v>
      </c>
      <c r="P174">
        <v>0</v>
      </c>
      <c r="Q174">
        <v>0</v>
      </c>
      <c r="R174">
        <v>0</v>
      </c>
      <c r="S174">
        <v>0</v>
      </c>
      <c r="T174">
        <v>0</v>
      </c>
      <c r="U174">
        <v>0</v>
      </c>
      <c r="V174">
        <v>0</v>
      </c>
      <c r="W174">
        <v>0</v>
      </c>
      <c r="X174">
        <v>0</v>
      </c>
      <c r="Y174">
        <v>0</v>
      </c>
      <c r="Z174">
        <v>0</v>
      </c>
      <c r="AA174">
        <v>0</v>
      </c>
      <c r="AB174">
        <v>0</v>
      </c>
    </row>
    <row r="175" spans="1:28">
      <c r="A175">
        <v>0</v>
      </c>
      <c r="B175">
        <v>0</v>
      </c>
      <c r="C175">
        <v>0</v>
      </c>
      <c r="D175">
        <v>0</v>
      </c>
      <c r="E175">
        <v>0</v>
      </c>
      <c r="F175">
        <v>0</v>
      </c>
      <c r="G175">
        <v>0</v>
      </c>
      <c r="H175">
        <v>0</v>
      </c>
      <c r="I175">
        <v>0</v>
      </c>
      <c r="J175">
        <v>0</v>
      </c>
      <c r="K175">
        <v>0</v>
      </c>
      <c r="L175">
        <v>0</v>
      </c>
      <c r="M175">
        <v>0</v>
      </c>
      <c r="N175">
        <v>0</v>
      </c>
      <c r="O175">
        <v>0</v>
      </c>
      <c r="P175">
        <v>0</v>
      </c>
      <c r="Q175">
        <v>0</v>
      </c>
      <c r="R175">
        <v>0</v>
      </c>
      <c r="S175">
        <v>0</v>
      </c>
      <c r="T175">
        <v>0</v>
      </c>
      <c r="U175">
        <v>0</v>
      </c>
      <c r="V175">
        <v>0</v>
      </c>
      <c r="W175">
        <v>0</v>
      </c>
      <c r="X175">
        <v>0</v>
      </c>
      <c r="Y175">
        <v>0</v>
      </c>
      <c r="Z175">
        <v>0</v>
      </c>
      <c r="AA175">
        <v>0</v>
      </c>
      <c r="AB175">
        <v>0</v>
      </c>
    </row>
    <row r="176" spans="1:28">
      <c r="A176">
        <v>0</v>
      </c>
      <c r="B176">
        <v>0</v>
      </c>
      <c r="C176">
        <v>0</v>
      </c>
      <c r="D176">
        <v>0</v>
      </c>
      <c r="E176">
        <v>0</v>
      </c>
      <c r="F176">
        <v>0</v>
      </c>
      <c r="G176">
        <v>0</v>
      </c>
      <c r="H176">
        <v>0</v>
      </c>
      <c r="I176">
        <v>0</v>
      </c>
      <c r="J176">
        <v>0</v>
      </c>
      <c r="K176">
        <v>0</v>
      </c>
      <c r="L176">
        <v>0</v>
      </c>
      <c r="M176">
        <v>0</v>
      </c>
      <c r="N176">
        <v>0</v>
      </c>
      <c r="O176">
        <v>0</v>
      </c>
      <c r="P176">
        <v>0</v>
      </c>
      <c r="Q176">
        <v>0</v>
      </c>
      <c r="R176">
        <v>0</v>
      </c>
      <c r="S176">
        <v>0</v>
      </c>
      <c r="T176">
        <v>0</v>
      </c>
      <c r="U176">
        <v>0</v>
      </c>
      <c r="V176">
        <v>0</v>
      </c>
      <c r="W176">
        <v>0</v>
      </c>
      <c r="X176">
        <v>0</v>
      </c>
      <c r="Y176">
        <v>0</v>
      </c>
      <c r="Z176">
        <v>0</v>
      </c>
      <c r="AA176">
        <v>0</v>
      </c>
      <c r="AB176">
        <v>0</v>
      </c>
    </row>
    <row r="177" spans="1:28">
      <c r="A177">
        <v>0</v>
      </c>
      <c r="B177">
        <v>0</v>
      </c>
      <c r="C177">
        <v>0</v>
      </c>
      <c r="D177">
        <v>0</v>
      </c>
      <c r="E177">
        <v>0</v>
      </c>
      <c r="F177">
        <v>0</v>
      </c>
      <c r="G177">
        <v>0</v>
      </c>
      <c r="H177">
        <v>0</v>
      </c>
      <c r="I177">
        <v>0</v>
      </c>
      <c r="J177">
        <v>0</v>
      </c>
      <c r="K177">
        <v>0</v>
      </c>
      <c r="L177">
        <v>0</v>
      </c>
      <c r="M177">
        <v>0</v>
      </c>
      <c r="N177">
        <v>0</v>
      </c>
      <c r="O177">
        <v>0</v>
      </c>
      <c r="P177">
        <v>0</v>
      </c>
      <c r="Q177">
        <v>0</v>
      </c>
      <c r="R177">
        <v>0</v>
      </c>
      <c r="S177">
        <v>0</v>
      </c>
      <c r="T177">
        <v>0</v>
      </c>
      <c r="U177">
        <v>0</v>
      </c>
      <c r="V177">
        <v>0</v>
      </c>
      <c r="W177">
        <v>0</v>
      </c>
      <c r="X177">
        <v>0</v>
      </c>
      <c r="Y177">
        <v>0</v>
      </c>
      <c r="Z177">
        <v>0</v>
      </c>
      <c r="AA177">
        <v>0</v>
      </c>
      <c r="AB177">
        <v>0</v>
      </c>
    </row>
    <row r="178" spans="1:28">
      <c r="A178">
        <v>0</v>
      </c>
      <c r="B178">
        <v>0</v>
      </c>
      <c r="C178">
        <v>0</v>
      </c>
      <c r="D178">
        <v>0</v>
      </c>
      <c r="E178">
        <v>0</v>
      </c>
      <c r="F178">
        <v>0</v>
      </c>
      <c r="G178">
        <v>0</v>
      </c>
      <c r="H178">
        <v>0</v>
      </c>
      <c r="I178">
        <v>0</v>
      </c>
      <c r="J178">
        <v>0</v>
      </c>
      <c r="K178">
        <v>0</v>
      </c>
      <c r="L178">
        <v>0</v>
      </c>
      <c r="M178">
        <v>0</v>
      </c>
      <c r="N178">
        <v>0</v>
      </c>
      <c r="O178">
        <v>0</v>
      </c>
      <c r="P178">
        <v>0</v>
      </c>
      <c r="Q178">
        <v>0</v>
      </c>
      <c r="R178">
        <v>0</v>
      </c>
      <c r="S178">
        <v>0</v>
      </c>
      <c r="T178">
        <v>0</v>
      </c>
      <c r="U178">
        <v>0</v>
      </c>
      <c r="V178">
        <v>0</v>
      </c>
      <c r="W178">
        <v>0</v>
      </c>
      <c r="X178">
        <v>0</v>
      </c>
      <c r="Y178">
        <v>0</v>
      </c>
      <c r="Z178">
        <v>0</v>
      </c>
      <c r="AA178">
        <v>0</v>
      </c>
      <c r="AB178">
        <v>0</v>
      </c>
    </row>
    <row r="179" spans="1:28">
      <c r="A179">
        <v>0</v>
      </c>
      <c r="B179">
        <v>0</v>
      </c>
      <c r="C179">
        <v>0</v>
      </c>
      <c r="D179">
        <v>0</v>
      </c>
      <c r="E179">
        <v>0</v>
      </c>
      <c r="F179">
        <v>0</v>
      </c>
      <c r="G179">
        <v>0</v>
      </c>
      <c r="H179">
        <v>0</v>
      </c>
      <c r="I179">
        <v>0</v>
      </c>
      <c r="J179">
        <v>0</v>
      </c>
      <c r="K179">
        <v>0</v>
      </c>
      <c r="L179">
        <v>0</v>
      </c>
      <c r="M179">
        <v>0</v>
      </c>
      <c r="N179">
        <v>0</v>
      </c>
      <c r="O179">
        <v>0</v>
      </c>
      <c r="P179">
        <v>0</v>
      </c>
      <c r="Q179">
        <v>0</v>
      </c>
      <c r="R179">
        <v>0</v>
      </c>
      <c r="S179">
        <v>0</v>
      </c>
      <c r="T179">
        <v>0</v>
      </c>
      <c r="U179">
        <v>0</v>
      </c>
      <c r="V179">
        <v>0</v>
      </c>
      <c r="W179">
        <v>0</v>
      </c>
      <c r="X179">
        <v>0</v>
      </c>
      <c r="Y179">
        <v>0</v>
      </c>
      <c r="Z179">
        <v>0</v>
      </c>
      <c r="AA179">
        <v>0</v>
      </c>
      <c r="AB179">
        <v>0</v>
      </c>
    </row>
    <row r="180" spans="1:28">
      <c r="A180">
        <v>0</v>
      </c>
      <c r="B180">
        <v>0</v>
      </c>
      <c r="C180">
        <v>0</v>
      </c>
      <c r="D180">
        <v>0</v>
      </c>
      <c r="E180">
        <v>0</v>
      </c>
      <c r="F180">
        <v>0</v>
      </c>
      <c r="G180">
        <v>0</v>
      </c>
      <c r="H180">
        <v>0</v>
      </c>
      <c r="I180">
        <v>0</v>
      </c>
      <c r="J180">
        <v>0</v>
      </c>
      <c r="K180">
        <v>0</v>
      </c>
      <c r="L180">
        <v>0</v>
      </c>
      <c r="M180">
        <v>0</v>
      </c>
      <c r="N180">
        <v>0</v>
      </c>
      <c r="O180">
        <v>0</v>
      </c>
      <c r="P180">
        <v>0</v>
      </c>
      <c r="Q180">
        <v>0</v>
      </c>
      <c r="R180">
        <v>0</v>
      </c>
      <c r="S180">
        <v>0</v>
      </c>
      <c r="T180">
        <v>0</v>
      </c>
      <c r="U180">
        <v>0</v>
      </c>
      <c r="V180">
        <v>0</v>
      </c>
      <c r="W180">
        <v>0</v>
      </c>
      <c r="X180">
        <v>0</v>
      </c>
      <c r="Y180">
        <v>0</v>
      </c>
      <c r="Z180">
        <v>0</v>
      </c>
      <c r="AA180">
        <v>0</v>
      </c>
      <c r="AB180">
        <v>0</v>
      </c>
    </row>
    <row r="181" spans="1:28">
      <c r="A181">
        <v>0</v>
      </c>
      <c r="B181">
        <v>0</v>
      </c>
      <c r="C181">
        <v>0</v>
      </c>
      <c r="D181">
        <v>0</v>
      </c>
      <c r="E181">
        <v>0</v>
      </c>
      <c r="F181">
        <v>0</v>
      </c>
      <c r="G181">
        <v>0</v>
      </c>
      <c r="H181">
        <v>0</v>
      </c>
      <c r="I181">
        <v>0</v>
      </c>
      <c r="J181">
        <v>0</v>
      </c>
      <c r="K181">
        <v>0</v>
      </c>
      <c r="L181">
        <v>0</v>
      </c>
      <c r="M181">
        <v>0</v>
      </c>
      <c r="N181">
        <v>0</v>
      </c>
      <c r="O181">
        <v>0</v>
      </c>
      <c r="P181">
        <v>0</v>
      </c>
      <c r="Q181">
        <v>0</v>
      </c>
      <c r="R181">
        <v>0</v>
      </c>
      <c r="S181">
        <v>0</v>
      </c>
      <c r="T181">
        <v>0</v>
      </c>
      <c r="U181">
        <v>0</v>
      </c>
      <c r="V181">
        <v>0</v>
      </c>
      <c r="W181">
        <v>0</v>
      </c>
      <c r="X181">
        <v>0</v>
      </c>
      <c r="Y181">
        <v>0</v>
      </c>
      <c r="Z181">
        <v>0</v>
      </c>
      <c r="AA181">
        <v>0</v>
      </c>
      <c r="AB181">
        <v>0</v>
      </c>
    </row>
    <row r="182" spans="1:28">
      <c r="A182">
        <v>0</v>
      </c>
      <c r="B182">
        <v>0</v>
      </c>
      <c r="C182">
        <v>0</v>
      </c>
      <c r="D182">
        <v>0</v>
      </c>
      <c r="E182">
        <v>0</v>
      </c>
      <c r="F182">
        <v>0</v>
      </c>
      <c r="G182">
        <v>0</v>
      </c>
      <c r="H182">
        <v>0</v>
      </c>
      <c r="I182">
        <v>0</v>
      </c>
      <c r="J182">
        <v>0</v>
      </c>
      <c r="K182">
        <v>0</v>
      </c>
      <c r="L182">
        <v>0</v>
      </c>
      <c r="M182">
        <v>0</v>
      </c>
      <c r="N182">
        <v>0</v>
      </c>
      <c r="O182">
        <v>0</v>
      </c>
      <c r="P182">
        <v>0</v>
      </c>
      <c r="Q182">
        <v>0</v>
      </c>
      <c r="R182">
        <v>0</v>
      </c>
      <c r="S182">
        <v>0</v>
      </c>
      <c r="T182">
        <v>0</v>
      </c>
      <c r="U182">
        <v>0</v>
      </c>
      <c r="V182">
        <v>0</v>
      </c>
      <c r="W182">
        <v>0</v>
      </c>
      <c r="X182">
        <v>0</v>
      </c>
      <c r="Y182">
        <v>0</v>
      </c>
      <c r="Z182">
        <v>0</v>
      </c>
      <c r="AA182">
        <v>0</v>
      </c>
      <c r="AB182">
        <v>0</v>
      </c>
    </row>
    <row r="183" spans="1:28">
      <c r="A183">
        <v>0</v>
      </c>
      <c r="B183">
        <v>0</v>
      </c>
      <c r="C183">
        <v>0</v>
      </c>
      <c r="D183">
        <v>0</v>
      </c>
      <c r="E183">
        <v>0</v>
      </c>
      <c r="F183">
        <v>0</v>
      </c>
      <c r="G183">
        <v>0</v>
      </c>
      <c r="H183">
        <v>0</v>
      </c>
      <c r="I183">
        <v>0</v>
      </c>
      <c r="J183">
        <v>0</v>
      </c>
      <c r="K183">
        <v>0</v>
      </c>
      <c r="L183">
        <v>0</v>
      </c>
      <c r="M183">
        <v>0</v>
      </c>
      <c r="N183">
        <v>0</v>
      </c>
      <c r="O183">
        <v>0</v>
      </c>
      <c r="P183">
        <v>0</v>
      </c>
      <c r="Q183">
        <v>0</v>
      </c>
      <c r="R183">
        <v>0</v>
      </c>
      <c r="S183">
        <v>0</v>
      </c>
      <c r="T183">
        <v>0</v>
      </c>
      <c r="U183">
        <v>0</v>
      </c>
      <c r="V183">
        <v>0</v>
      </c>
      <c r="W183">
        <v>0</v>
      </c>
      <c r="X183">
        <v>0</v>
      </c>
      <c r="Y183">
        <v>0</v>
      </c>
      <c r="Z183">
        <v>0</v>
      </c>
      <c r="AA183">
        <v>0</v>
      </c>
      <c r="AB183">
        <v>0</v>
      </c>
    </row>
    <row r="184" spans="1:28">
      <c r="A184">
        <v>0</v>
      </c>
      <c r="B184">
        <v>0</v>
      </c>
      <c r="C184">
        <v>0</v>
      </c>
      <c r="D184">
        <v>0</v>
      </c>
      <c r="E184">
        <v>0</v>
      </c>
      <c r="F184">
        <v>0</v>
      </c>
      <c r="G184">
        <v>0</v>
      </c>
      <c r="H184">
        <v>0</v>
      </c>
      <c r="I184">
        <v>0</v>
      </c>
      <c r="J184">
        <v>0</v>
      </c>
      <c r="K184">
        <v>0</v>
      </c>
      <c r="L184">
        <v>0</v>
      </c>
      <c r="M184">
        <v>0</v>
      </c>
      <c r="N184">
        <v>0</v>
      </c>
      <c r="O184">
        <v>0</v>
      </c>
      <c r="P184">
        <v>0</v>
      </c>
      <c r="Q184">
        <v>0</v>
      </c>
      <c r="R184">
        <v>0</v>
      </c>
      <c r="S184">
        <v>0</v>
      </c>
      <c r="T184">
        <v>0</v>
      </c>
      <c r="U184">
        <v>0</v>
      </c>
      <c r="V184">
        <v>0</v>
      </c>
      <c r="W184">
        <v>0</v>
      </c>
      <c r="X184">
        <v>0</v>
      </c>
      <c r="Y184">
        <v>0</v>
      </c>
      <c r="Z184">
        <v>0</v>
      </c>
      <c r="AA184">
        <v>0</v>
      </c>
      <c r="AB184">
        <v>0</v>
      </c>
    </row>
    <row r="185" spans="1:28">
      <c r="A185">
        <v>0</v>
      </c>
      <c r="B185">
        <v>0</v>
      </c>
      <c r="C185">
        <v>0</v>
      </c>
      <c r="D185">
        <v>0</v>
      </c>
      <c r="E185">
        <v>0</v>
      </c>
      <c r="F185">
        <v>0</v>
      </c>
      <c r="G185">
        <v>0</v>
      </c>
      <c r="H185">
        <v>0</v>
      </c>
      <c r="I185">
        <v>0</v>
      </c>
      <c r="J185">
        <v>0</v>
      </c>
      <c r="K185">
        <v>0</v>
      </c>
      <c r="L185">
        <v>0</v>
      </c>
      <c r="M185">
        <v>0</v>
      </c>
      <c r="N185">
        <v>0</v>
      </c>
      <c r="O185">
        <v>0</v>
      </c>
      <c r="P185">
        <v>0</v>
      </c>
      <c r="Q185">
        <v>0</v>
      </c>
      <c r="R185">
        <v>0</v>
      </c>
      <c r="S185">
        <v>0</v>
      </c>
      <c r="T185">
        <v>0</v>
      </c>
      <c r="U185">
        <v>0</v>
      </c>
      <c r="V185">
        <v>0</v>
      </c>
      <c r="W185">
        <v>0</v>
      </c>
      <c r="X185">
        <v>0</v>
      </c>
      <c r="Y185">
        <v>0</v>
      </c>
      <c r="Z185">
        <v>0</v>
      </c>
      <c r="AA185">
        <v>0</v>
      </c>
      <c r="AB185">
        <v>0</v>
      </c>
    </row>
    <row r="186" spans="1:28">
      <c r="A186">
        <v>0</v>
      </c>
      <c r="B186">
        <v>0</v>
      </c>
      <c r="C186">
        <v>0</v>
      </c>
      <c r="D186">
        <v>0</v>
      </c>
      <c r="E186">
        <v>0</v>
      </c>
      <c r="F186">
        <v>0</v>
      </c>
      <c r="G186">
        <v>0</v>
      </c>
      <c r="H186">
        <v>0</v>
      </c>
      <c r="I186">
        <v>0</v>
      </c>
      <c r="J186">
        <v>0</v>
      </c>
      <c r="K186">
        <v>0</v>
      </c>
      <c r="L186">
        <v>0</v>
      </c>
      <c r="M186">
        <v>0</v>
      </c>
      <c r="N186">
        <v>0</v>
      </c>
      <c r="O186">
        <v>0</v>
      </c>
      <c r="P186">
        <v>0</v>
      </c>
      <c r="Q186">
        <v>0</v>
      </c>
      <c r="R186">
        <v>0</v>
      </c>
      <c r="S186">
        <v>0</v>
      </c>
      <c r="T186">
        <v>0</v>
      </c>
      <c r="U186">
        <v>0</v>
      </c>
      <c r="V186">
        <v>0</v>
      </c>
      <c r="W186">
        <v>0</v>
      </c>
      <c r="X186">
        <v>0</v>
      </c>
      <c r="Y186">
        <v>0</v>
      </c>
      <c r="Z186">
        <v>0</v>
      </c>
      <c r="AA186">
        <v>0</v>
      </c>
      <c r="AB186">
        <v>0</v>
      </c>
    </row>
    <row r="187" spans="1:28">
      <c r="A187">
        <v>0</v>
      </c>
      <c r="B187">
        <v>0</v>
      </c>
      <c r="C187">
        <v>0</v>
      </c>
      <c r="D187">
        <v>0</v>
      </c>
      <c r="E187">
        <v>0</v>
      </c>
      <c r="F187">
        <v>0</v>
      </c>
      <c r="G187">
        <v>0</v>
      </c>
      <c r="H187">
        <v>0</v>
      </c>
      <c r="I187">
        <v>0</v>
      </c>
      <c r="J187">
        <v>0</v>
      </c>
      <c r="K187">
        <v>0</v>
      </c>
      <c r="L187">
        <v>0</v>
      </c>
      <c r="M187">
        <v>0</v>
      </c>
      <c r="N187">
        <v>0</v>
      </c>
      <c r="O187">
        <v>0</v>
      </c>
      <c r="P187">
        <v>0</v>
      </c>
      <c r="Q187">
        <v>0</v>
      </c>
      <c r="R187">
        <v>0</v>
      </c>
      <c r="S187">
        <v>0</v>
      </c>
      <c r="T187">
        <v>0</v>
      </c>
      <c r="U187">
        <v>0</v>
      </c>
      <c r="V187">
        <v>0</v>
      </c>
      <c r="W187">
        <v>0</v>
      </c>
      <c r="X187">
        <v>0</v>
      </c>
      <c r="Y187">
        <v>0</v>
      </c>
      <c r="Z187">
        <v>0</v>
      </c>
      <c r="AA187">
        <v>0</v>
      </c>
      <c r="AB187">
        <v>0</v>
      </c>
    </row>
    <row r="188" spans="1:28">
      <c r="A188">
        <v>0</v>
      </c>
      <c r="B188">
        <v>0</v>
      </c>
      <c r="C188">
        <v>0</v>
      </c>
      <c r="D188">
        <v>0</v>
      </c>
      <c r="E188">
        <v>0</v>
      </c>
      <c r="F188">
        <v>0</v>
      </c>
      <c r="G188">
        <v>0</v>
      </c>
      <c r="H188">
        <v>0</v>
      </c>
      <c r="I188">
        <v>0</v>
      </c>
      <c r="J188">
        <v>0</v>
      </c>
      <c r="K188">
        <v>0</v>
      </c>
      <c r="L188">
        <v>0</v>
      </c>
      <c r="M188">
        <v>0</v>
      </c>
      <c r="N188">
        <v>0</v>
      </c>
      <c r="O188">
        <v>0</v>
      </c>
      <c r="P188">
        <v>0</v>
      </c>
      <c r="Q188">
        <v>0</v>
      </c>
      <c r="R188">
        <v>0</v>
      </c>
      <c r="S188">
        <v>0</v>
      </c>
      <c r="T188">
        <v>0</v>
      </c>
      <c r="U188">
        <v>0</v>
      </c>
      <c r="V188">
        <v>0</v>
      </c>
      <c r="W188">
        <v>0</v>
      </c>
      <c r="X188">
        <v>0</v>
      </c>
      <c r="Y188">
        <v>0</v>
      </c>
      <c r="Z188">
        <v>0</v>
      </c>
      <c r="AA188">
        <v>0</v>
      </c>
      <c r="AB188">
        <v>0</v>
      </c>
    </row>
    <row r="189" spans="1:28">
      <c r="A189">
        <v>0</v>
      </c>
      <c r="B189">
        <v>0</v>
      </c>
      <c r="C189">
        <v>0</v>
      </c>
      <c r="D189">
        <v>0</v>
      </c>
      <c r="E189">
        <v>0</v>
      </c>
      <c r="F189">
        <v>0</v>
      </c>
      <c r="G189">
        <v>0</v>
      </c>
      <c r="H189">
        <v>0</v>
      </c>
      <c r="I189">
        <v>0</v>
      </c>
      <c r="J189">
        <v>0</v>
      </c>
      <c r="K189">
        <v>0</v>
      </c>
      <c r="L189">
        <v>0</v>
      </c>
      <c r="M189">
        <v>0</v>
      </c>
      <c r="N189">
        <v>0</v>
      </c>
      <c r="O189">
        <v>0</v>
      </c>
      <c r="P189">
        <v>0</v>
      </c>
      <c r="Q189">
        <v>0</v>
      </c>
      <c r="R189">
        <v>0</v>
      </c>
      <c r="S189">
        <v>0</v>
      </c>
      <c r="T189">
        <v>0</v>
      </c>
      <c r="U189">
        <v>0</v>
      </c>
      <c r="V189">
        <v>0</v>
      </c>
      <c r="W189">
        <v>0</v>
      </c>
      <c r="X189">
        <v>0</v>
      </c>
      <c r="Y189">
        <v>0</v>
      </c>
      <c r="Z189">
        <v>0</v>
      </c>
      <c r="AA189">
        <v>0</v>
      </c>
      <c r="AB189">
        <v>0</v>
      </c>
    </row>
    <row r="190" spans="1:28">
      <c r="A190">
        <v>0</v>
      </c>
      <c r="B190">
        <v>0</v>
      </c>
      <c r="C190">
        <v>0</v>
      </c>
      <c r="D190">
        <v>0</v>
      </c>
      <c r="E190">
        <v>0</v>
      </c>
      <c r="F190">
        <v>0</v>
      </c>
      <c r="G190">
        <v>0</v>
      </c>
      <c r="H190">
        <v>0</v>
      </c>
      <c r="I190">
        <v>0</v>
      </c>
      <c r="J190">
        <v>0</v>
      </c>
      <c r="K190">
        <v>0</v>
      </c>
      <c r="L190">
        <v>0</v>
      </c>
      <c r="M190">
        <v>0</v>
      </c>
      <c r="N190">
        <v>0</v>
      </c>
      <c r="O190">
        <v>0</v>
      </c>
      <c r="P190">
        <v>0</v>
      </c>
      <c r="Q190">
        <v>0</v>
      </c>
      <c r="R190">
        <v>0</v>
      </c>
      <c r="S190">
        <v>0</v>
      </c>
      <c r="T190">
        <v>0</v>
      </c>
      <c r="U190">
        <v>0</v>
      </c>
      <c r="V190">
        <v>0</v>
      </c>
      <c r="W190">
        <v>0</v>
      </c>
      <c r="X190">
        <v>0</v>
      </c>
      <c r="Y190">
        <v>0</v>
      </c>
      <c r="Z190">
        <v>0</v>
      </c>
      <c r="AA190">
        <v>0</v>
      </c>
      <c r="AB190">
        <v>0</v>
      </c>
    </row>
    <row r="191" spans="1:28">
      <c r="A191">
        <v>0</v>
      </c>
      <c r="B191">
        <v>0</v>
      </c>
      <c r="C191">
        <v>0</v>
      </c>
      <c r="D191">
        <v>0</v>
      </c>
      <c r="E191">
        <v>0</v>
      </c>
      <c r="F191">
        <v>0</v>
      </c>
      <c r="G191">
        <v>0</v>
      </c>
      <c r="H191">
        <v>0</v>
      </c>
      <c r="I191">
        <v>0</v>
      </c>
      <c r="J191">
        <v>0</v>
      </c>
      <c r="K191">
        <v>0</v>
      </c>
      <c r="L191">
        <v>0</v>
      </c>
      <c r="M191">
        <v>0</v>
      </c>
      <c r="N191">
        <v>0</v>
      </c>
      <c r="O191">
        <v>0</v>
      </c>
      <c r="P191">
        <v>0</v>
      </c>
      <c r="Q191">
        <v>0</v>
      </c>
      <c r="R191">
        <v>0</v>
      </c>
      <c r="S191">
        <v>0</v>
      </c>
      <c r="T191">
        <v>0</v>
      </c>
      <c r="U191">
        <v>0</v>
      </c>
      <c r="V191">
        <v>0</v>
      </c>
      <c r="W191">
        <v>0</v>
      </c>
      <c r="X191">
        <v>0</v>
      </c>
      <c r="Y191">
        <v>0</v>
      </c>
      <c r="Z191">
        <v>0</v>
      </c>
      <c r="AA191">
        <v>0</v>
      </c>
      <c r="AB191">
        <v>0</v>
      </c>
    </row>
    <row r="192" spans="1:28">
      <c r="A192">
        <v>0</v>
      </c>
      <c r="B192">
        <v>0</v>
      </c>
      <c r="C192">
        <v>0</v>
      </c>
      <c r="D192">
        <v>0</v>
      </c>
      <c r="E192">
        <v>0</v>
      </c>
      <c r="F192">
        <v>0</v>
      </c>
      <c r="G192">
        <v>0</v>
      </c>
      <c r="H192">
        <v>0</v>
      </c>
      <c r="I192">
        <v>0</v>
      </c>
      <c r="J192">
        <v>0</v>
      </c>
      <c r="K192">
        <v>0</v>
      </c>
      <c r="L192">
        <v>0</v>
      </c>
      <c r="M192">
        <v>0</v>
      </c>
      <c r="N192">
        <v>0</v>
      </c>
      <c r="O192">
        <v>0</v>
      </c>
      <c r="P192">
        <v>0</v>
      </c>
      <c r="Q192">
        <v>0</v>
      </c>
      <c r="R192">
        <v>0</v>
      </c>
      <c r="S192">
        <v>0</v>
      </c>
      <c r="T192">
        <v>0</v>
      </c>
      <c r="U192">
        <v>0</v>
      </c>
      <c r="V192">
        <v>0</v>
      </c>
      <c r="W192">
        <v>0</v>
      </c>
      <c r="X192">
        <v>0</v>
      </c>
      <c r="Y192">
        <v>0</v>
      </c>
      <c r="Z192">
        <v>0</v>
      </c>
      <c r="AA192">
        <v>0</v>
      </c>
      <c r="AB192">
        <v>0</v>
      </c>
    </row>
    <row r="193" spans="1:28">
      <c r="A193">
        <v>0</v>
      </c>
      <c r="B193">
        <v>0</v>
      </c>
      <c r="C193">
        <v>0</v>
      </c>
      <c r="D193">
        <v>0</v>
      </c>
      <c r="E193">
        <v>0</v>
      </c>
      <c r="F193">
        <v>0</v>
      </c>
      <c r="G193">
        <v>0</v>
      </c>
      <c r="H193">
        <v>0</v>
      </c>
      <c r="I193">
        <v>0</v>
      </c>
      <c r="J193">
        <v>0</v>
      </c>
      <c r="K193">
        <v>0</v>
      </c>
      <c r="L193">
        <v>0</v>
      </c>
      <c r="M193">
        <v>0</v>
      </c>
      <c r="N193">
        <v>0</v>
      </c>
      <c r="O193">
        <v>0</v>
      </c>
      <c r="P193">
        <v>0</v>
      </c>
      <c r="Q193">
        <v>0</v>
      </c>
      <c r="R193">
        <v>0</v>
      </c>
      <c r="S193">
        <v>0</v>
      </c>
      <c r="T193">
        <v>0</v>
      </c>
      <c r="U193">
        <v>0</v>
      </c>
      <c r="V193">
        <v>0</v>
      </c>
      <c r="W193">
        <v>0</v>
      </c>
      <c r="X193">
        <v>0</v>
      </c>
      <c r="Y193">
        <v>0</v>
      </c>
      <c r="Z193">
        <v>0</v>
      </c>
      <c r="AA193">
        <v>0</v>
      </c>
      <c r="AB193">
        <v>0</v>
      </c>
    </row>
    <row r="194" spans="1:28">
      <c r="A194">
        <v>0</v>
      </c>
      <c r="B194">
        <v>0</v>
      </c>
      <c r="C194">
        <v>0</v>
      </c>
      <c r="D194">
        <v>0</v>
      </c>
      <c r="E194">
        <v>0</v>
      </c>
      <c r="F194">
        <v>0</v>
      </c>
      <c r="G194">
        <v>0</v>
      </c>
      <c r="H194">
        <v>0</v>
      </c>
      <c r="I194">
        <v>0</v>
      </c>
      <c r="J194">
        <v>0</v>
      </c>
      <c r="K194">
        <v>0</v>
      </c>
      <c r="L194">
        <v>0</v>
      </c>
      <c r="M194">
        <v>0</v>
      </c>
      <c r="N194">
        <v>0</v>
      </c>
      <c r="O194">
        <v>0</v>
      </c>
      <c r="P194">
        <v>0</v>
      </c>
      <c r="Q194">
        <v>0</v>
      </c>
      <c r="R194">
        <v>0</v>
      </c>
      <c r="S194">
        <v>0</v>
      </c>
      <c r="T194">
        <v>0</v>
      </c>
      <c r="U194">
        <v>0</v>
      </c>
      <c r="V194">
        <v>0</v>
      </c>
      <c r="W194">
        <v>0</v>
      </c>
      <c r="X194">
        <v>0</v>
      </c>
      <c r="Y194">
        <v>0</v>
      </c>
      <c r="Z194">
        <v>0</v>
      </c>
      <c r="AA194">
        <v>0</v>
      </c>
      <c r="AB194">
        <v>0</v>
      </c>
    </row>
    <row r="195" spans="1:28">
      <c r="A195">
        <v>0</v>
      </c>
      <c r="B195">
        <v>0</v>
      </c>
      <c r="C195">
        <v>0</v>
      </c>
      <c r="D195">
        <v>0</v>
      </c>
      <c r="E195">
        <v>0</v>
      </c>
      <c r="F195">
        <v>0</v>
      </c>
      <c r="G195">
        <v>0</v>
      </c>
      <c r="H195">
        <v>0</v>
      </c>
      <c r="I195">
        <v>0</v>
      </c>
      <c r="J195">
        <v>0</v>
      </c>
      <c r="K195">
        <v>0</v>
      </c>
      <c r="L195">
        <v>0</v>
      </c>
      <c r="M195">
        <v>0</v>
      </c>
      <c r="N195">
        <v>0</v>
      </c>
      <c r="O195">
        <v>0</v>
      </c>
      <c r="P195">
        <v>0</v>
      </c>
      <c r="Q195">
        <v>0</v>
      </c>
      <c r="R195">
        <v>0</v>
      </c>
      <c r="S195">
        <v>0</v>
      </c>
      <c r="T195">
        <v>0</v>
      </c>
      <c r="U195">
        <v>0</v>
      </c>
      <c r="V195">
        <v>0</v>
      </c>
      <c r="W195">
        <v>0</v>
      </c>
      <c r="X195">
        <v>0</v>
      </c>
      <c r="Y195">
        <v>0</v>
      </c>
      <c r="Z195">
        <v>0</v>
      </c>
      <c r="AA195">
        <v>0</v>
      </c>
      <c r="AB195">
        <v>0</v>
      </c>
    </row>
    <row r="196" spans="1:28">
      <c r="A196">
        <v>0</v>
      </c>
      <c r="B196">
        <v>0</v>
      </c>
      <c r="C196">
        <v>0</v>
      </c>
      <c r="D196">
        <v>0</v>
      </c>
      <c r="E196">
        <v>0</v>
      </c>
      <c r="F196">
        <v>0</v>
      </c>
      <c r="G196">
        <v>0</v>
      </c>
      <c r="H196">
        <v>0</v>
      </c>
      <c r="I196">
        <v>0</v>
      </c>
      <c r="J196">
        <v>0</v>
      </c>
      <c r="K196">
        <v>0</v>
      </c>
      <c r="L196">
        <v>0</v>
      </c>
      <c r="M196">
        <v>0</v>
      </c>
      <c r="N196">
        <v>0</v>
      </c>
      <c r="O196">
        <v>0</v>
      </c>
      <c r="P196">
        <v>0</v>
      </c>
      <c r="Q196">
        <v>0</v>
      </c>
      <c r="R196">
        <v>0</v>
      </c>
      <c r="S196">
        <v>0</v>
      </c>
      <c r="T196">
        <v>0</v>
      </c>
      <c r="U196">
        <v>0</v>
      </c>
      <c r="V196">
        <v>0</v>
      </c>
      <c r="W196">
        <v>0</v>
      </c>
      <c r="X196">
        <v>0</v>
      </c>
      <c r="Y196">
        <v>0</v>
      </c>
      <c r="Z196">
        <v>0</v>
      </c>
      <c r="AA196">
        <v>0</v>
      </c>
      <c r="AB196">
        <v>0</v>
      </c>
    </row>
    <row r="197" spans="1:28">
      <c r="A197">
        <v>0</v>
      </c>
      <c r="B197">
        <v>0</v>
      </c>
      <c r="C197">
        <v>0</v>
      </c>
      <c r="D197">
        <v>0</v>
      </c>
      <c r="E197">
        <v>0</v>
      </c>
      <c r="F197">
        <v>0</v>
      </c>
      <c r="G197">
        <v>0</v>
      </c>
      <c r="H197">
        <v>0</v>
      </c>
      <c r="I197">
        <v>0</v>
      </c>
      <c r="J197">
        <v>0</v>
      </c>
      <c r="K197">
        <v>0</v>
      </c>
      <c r="L197">
        <v>0</v>
      </c>
      <c r="M197">
        <v>0</v>
      </c>
      <c r="N197">
        <v>0</v>
      </c>
      <c r="O197">
        <v>0</v>
      </c>
      <c r="P197">
        <v>0</v>
      </c>
      <c r="Q197">
        <v>0</v>
      </c>
      <c r="R197">
        <v>0</v>
      </c>
      <c r="S197">
        <v>0</v>
      </c>
      <c r="T197">
        <v>0</v>
      </c>
      <c r="U197">
        <v>0</v>
      </c>
      <c r="V197">
        <v>0</v>
      </c>
      <c r="W197">
        <v>0</v>
      </c>
      <c r="X197">
        <v>0</v>
      </c>
      <c r="Y197">
        <v>0</v>
      </c>
      <c r="Z197">
        <v>0</v>
      </c>
      <c r="AA197">
        <v>0</v>
      </c>
      <c r="AB197">
        <v>0</v>
      </c>
    </row>
    <row r="198" spans="1:28">
      <c r="A198">
        <v>0</v>
      </c>
      <c r="B198">
        <v>0</v>
      </c>
      <c r="C198">
        <v>0</v>
      </c>
      <c r="D198">
        <v>0</v>
      </c>
      <c r="E198">
        <v>0</v>
      </c>
      <c r="F198">
        <v>0</v>
      </c>
      <c r="G198">
        <v>0</v>
      </c>
      <c r="H198">
        <v>0</v>
      </c>
      <c r="I198">
        <v>0</v>
      </c>
      <c r="J198">
        <v>0</v>
      </c>
      <c r="K198">
        <v>0</v>
      </c>
      <c r="L198">
        <v>0</v>
      </c>
      <c r="M198">
        <v>0</v>
      </c>
      <c r="N198">
        <v>0</v>
      </c>
      <c r="O198">
        <v>0</v>
      </c>
      <c r="P198">
        <v>0</v>
      </c>
      <c r="Q198">
        <v>0</v>
      </c>
      <c r="R198">
        <v>0</v>
      </c>
      <c r="S198">
        <v>0</v>
      </c>
      <c r="T198">
        <v>0</v>
      </c>
      <c r="U198">
        <v>0</v>
      </c>
      <c r="V198">
        <v>0</v>
      </c>
      <c r="W198">
        <v>0</v>
      </c>
      <c r="X198">
        <v>0</v>
      </c>
      <c r="Y198">
        <v>0</v>
      </c>
      <c r="Z198">
        <v>0</v>
      </c>
      <c r="AA198">
        <v>0</v>
      </c>
      <c r="AB198">
        <v>0</v>
      </c>
    </row>
    <row r="199" spans="1:28">
      <c r="A199">
        <v>0</v>
      </c>
      <c r="B199">
        <v>0</v>
      </c>
      <c r="C199">
        <v>0</v>
      </c>
      <c r="D199">
        <v>0</v>
      </c>
      <c r="E199">
        <v>0</v>
      </c>
      <c r="F199">
        <v>0</v>
      </c>
      <c r="G199">
        <v>0</v>
      </c>
      <c r="H199">
        <v>0</v>
      </c>
      <c r="I199">
        <v>0</v>
      </c>
      <c r="J199">
        <v>0</v>
      </c>
      <c r="K199">
        <v>0</v>
      </c>
      <c r="L199">
        <v>0</v>
      </c>
      <c r="M199">
        <v>0</v>
      </c>
      <c r="N199">
        <v>0</v>
      </c>
      <c r="O199">
        <v>0</v>
      </c>
      <c r="P199">
        <v>0</v>
      </c>
      <c r="Q199">
        <v>0</v>
      </c>
      <c r="R199">
        <v>0</v>
      </c>
      <c r="S199">
        <v>0</v>
      </c>
      <c r="T199">
        <v>0</v>
      </c>
      <c r="U199">
        <v>0</v>
      </c>
      <c r="V199">
        <v>0</v>
      </c>
      <c r="W199">
        <v>0</v>
      </c>
      <c r="X199">
        <v>0</v>
      </c>
      <c r="Y199">
        <v>0</v>
      </c>
      <c r="Z199">
        <v>0</v>
      </c>
      <c r="AA199">
        <v>0</v>
      </c>
      <c r="AB199">
        <v>0</v>
      </c>
    </row>
    <row r="200" spans="1:28">
      <c r="A200">
        <v>0</v>
      </c>
      <c r="B200">
        <v>0</v>
      </c>
      <c r="C200">
        <v>0</v>
      </c>
      <c r="D200">
        <v>0</v>
      </c>
      <c r="E200">
        <v>0</v>
      </c>
      <c r="F200">
        <v>0</v>
      </c>
      <c r="G200">
        <v>0</v>
      </c>
      <c r="H200">
        <v>0</v>
      </c>
      <c r="I200">
        <v>0</v>
      </c>
      <c r="J200">
        <v>0</v>
      </c>
      <c r="K200">
        <v>0</v>
      </c>
      <c r="L200">
        <v>0</v>
      </c>
      <c r="M200">
        <v>0</v>
      </c>
      <c r="N200">
        <v>0</v>
      </c>
      <c r="O200">
        <v>0</v>
      </c>
      <c r="P200">
        <v>0</v>
      </c>
      <c r="Q200">
        <v>0</v>
      </c>
      <c r="R200">
        <v>0</v>
      </c>
      <c r="S200">
        <v>0</v>
      </c>
      <c r="T200">
        <v>0</v>
      </c>
      <c r="U200">
        <v>0</v>
      </c>
      <c r="V200">
        <v>0</v>
      </c>
      <c r="W200">
        <v>0</v>
      </c>
      <c r="X200">
        <v>0</v>
      </c>
      <c r="Y200">
        <v>0</v>
      </c>
      <c r="Z200">
        <v>0</v>
      </c>
      <c r="AA200">
        <v>0</v>
      </c>
      <c r="AB200">
        <v>0</v>
      </c>
    </row>
    <row r="201" spans="1:28">
      <c r="A201">
        <v>0</v>
      </c>
      <c r="B201">
        <v>0</v>
      </c>
      <c r="C201">
        <v>0</v>
      </c>
      <c r="D201">
        <v>0</v>
      </c>
      <c r="E201">
        <v>0</v>
      </c>
      <c r="F201">
        <v>0</v>
      </c>
      <c r="G201">
        <v>0</v>
      </c>
      <c r="H201">
        <v>0</v>
      </c>
      <c r="I201">
        <v>0</v>
      </c>
      <c r="J201">
        <v>0</v>
      </c>
      <c r="K201">
        <v>0</v>
      </c>
      <c r="L201">
        <v>0</v>
      </c>
      <c r="M201">
        <v>0</v>
      </c>
      <c r="N201">
        <v>0</v>
      </c>
      <c r="O201">
        <v>0</v>
      </c>
      <c r="P201">
        <v>0</v>
      </c>
      <c r="Q201">
        <v>0</v>
      </c>
      <c r="R201">
        <v>0</v>
      </c>
      <c r="S201">
        <v>0</v>
      </c>
      <c r="T201">
        <v>0</v>
      </c>
      <c r="U201">
        <v>0</v>
      </c>
      <c r="V201">
        <v>0</v>
      </c>
      <c r="W201">
        <v>0</v>
      </c>
      <c r="X201">
        <v>0</v>
      </c>
      <c r="Y201">
        <v>0</v>
      </c>
      <c r="Z201">
        <v>0</v>
      </c>
      <c r="AA201">
        <v>0</v>
      </c>
      <c r="AB201">
        <v>0</v>
      </c>
    </row>
    <row r="202" spans="1:28">
      <c r="A202">
        <v>0</v>
      </c>
      <c r="B202">
        <v>0</v>
      </c>
      <c r="C202">
        <v>0</v>
      </c>
      <c r="D202">
        <v>0</v>
      </c>
      <c r="E202">
        <v>0</v>
      </c>
      <c r="F202">
        <v>0</v>
      </c>
      <c r="G202">
        <v>0</v>
      </c>
      <c r="H202">
        <v>0</v>
      </c>
      <c r="I202">
        <v>0</v>
      </c>
      <c r="J202">
        <v>0</v>
      </c>
      <c r="K202">
        <v>0</v>
      </c>
      <c r="L202">
        <v>0</v>
      </c>
      <c r="M202">
        <v>0</v>
      </c>
      <c r="N202">
        <v>0</v>
      </c>
      <c r="O202">
        <v>0</v>
      </c>
      <c r="P202">
        <v>0</v>
      </c>
      <c r="Q202">
        <v>0</v>
      </c>
      <c r="R202">
        <v>0</v>
      </c>
      <c r="S202">
        <v>0</v>
      </c>
      <c r="T202">
        <v>0</v>
      </c>
      <c r="U202">
        <v>0</v>
      </c>
      <c r="V202">
        <v>0</v>
      </c>
      <c r="W202">
        <v>0</v>
      </c>
      <c r="X202">
        <v>0</v>
      </c>
      <c r="Y202">
        <v>0</v>
      </c>
      <c r="Z202">
        <v>0</v>
      </c>
      <c r="AA202">
        <v>0</v>
      </c>
      <c r="AB202">
        <v>0</v>
      </c>
    </row>
    <row r="203" spans="1:28">
      <c r="A203">
        <v>0</v>
      </c>
      <c r="B203">
        <v>0</v>
      </c>
      <c r="C203">
        <v>0</v>
      </c>
      <c r="D203">
        <v>0</v>
      </c>
      <c r="E203">
        <v>0</v>
      </c>
      <c r="F203">
        <v>0</v>
      </c>
      <c r="G203">
        <v>0</v>
      </c>
      <c r="H203">
        <v>0</v>
      </c>
      <c r="I203">
        <v>0</v>
      </c>
      <c r="J203">
        <v>0</v>
      </c>
      <c r="K203">
        <v>0</v>
      </c>
      <c r="L203">
        <v>0</v>
      </c>
      <c r="M203">
        <v>0</v>
      </c>
      <c r="N203">
        <v>0</v>
      </c>
      <c r="O203">
        <v>0</v>
      </c>
      <c r="P203">
        <v>0</v>
      </c>
      <c r="Q203">
        <v>0</v>
      </c>
      <c r="R203">
        <v>0</v>
      </c>
      <c r="S203">
        <v>0</v>
      </c>
      <c r="T203">
        <v>0</v>
      </c>
      <c r="U203">
        <v>0</v>
      </c>
      <c r="V203">
        <v>0</v>
      </c>
      <c r="W203">
        <v>0</v>
      </c>
      <c r="X203">
        <v>0</v>
      </c>
      <c r="Y203">
        <v>0</v>
      </c>
      <c r="Z203">
        <v>0</v>
      </c>
      <c r="AA203">
        <v>0</v>
      </c>
      <c r="AB203">
        <v>0</v>
      </c>
    </row>
    <row r="204" spans="1:28">
      <c r="A204">
        <v>0</v>
      </c>
      <c r="B204">
        <v>0</v>
      </c>
      <c r="C204">
        <v>0</v>
      </c>
      <c r="D204">
        <v>0</v>
      </c>
      <c r="E204">
        <v>0</v>
      </c>
      <c r="F204">
        <v>0</v>
      </c>
      <c r="G204">
        <v>0</v>
      </c>
      <c r="H204">
        <v>0</v>
      </c>
      <c r="I204">
        <v>0</v>
      </c>
      <c r="J204">
        <v>0</v>
      </c>
      <c r="K204">
        <v>0</v>
      </c>
      <c r="L204">
        <v>0</v>
      </c>
      <c r="M204">
        <v>0</v>
      </c>
      <c r="N204">
        <v>0</v>
      </c>
      <c r="O204">
        <v>0</v>
      </c>
      <c r="P204">
        <v>0</v>
      </c>
      <c r="Q204">
        <v>0</v>
      </c>
      <c r="R204">
        <v>0</v>
      </c>
      <c r="S204">
        <v>0</v>
      </c>
      <c r="T204">
        <v>0</v>
      </c>
      <c r="U204">
        <v>0</v>
      </c>
      <c r="V204">
        <v>0</v>
      </c>
      <c r="W204">
        <v>0</v>
      </c>
      <c r="X204">
        <v>0</v>
      </c>
      <c r="Y204">
        <v>0</v>
      </c>
      <c r="Z204">
        <v>0</v>
      </c>
      <c r="AA204">
        <v>0</v>
      </c>
      <c r="AB204">
        <v>0</v>
      </c>
    </row>
    <row r="205" spans="1:28">
      <c r="A205">
        <v>0</v>
      </c>
      <c r="B205">
        <v>0</v>
      </c>
      <c r="C205">
        <v>0</v>
      </c>
      <c r="D205">
        <v>0</v>
      </c>
      <c r="E205">
        <v>0</v>
      </c>
      <c r="F205">
        <v>0</v>
      </c>
      <c r="G205">
        <v>0</v>
      </c>
      <c r="H205">
        <v>0</v>
      </c>
      <c r="I205">
        <v>0</v>
      </c>
      <c r="J205">
        <v>0</v>
      </c>
      <c r="K205">
        <v>0</v>
      </c>
      <c r="L205">
        <v>0</v>
      </c>
      <c r="M205">
        <v>0</v>
      </c>
      <c r="N205">
        <v>0</v>
      </c>
      <c r="O205">
        <v>0</v>
      </c>
      <c r="P205">
        <v>0</v>
      </c>
      <c r="Q205">
        <v>0</v>
      </c>
      <c r="R205">
        <v>0</v>
      </c>
      <c r="S205">
        <v>0</v>
      </c>
      <c r="T205">
        <v>0</v>
      </c>
      <c r="U205">
        <v>0</v>
      </c>
      <c r="V205">
        <v>0</v>
      </c>
      <c r="W205">
        <v>0</v>
      </c>
      <c r="X205">
        <v>0</v>
      </c>
      <c r="Y205">
        <v>0</v>
      </c>
      <c r="Z205">
        <v>0</v>
      </c>
      <c r="AA205">
        <v>0</v>
      </c>
      <c r="AB205">
        <v>0</v>
      </c>
    </row>
    <row r="206" spans="1:28">
      <c r="A206">
        <v>0</v>
      </c>
      <c r="B206">
        <v>0</v>
      </c>
      <c r="C206">
        <v>0</v>
      </c>
      <c r="D206">
        <v>0</v>
      </c>
      <c r="E206">
        <v>0</v>
      </c>
      <c r="F206">
        <v>0</v>
      </c>
      <c r="G206">
        <v>0</v>
      </c>
      <c r="H206">
        <v>0</v>
      </c>
      <c r="I206">
        <v>0</v>
      </c>
      <c r="J206">
        <v>0</v>
      </c>
      <c r="K206">
        <v>0</v>
      </c>
      <c r="L206">
        <v>0</v>
      </c>
      <c r="M206">
        <v>0</v>
      </c>
      <c r="N206">
        <v>0</v>
      </c>
      <c r="O206">
        <v>0</v>
      </c>
      <c r="P206">
        <v>0</v>
      </c>
      <c r="Q206">
        <v>0</v>
      </c>
      <c r="R206">
        <v>0</v>
      </c>
      <c r="S206">
        <v>0</v>
      </c>
      <c r="T206">
        <v>0</v>
      </c>
      <c r="U206">
        <v>0</v>
      </c>
      <c r="V206">
        <v>0</v>
      </c>
      <c r="W206">
        <v>0</v>
      </c>
      <c r="X206">
        <v>0</v>
      </c>
      <c r="Y206">
        <v>0</v>
      </c>
      <c r="Z206">
        <v>0</v>
      </c>
      <c r="AA206">
        <v>0</v>
      </c>
      <c r="AB206">
        <v>0</v>
      </c>
    </row>
    <row r="207" spans="1:28">
      <c r="A207">
        <v>0</v>
      </c>
      <c r="B207">
        <v>0</v>
      </c>
      <c r="C207">
        <v>0</v>
      </c>
      <c r="D207">
        <v>0</v>
      </c>
      <c r="E207">
        <v>0</v>
      </c>
      <c r="F207">
        <v>0</v>
      </c>
      <c r="G207">
        <v>0</v>
      </c>
      <c r="H207">
        <v>0</v>
      </c>
      <c r="I207">
        <v>0</v>
      </c>
      <c r="J207">
        <v>0</v>
      </c>
      <c r="K207">
        <v>0</v>
      </c>
      <c r="L207">
        <v>0</v>
      </c>
      <c r="M207">
        <v>0</v>
      </c>
      <c r="N207">
        <v>0</v>
      </c>
      <c r="O207">
        <v>0</v>
      </c>
      <c r="P207">
        <v>0</v>
      </c>
      <c r="Q207">
        <v>0</v>
      </c>
      <c r="R207">
        <v>0</v>
      </c>
      <c r="S207">
        <v>0</v>
      </c>
      <c r="T207">
        <v>0</v>
      </c>
      <c r="U207">
        <v>0</v>
      </c>
      <c r="V207">
        <v>0</v>
      </c>
      <c r="W207">
        <v>0</v>
      </c>
      <c r="X207">
        <v>0</v>
      </c>
      <c r="Y207">
        <v>0</v>
      </c>
      <c r="Z207">
        <v>0</v>
      </c>
      <c r="AA207">
        <v>0</v>
      </c>
      <c r="AB207">
        <v>0</v>
      </c>
    </row>
    <row r="208" spans="1:28">
      <c r="A208">
        <v>0</v>
      </c>
      <c r="B208">
        <v>0</v>
      </c>
      <c r="C208">
        <v>0</v>
      </c>
      <c r="D208">
        <v>0</v>
      </c>
      <c r="E208">
        <v>0</v>
      </c>
      <c r="F208">
        <v>0</v>
      </c>
      <c r="G208">
        <v>0</v>
      </c>
      <c r="H208">
        <v>0</v>
      </c>
      <c r="I208">
        <v>0</v>
      </c>
      <c r="J208">
        <v>0</v>
      </c>
      <c r="K208">
        <v>0</v>
      </c>
      <c r="L208">
        <v>0</v>
      </c>
      <c r="M208">
        <v>0</v>
      </c>
      <c r="N208">
        <v>0</v>
      </c>
      <c r="O208">
        <v>0</v>
      </c>
      <c r="P208">
        <v>0</v>
      </c>
      <c r="Q208">
        <v>0</v>
      </c>
      <c r="R208">
        <v>0</v>
      </c>
      <c r="S208">
        <v>0</v>
      </c>
      <c r="T208">
        <v>0</v>
      </c>
      <c r="U208">
        <v>0</v>
      </c>
      <c r="V208">
        <v>0</v>
      </c>
      <c r="W208">
        <v>0</v>
      </c>
      <c r="X208">
        <v>0</v>
      </c>
      <c r="Y208">
        <v>0</v>
      </c>
      <c r="Z208">
        <v>0</v>
      </c>
      <c r="AA208">
        <v>0</v>
      </c>
      <c r="AB208">
        <v>0</v>
      </c>
    </row>
    <row r="209" spans="1:28">
      <c r="A209">
        <v>0</v>
      </c>
      <c r="B209">
        <v>0</v>
      </c>
      <c r="C209">
        <v>0</v>
      </c>
      <c r="D209">
        <v>0</v>
      </c>
      <c r="E209">
        <v>0</v>
      </c>
      <c r="F209">
        <v>0</v>
      </c>
      <c r="G209">
        <v>0</v>
      </c>
      <c r="H209">
        <v>0</v>
      </c>
      <c r="I209">
        <v>0</v>
      </c>
      <c r="J209">
        <v>0</v>
      </c>
      <c r="K209">
        <v>0</v>
      </c>
      <c r="L209">
        <v>0</v>
      </c>
      <c r="M209">
        <v>0</v>
      </c>
      <c r="N209">
        <v>0</v>
      </c>
      <c r="O209">
        <v>0</v>
      </c>
      <c r="P209">
        <v>0</v>
      </c>
      <c r="Q209">
        <v>0</v>
      </c>
      <c r="R209">
        <v>0</v>
      </c>
      <c r="S209">
        <v>0</v>
      </c>
      <c r="T209">
        <v>0</v>
      </c>
      <c r="U209">
        <v>0</v>
      </c>
      <c r="V209">
        <v>0</v>
      </c>
      <c r="W209">
        <v>0</v>
      </c>
      <c r="X209">
        <v>0</v>
      </c>
      <c r="Y209">
        <v>0</v>
      </c>
      <c r="Z209">
        <v>0</v>
      </c>
      <c r="AA209">
        <v>0</v>
      </c>
      <c r="AB209">
        <v>0</v>
      </c>
    </row>
    <row r="210" spans="1:28">
      <c r="A210">
        <v>0</v>
      </c>
      <c r="B210">
        <v>0</v>
      </c>
      <c r="C210">
        <v>0</v>
      </c>
      <c r="D210">
        <v>0</v>
      </c>
      <c r="E210">
        <v>0</v>
      </c>
      <c r="F210">
        <v>0</v>
      </c>
      <c r="G210">
        <v>0</v>
      </c>
      <c r="H210">
        <v>0</v>
      </c>
      <c r="I210">
        <v>0</v>
      </c>
      <c r="J210">
        <v>0</v>
      </c>
      <c r="K210">
        <v>0</v>
      </c>
      <c r="L210">
        <v>0</v>
      </c>
      <c r="M210">
        <v>0</v>
      </c>
      <c r="N210">
        <v>0</v>
      </c>
      <c r="O210">
        <v>0</v>
      </c>
      <c r="P210">
        <v>0</v>
      </c>
      <c r="Q210">
        <v>0</v>
      </c>
      <c r="R210">
        <v>0</v>
      </c>
      <c r="S210">
        <v>0</v>
      </c>
      <c r="T210">
        <v>0</v>
      </c>
      <c r="U210">
        <v>0</v>
      </c>
      <c r="V210">
        <v>0</v>
      </c>
      <c r="W210">
        <v>0</v>
      </c>
      <c r="X210">
        <v>0</v>
      </c>
      <c r="Y210">
        <v>0</v>
      </c>
      <c r="Z210">
        <v>0</v>
      </c>
      <c r="AA210">
        <v>0</v>
      </c>
      <c r="AB210">
        <v>0</v>
      </c>
    </row>
    <row r="211" spans="1:28">
      <c r="A211">
        <v>0</v>
      </c>
      <c r="B211">
        <v>0</v>
      </c>
      <c r="C211">
        <v>0</v>
      </c>
      <c r="D211">
        <v>0</v>
      </c>
      <c r="E211">
        <v>0</v>
      </c>
      <c r="F211">
        <v>0</v>
      </c>
      <c r="G211">
        <v>0</v>
      </c>
      <c r="H211">
        <v>0</v>
      </c>
      <c r="I211">
        <v>0</v>
      </c>
      <c r="J211">
        <v>0</v>
      </c>
      <c r="K211">
        <v>0</v>
      </c>
      <c r="L211">
        <v>0</v>
      </c>
      <c r="M211">
        <v>0</v>
      </c>
      <c r="N211">
        <v>0</v>
      </c>
      <c r="O211">
        <v>0</v>
      </c>
      <c r="P211">
        <v>0</v>
      </c>
      <c r="Q211">
        <v>0</v>
      </c>
      <c r="R211">
        <v>0</v>
      </c>
      <c r="S211">
        <v>0</v>
      </c>
      <c r="T211">
        <v>0</v>
      </c>
      <c r="U211">
        <v>0</v>
      </c>
      <c r="V211">
        <v>0</v>
      </c>
      <c r="W211">
        <v>0</v>
      </c>
      <c r="X211">
        <v>0</v>
      </c>
      <c r="Y211">
        <v>0</v>
      </c>
      <c r="Z211">
        <v>0</v>
      </c>
      <c r="AA211">
        <v>0</v>
      </c>
      <c r="AB211">
        <v>0</v>
      </c>
    </row>
    <row r="212" spans="1:28">
      <c r="A212">
        <v>0</v>
      </c>
      <c r="B212">
        <v>0</v>
      </c>
      <c r="C212">
        <v>0</v>
      </c>
      <c r="D212">
        <v>0</v>
      </c>
      <c r="E212">
        <v>0</v>
      </c>
      <c r="F212">
        <v>0</v>
      </c>
      <c r="G212">
        <v>0</v>
      </c>
      <c r="H212">
        <v>0</v>
      </c>
      <c r="I212">
        <v>0</v>
      </c>
      <c r="J212">
        <v>0</v>
      </c>
      <c r="K212">
        <v>0</v>
      </c>
      <c r="L212">
        <v>0</v>
      </c>
      <c r="M212">
        <v>0</v>
      </c>
      <c r="N212">
        <v>0</v>
      </c>
      <c r="O212">
        <v>0</v>
      </c>
      <c r="P212">
        <v>0</v>
      </c>
      <c r="Q212">
        <v>0</v>
      </c>
      <c r="R212">
        <v>0</v>
      </c>
      <c r="S212">
        <v>0</v>
      </c>
      <c r="T212">
        <v>0</v>
      </c>
      <c r="U212">
        <v>0</v>
      </c>
      <c r="V212">
        <v>0</v>
      </c>
      <c r="W212">
        <v>0</v>
      </c>
      <c r="X212">
        <v>0</v>
      </c>
      <c r="Y212">
        <v>0</v>
      </c>
      <c r="Z212">
        <v>0</v>
      </c>
      <c r="AA212">
        <v>0</v>
      </c>
      <c r="AB212">
        <v>0</v>
      </c>
    </row>
    <row r="213" spans="1:28">
      <c r="A213">
        <v>0</v>
      </c>
      <c r="B213">
        <v>0</v>
      </c>
      <c r="C213">
        <v>0</v>
      </c>
      <c r="D213">
        <v>0</v>
      </c>
      <c r="E213">
        <v>0</v>
      </c>
      <c r="F213">
        <v>0</v>
      </c>
      <c r="G213">
        <v>0</v>
      </c>
      <c r="H213">
        <v>0</v>
      </c>
      <c r="I213">
        <v>0</v>
      </c>
      <c r="J213">
        <v>0</v>
      </c>
      <c r="K213">
        <v>0</v>
      </c>
      <c r="L213">
        <v>0</v>
      </c>
      <c r="M213">
        <v>0</v>
      </c>
      <c r="N213">
        <v>0</v>
      </c>
      <c r="O213">
        <v>0</v>
      </c>
      <c r="P213">
        <v>0</v>
      </c>
      <c r="Q213">
        <v>0</v>
      </c>
      <c r="R213">
        <v>0</v>
      </c>
      <c r="S213">
        <v>0</v>
      </c>
      <c r="T213">
        <v>0</v>
      </c>
      <c r="U213">
        <v>0</v>
      </c>
      <c r="V213">
        <v>0</v>
      </c>
      <c r="W213">
        <v>0</v>
      </c>
      <c r="X213">
        <v>0</v>
      </c>
      <c r="Y213">
        <v>0</v>
      </c>
      <c r="Z213">
        <v>0</v>
      </c>
      <c r="AA213">
        <v>0</v>
      </c>
      <c r="AB213">
        <v>0</v>
      </c>
    </row>
    <row r="214" spans="1:28">
      <c r="A214">
        <v>0</v>
      </c>
      <c r="B214">
        <v>0</v>
      </c>
      <c r="C214">
        <v>0</v>
      </c>
      <c r="D214">
        <v>0</v>
      </c>
      <c r="E214">
        <v>0</v>
      </c>
      <c r="F214">
        <v>0</v>
      </c>
      <c r="G214">
        <v>0</v>
      </c>
      <c r="H214">
        <v>0</v>
      </c>
      <c r="I214">
        <v>0</v>
      </c>
      <c r="J214">
        <v>0</v>
      </c>
      <c r="K214">
        <v>0</v>
      </c>
      <c r="L214">
        <v>0</v>
      </c>
      <c r="M214">
        <v>0</v>
      </c>
      <c r="N214">
        <v>0</v>
      </c>
      <c r="O214">
        <v>0</v>
      </c>
      <c r="P214">
        <v>0</v>
      </c>
      <c r="Q214">
        <v>0</v>
      </c>
      <c r="R214">
        <v>0</v>
      </c>
      <c r="S214">
        <v>0</v>
      </c>
      <c r="T214">
        <v>0</v>
      </c>
      <c r="U214">
        <v>0</v>
      </c>
      <c r="V214">
        <v>0</v>
      </c>
      <c r="W214">
        <v>0</v>
      </c>
      <c r="X214">
        <v>0</v>
      </c>
      <c r="Y214">
        <v>0</v>
      </c>
      <c r="Z214">
        <v>0</v>
      </c>
      <c r="AA214">
        <v>0</v>
      </c>
      <c r="AB214">
        <v>0</v>
      </c>
    </row>
    <row r="215" spans="1:28">
      <c r="A215">
        <v>0</v>
      </c>
      <c r="B215">
        <v>0</v>
      </c>
      <c r="C215">
        <v>0</v>
      </c>
      <c r="D215">
        <v>0</v>
      </c>
      <c r="E215">
        <v>0</v>
      </c>
      <c r="F215">
        <v>0</v>
      </c>
      <c r="G215">
        <v>0</v>
      </c>
      <c r="H215">
        <v>0</v>
      </c>
      <c r="I215">
        <v>0</v>
      </c>
      <c r="J215">
        <v>0</v>
      </c>
      <c r="K215">
        <v>0</v>
      </c>
      <c r="L215">
        <v>0</v>
      </c>
      <c r="M215">
        <v>0</v>
      </c>
      <c r="N215">
        <v>0</v>
      </c>
      <c r="O215">
        <v>0</v>
      </c>
      <c r="P215">
        <v>0</v>
      </c>
      <c r="Q215">
        <v>0</v>
      </c>
      <c r="R215">
        <v>0</v>
      </c>
      <c r="S215">
        <v>0</v>
      </c>
      <c r="T215">
        <v>0</v>
      </c>
      <c r="U215">
        <v>0</v>
      </c>
      <c r="V215">
        <v>0</v>
      </c>
      <c r="W215">
        <v>0</v>
      </c>
      <c r="X215">
        <v>0</v>
      </c>
      <c r="Y215">
        <v>0</v>
      </c>
      <c r="Z215">
        <v>0</v>
      </c>
      <c r="AA215">
        <v>0</v>
      </c>
      <c r="AB215">
        <v>0</v>
      </c>
    </row>
    <row r="216" spans="1:28">
      <c r="A216">
        <v>0</v>
      </c>
      <c r="B216">
        <v>0</v>
      </c>
      <c r="C216">
        <v>0</v>
      </c>
      <c r="D216">
        <v>0</v>
      </c>
      <c r="E216">
        <v>0</v>
      </c>
      <c r="F216">
        <v>0</v>
      </c>
      <c r="G216">
        <v>0</v>
      </c>
      <c r="H216">
        <v>0</v>
      </c>
      <c r="I216">
        <v>0</v>
      </c>
      <c r="J216">
        <v>0</v>
      </c>
      <c r="K216">
        <v>0</v>
      </c>
      <c r="L216">
        <v>0</v>
      </c>
      <c r="M216">
        <v>0</v>
      </c>
      <c r="N216">
        <v>0</v>
      </c>
      <c r="O216">
        <v>0</v>
      </c>
      <c r="P216">
        <v>0</v>
      </c>
      <c r="Q216">
        <v>0</v>
      </c>
      <c r="R216">
        <v>0</v>
      </c>
      <c r="S216">
        <v>0</v>
      </c>
      <c r="T216">
        <v>0</v>
      </c>
      <c r="U216">
        <v>0</v>
      </c>
      <c r="V216">
        <v>0</v>
      </c>
      <c r="W216">
        <v>0</v>
      </c>
      <c r="X216">
        <v>0</v>
      </c>
      <c r="Y216">
        <v>0</v>
      </c>
      <c r="Z216">
        <v>0</v>
      </c>
      <c r="AA216">
        <v>0</v>
      </c>
      <c r="AB216">
        <v>0</v>
      </c>
    </row>
    <row r="217" spans="1:28">
      <c r="A217">
        <v>0</v>
      </c>
      <c r="B217">
        <v>0</v>
      </c>
      <c r="C217">
        <v>0</v>
      </c>
      <c r="D217">
        <v>0</v>
      </c>
      <c r="E217">
        <v>0</v>
      </c>
      <c r="F217">
        <v>0</v>
      </c>
      <c r="G217">
        <v>0</v>
      </c>
      <c r="H217">
        <v>0</v>
      </c>
      <c r="I217">
        <v>0</v>
      </c>
      <c r="J217">
        <v>0</v>
      </c>
      <c r="K217">
        <v>0</v>
      </c>
      <c r="L217">
        <v>0</v>
      </c>
      <c r="M217">
        <v>0</v>
      </c>
      <c r="N217">
        <v>0</v>
      </c>
      <c r="O217">
        <v>0</v>
      </c>
      <c r="P217">
        <v>0</v>
      </c>
      <c r="Q217">
        <v>0</v>
      </c>
      <c r="R217">
        <v>0</v>
      </c>
      <c r="S217">
        <v>0</v>
      </c>
      <c r="T217">
        <v>0</v>
      </c>
      <c r="U217">
        <v>0</v>
      </c>
      <c r="V217">
        <v>0</v>
      </c>
      <c r="W217">
        <v>0</v>
      </c>
      <c r="X217">
        <v>0</v>
      </c>
      <c r="Y217">
        <v>0</v>
      </c>
      <c r="Z217">
        <v>0</v>
      </c>
      <c r="AA217">
        <v>0</v>
      </c>
      <c r="AB217">
        <v>0</v>
      </c>
    </row>
    <row r="218" spans="1:28">
      <c r="A218">
        <v>0</v>
      </c>
      <c r="B218">
        <v>0</v>
      </c>
      <c r="C218">
        <v>0</v>
      </c>
      <c r="D218">
        <v>0</v>
      </c>
      <c r="E218">
        <v>0</v>
      </c>
      <c r="F218">
        <v>0</v>
      </c>
      <c r="G218">
        <v>0</v>
      </c>
      <c r="H218">
        <v>0</v>
      </c>
      <c r="I218">
        <v>0</v>
      </c>
      <c r="J218">
        <v>0</v>
      </c>
      <c r="K218">
        <v>0</v>
      </c>
      <c r="L218">
        <v>0</v>
      </c>
      <c r="M218">
        <v>0</v>
      </c>
      <c r="N218">
        <v>0</v>
      </c>
      <c r="O218">
        <v>0</v>
      </c>
      <c r="P218">
        <v>0</v>
      </c>
      <c r="Q218">
        <v>0</v>
      </c>
      <c r="R218">
        <v>0</v>
      </c>
      <c r="S218">
        <v>0</v>
      </c>
      <c r="T218">
        <v>0</v>
      </c>
      <c r="U218">
        <v>0</v>
      </c>
      <c r="V218">
        <v>0</v>
      </c>
      <c r="W218">
        <v>0</v>
      </c>
      <c r="X218">
        <v>0</v>
      </c>
      <c r="Y218">
        <v>0</v>
      </c>
      <c r="Z218">
        <v>0</v>
      </c>
      <c r="AA218">
        <v>0</v>
      </c>
      <c r="AB218">
        <v>0</v>
      </c>
    </row>
    <row r="219" spans="1:28">
      <c r="A219">
        <v>0</v>
      </c>
      <c r="B219">
        <v>0</v>
      </c>
      <c r="C219">
        <v>0</v>
      </c>
      <c r="D219">
        <v>0</v>
      </c>
      <c r="E219">
        <v>0</v>
      </c>
      <c r="F219">
        <v>0</v>
      </c>
      <c r="G219">
        <v>0</v>
      </c>
      <c r="H219">
        <v>0</v>
      </c>
      <c r="I219">
        <v>0</v>
      </c>
      <c r="J219">
        <v>0</v>
      </c>
      <c r="K219">
        <v>0</v>
      </c>
      <c r="L219">
        <v>0</v>
      </c>
      <c r="M219">
        <v>0</v>
      </c>
      <c r="N219">
        <v>0</v>
      </c>
      <c r="O219">
        <v>0</v>
      </c>
      <c r="P219">
        <v>0</v>
      </c>
      <c r="Q219">
        <v>0</v>
      </c>
      <c r="R219">
        <v>0</v>
      </c>
      <c r="S219">
        <v>0</v>
      </c>
      <c r="T219">
        <v>0</v>
      </c>
      <c r="U219">
        <v>0</v>
      </c>
      <c r="V219">
        <v>0</v>
      </c>
      <c r="W219">
        <v>0</v>
      </c>
      <c r="X219">
        <v>0</v>
      </c>
      <c r="Y219">
        <v>0</v>
      </c>
      <c r="Z219">
        <v>0</v>
      </c>
      <c r="AA219">
        <v>0</v>
      </c>
      <c r="AB219">
        <v>0</v>
      </c>
    </row>
    <row r="220" spans="1:28">
      <c r="A220">
        <v>0</v>
      </c>
      <c r="B220">
        <v>0</v>
      </c>
      <c r="C220">
        <v>0</v>
      </c>
      <c r="D220">
        <v>0</v>
      </c>
      <c r="E220">
        <v>0</v>
      </c>
      <c r="F220">
        <v>0</v>
      </c>
      <c r="G220">
        <v>0</v>
      </c>
      <c r="H220">
        <v>0</v>
      </c>
      <c r="I220">
        <v>0</v>
      </c>
      <c r="J220">
        <v>0</v>
      </c>
      <c r="K220">
        <v>0</v>
      </c>
      <c r="L220">
        <v>0</v>
      </c>
      <c r="M220">
        <v>0</v>
      </c>
      <c r="N220">
        <v>0</v>
      </c>
      <c r="O220">
        <v>0</v>
      </c>
      <c r="P220">
        <v>0</v>
      </c>
      <c r="Q220">
        <v>0</v>
      </c>
      <c r="R220">
        <v>0</v>
      </c>
      <c r="S220">
        <v>0</v>
      </c>
      <c r="T220">
        <v>0</v>
      </c>
      <c r="U220">
        <v>0</v>
      </c>
      <c r="V220">
        <v>0</v>
      </c>
      <c r="W220">
        <v>0</v>
      </c>
      <c r="X220">
        <v>0</v>
      </c>
      <c r="Y220">
        <v>0</v>
      </c>
      <c r="Z220">
        <v>0</v>
      </c>
      <c r="AA220">
        <v>0</v>
      </c>
      <c r="AB220">
        <v>0</v>
      </c>
    </row>
    <row r="221" spans="1:28">
      <c r="A221">
        <v>0</v>
      </c>
      <c r="B221">
        <v>0</v>
      </c>
      <c r="C221">
        <v>0</v>
      </c>
      <c r="D221">
        <v>0</v>
      </c>
      <c r="E221">
        <v>0</v>
      </c>
      <c r="F221">
        <v>0</v>
      </c>
      <c r="G221">
        <v>0</v>
      </c>
      <c r="H221">
        <v>0</v>
      </c>
      <c r="I221">
        <v>0</v>
      </c>
      <c r="J221">
        <v>0</v>
      </c>
      <c r="K221">
        <v>0</v>
      </c>
      <c r="L221">
        <v>0</v>
      </c>
      <c r="M221">
        <v>0</v>
      </c>
      <c r="N221">
        <v>0</v>
      </c>
      <c r="O221">
        <v>0</v>
      </c>
      <c r="P221">
        <v>0</v>
      </c>
      <c r="Q221">
        <v>0</v>
      </c>
      <c r="R221">
        <v>0</v>
      </c>
      <c r="S221">
        <v>0</v>
      </c>
      <c r="T221">
        <v>0</v>
      </c>
      <c r="U221">
        <v>0</v>
      </c>
      <c r="V221">
        <v>0</v>
      </c>
      <c r="W221">
        <v>0</v>
      </c>
      <c r="X221">
        <v>0</v>
      </c>
      <c r="Y221">
        <v>0</v>
      </c>
      <c r="Z221">
        <v>0</v>
      </c>
      <c r="AA221">
        <v>0</v>
      </c>
      <c r="AB221">
        <v>0</v>
      </c>
    </row>
    <row r="222" spans="1:28">
      <c r="A222">
        <v>0</v>
      </c>
      <c r="B222">
        <v>0</v>
      </c>
      <c r="C222">
        <v>0</v>
      </c>
      <c r="D222">
        <v>0</v>
      </c>
      <c r="E222">
        <v>0</v>
      </c>
      <c r="F222">
        <v>0</v>
      </c>
      <c r="G222">
        <v>0</v>
      </c>
      <c r="H222">
        <v>0</v>
      </c>
      <c r="I222">
        <v>0</v>
      </c>
      <c r="J222">
        <v>0</v>
      </c>
      <c r="K222">
        <v>0</v>
      </c>
      <c r="L222">
        <v>0</v>
      </c>
      <c r="M222">
        <v>0</v>
      </c>
      <c r="N222">
        <v>0</v>
      </c>
      <c r="O222">
        <v>0</v>
      </c>
      <c r="P222">
        <v>0</v>
      </c>
      <c r="Q222">
        <v>0</v>
      </c>
      <c r="R222">
        <v>0</v>
      </c>
      <c r="S222">
        <v>0</v>
      </c>
      <c r="T222">
        <v>0</v>
      </c>
      <c r="U222">
        <v>0</v>
      </c>
      <c r="V222">
        <v>0</v>
      </c>
      <c r="W222">
        <v>0</v>
      </c>
      <c r="X222">
        <v>0</v>
      </c>
      <c r="Y222">
        <v>0</v>
      </c>
      <c r="Z222">
        <v>0</v>
      </c>
      <c r="AA222">
        <v>0</v>
      </c>
      <c r="AB222">
        <v>0</v>
      </c>
    </row>
    <row r="223" spans="1:28">
      <c r="A223">
        <v>0</v>
      </c>
      <c r="B223">
        <v>0</v>
      </c>
      <c r="C223">
        <v>0</v>
      </c>
      <c r="D223">
        <v>0</v>
      </c>
      <c r="E223">
        <v>0</v>
      </c>
      <c r="F223">
        <v>0</v>
      </c>
      <c r="G223">
        <v>0</v>
      </c>
      <c r="H223">
        <v>0</v>
      </c>
      <c r="I223">
        <v>0</v>
      </c>
      <c r="J223">
        <v>0</v>
      </c>
      <c r="K223">
        <v>0</v>
      </c>
      <c r="L223">
        <v>0</v>
      </c>
      <c r="M223">
        <v>0</v>
      </c>
      <c r="N223">
        <v>0</v>
      </c>
      <c r="O223">
        <v>0</v>
      </c>
      <c r="P223">
        <v>0</v>
      </c>
      <c r="Q223">
        <v>0</v>
      </c>
      <c r="R223">
        <v>0</v>
      </c>
      <c r="S223">
        <v>0</v>
      </c>
      <c r="T223">
        <v>0</v>
      </c>
      <c r="U223">
        <v>0</v>
      </c>
      <c r="V223">
        <v>0</v>
      </c>
      <c r="W223">
        <v>0</v>
      </c>
      <c r="X223">
        <v>0</v>
      </c>
      <c r="Y223">
        <v>0</v>
      </c>
      <c r="Z223">
        <v>0</v>
      </c>
      <c r="AA223">
        <v>0</v>
      </c>
      <c r="AB223">
        <v>0</v>
      </c>
    </row>
    <row r="224" spans="1:28">
      <c r="A224">
        <v>0</v>
      </c>
      <c r="B224">
        <v>0</v>
      </c>
      <c r="C224">
        <v>0</v>
      </c>
      <c r="D224">
        <v>0</v>
      </c>
      <c r="E224">
        <v>0</v>
      </c>
      <c r="F224">
        <v>0</v>
      </c>
      <c r="G224">
        <v>0</v>
      </c>
      <c r="H224">
        <v>0</v>
      </c>
      <c r="I224">
        <v>0</v>
      </c>
      <c r="J224">
        <v>0</v>
      </c>
      <c r="K224">
        <v>0</v>
      </c>
      <c r="L224">
        <v>0</v>
      </c>
      <c r="M224">
        <v>0</v>
      </c>
      <c r="N224">
        <v>0</v>
      </c>
      <c r="O224">
        <v>0</v>
      </c>
      <c r="P224">
        <v>0</v>
      </c>
      <c r="Q224">
        <v>0</v>
      </c>
      <c r="R224">
        <v>0</v>
      </c>
      <c r="S224">
        <v>0</v>
      </c>
      <c r="T224">
        <v>0</v>
      </c>
      <c r="U224">
        <v>0</v>
      </c>
      <c r="V224">
        <v>0</v>
      </c>
      <c r="W224">
        <v>0</v>
      </c>
      <c r="X224">
        <v>0</v>
      </c>
      <c r="Y224">
        <v>0</v>
      </c>
      <c r="Z224">
        <v>0</v>
      </c>
      <c r="AA224">
        <v>0</v>
      </c>
      <c r="AB224">
        <v>0</v>
      </c>
    </row>
    <row r="225" spans="1:28">
      <c r="A225">
        <v>0</v>
      </c>
      <c r="B225">
        <v>0</v>
      </c>
      <c r="C225">
        <v>0</v>
      </c>
      <c r="D225">
        <v>0</v>
      </c>
      <c r="E225">
        <v>0</v>
      </c>
      <c r="F225">
        <v>0</v>
      </c>
      <c r="G225">
        <v>0</v>
      </c>
      <c r="H225">
        <v>0</v>
      </c>
      <c r="I225">
        <v>0</v>
      </c>
      <c r="J225">
        <v>0</v>
      </c>
      <c r="K225">
        <v>0</v>
      </c>
      <c r="L225">
        <v>0</v>
      </c>
      <c r="M225">
        <v>0</v>
      </c>
      <c r="N225">
        <v>0</v>
      </c>
      <c r="O225">
        <v>0</v>
      </c>
      <c r="P225">
        <v>0</v>
      </c>
      <c r="Q225">
        <v>0</v>
      </c>
      <c r="R225">
        <v>0</v>
      </c>
      <c r="S225">
        <v>0</v>
      </c>
      <c r="T225">
        <v>0</v>
      </c>
      <c r="U225">
        <v>0</v>
      </c>
      <c r="V225">
        <v>0</v>
      </c>
      <c r="W225">
        <v>0</v>
      </c>
      <c r="X225">
        <v>0</v>
      </c>
      <c r="Y225">
        <v>0</v>
      </c>
      <c r="Z225">
        <v>0</v>
      </c>
      <c r="AA225">
        <v>0</v>
      </c>
      <c r="AB225">
        <v>0</v>
      </c>
    </row>
    <row r="226" spans="1:28">
      <c r="A226">
        <v>0</v>
      </c>
      <c r="B226">
        <v>0</v>
      </c>
      <c r="C226">
        <v>0</v>
      </c>
      <c r="D226">
        <v>0</v>
      </c>
      <c r="E226">
        <v>0</v>
      </c>
      <c r="F226">
        <v>0</v>
      </c>
      <c r="G226">
        <v>0</v>
      </c>
      <c r="H226">
        <v>0</v>
      </c>
      <c r="I226">
        <v>0</v>
      </c>
      <c r="J226">
        <v>0</v>
      </c>
      <c r="K226">
        <v>0</v>
      </c>
      <c r="L226">
        <v>0</v>
      </c>
      <c r="M226">
        <v>0</v>
      </c>
      <c r="N226">
        <v>0</v>
      </c>
      <c r="O226">
        <v>0</v>
      </c>
      <c r="P226">
        <v>0</v>
      </c>
      <c r="Q226">
        <v>0</v>
      </c>
      <c r="R226">
        <v>0</v>
      </c>
      <c r="S226">
        <v>0</v>
      </c>
      <c r="T226">
        <v>0</v>
      </c>
      <c r="U226">
        <v>0</v>
      </c>
      <c r="V226">
        <v>0</v>
      </c>
      <c r="W226">
        <v>0</v>
      </c>
      <c r="X226">
        <v>0</v>
      </c>
      <c r="Y226">
        <v>0</v>
      </c>
      <c r="Z226">
        <v>0</v>
      </c>
      <c r="AA226">
        <v>0</v>
      </c>
      <c r="AB226">
        <v>0</v>
      </c>
    </row>
    <row r="227" spans="1:28">
      <c r="A227">
        <v>0</v>
      </c>
      <c r="B227">
        <v>0</v>
      </c>
      <c r="C227">
        <v>0</v>
      </c>
      <c r="D227">
        <v>0</v>
      </c>
      <c r="E227">
        <v>0</v>
      </c>
      <c r="F227">
        <v>0</v>
      </c>
      <c r="G227">
        <v>0</v>
      </c>
      <c r="H227">
        <v>0</v>
      </c>
      <c r="I227">
        <v>0</v>
      </c>
      <c r="J227">
        <v>0</v>
      </c>
      <c r="K227">
        <v>0</v>
      </c>
      <c r="L227">
        <v>0</v>
      </c>
      <c r="M227">
        <v>0</v>
      </c>
      <c r="N227">
        <v>0</v>
      </c>
      <c r="O227">
        <v>0</v>
      </c>
      <c r="P227">
        <v>0</v>
      </c>
      <c r="Q227">
        <v>0</v>
      </c>
      <c r="R227">
        <v>0</v>
      </c>
      <c r="S227">
        <v>0</v>
      </c>
      <c r="T227">
        <v>0</v>
      </c>
      <c r="U227">
        <v>0</v>
      </c>
      <c r="V227">
        <v>0</v>
      </c>
      <c r="W227">
        <v>0</v>
      </c>
      <c r="X227">
        <v>0</v>
      </c>
      <c r="Y227">
        <v>0</v>
      </c>
      <c r="Z227">
        <v>0</v>
      </c>
      <c r="AA227">
        <v>0</v>
      </c>
      <c r="AB227">
        <v>0</v>
      </c>
    </row>
    <row r="228" spans="1:28">
      <c r="A228">
        <v>0</v>
      </c>
      <c r="B228">
        <v>0</v>
      </c>
      <c r="C228">
        <v>0</v>
      </c>
      <c r="D228">
        <v>0</v>
      </c>
      <c r="E228">
        <v>0</v>
      </c>
      <c r="F228">
        <v>0</v>
      </c>
      <c r="G228">
        <v>0</v>
      </c>
      <c r="H228">
        <v>0</v>
      </c>
      <c r="I228">
        <v>0</v>
      </c>
      <c r="J228">
        <v>0</v>
      </c>
      <c r="K228">
        <v>0</v>
      </c>
      <c r="L228">
        <v>0</v>
      </c>
      <c r="M228">
        <v>0</v>
      </c>
      <c r="N228">
        <v>0</v>
      </c>
      <c r="O228">
        <v>0</v>
      </c>
      <c r="P228">
        <v>0</v>
      </c>
      <c r="Q228">
        <v>0</v>
      </c>
      <c r="R228">
        <v>0</v>
      </c>
      <c r="S228">
        <v>0</v>
      </c>
      <c r="T228">
        <v>0</v>
      </c>
      <c r="U228">
        <v>0</v>
      </c>
      <c r="V228">
        <v>0</v>
      </c>
      <c r="W228">
        <v>0</v>
      </c>
      <c r="X228">
        <v>0</v>
      </c>
      <c r="Y228">
        <v>0</v>
      </c>
      <c r="Z228">
        <v>0</v>
      </c>
      <c r="AA228">
        <v>0</v>
      </c>
      <c r="AB228">
        <v>0</v>
      </c>
    </row>
    <row r="229" spans="1:28">
      <c r="A229">
        <v>0</v>
      </c>
      <c r="B229">
        <v>0</v>
      </c>
      <c r="C229">
        <v>0</v>
      </c>
      <c r="D229">
        <v>0</v>
      </c>
      <c r="E229">
        <v>0</v>
      </c>
      <c r="F229">
        <v>0</v>
      </c>
      <c r="G229">
        <v>0</v>
      </c>
      <c r="H229">
        <v>0</v>
      </c>
      <c r="I229">
        <v>0</v>
      </c>
      <c r="J229">
        <v>0</v>
      </c>
      <c r="K229">
        <v>0</v>
      </c>
      <c r="L229">
        <v>0</v>
      </c>
      <c r="M229">
        <v>0</v>
      </c>
      <c r="N229">
        <v>0</v>
      </c>
      <c r="O229">
        <v>0</v>
      </c>
      <c r="P229">
        <v>0</v>
      </c>
      <c r="Q229">
        <v>0</v>
      </c>
      <c r="R229">
        <v>0</v>
      </c>
      <c r="S229">
        <v>0</v>
      </c>
      <c r="T229">
        <v>0</v>
      </c>
      <c r="U229">
        <v>0</v>
      </c>
      <c r="V229">
        <v>0</v>
      </c>
      <c r="W229">
        <v>0</v>
      </c>
      <c r="X229">
        <v>0</v>
      </c>
      <c r="Y229">
        <v>0</v>
      </c>
      <c r="Z229">
        <v>0</v>
      </c>
      <c r="AA229">
        <v>0</v>
      </c>
      <c r="AB229">
        <v>0</v>
      </c>
    </row>
    <row r="230" spans="1:28">
      <c r="A230">
        <v>0</v>
      </c>
      <c r="B230">
        <v>0</v>
      </c>
      <c r="C230">
        <v>0</v>
      </c>
      <c r="D230">
        <v>0</v>
      </c>
      <c r="E230">
        <v>0</v>
      </c>
      <c r="F230">
        <v>0</v>
      </c>
      <c r="G230">
        <v>0</v>
      </c>
      <c r="H230">
        <v>0</v>
      </c>
      <c r="I230">
        <v>0</v>
      </c>
      <c r="J230">
        <v>0</v>
      </c>
      <c r="K230">
        <v>0</v>
      </c>
      <c r="L230">
        <v>0</v>
      </c>
      <c r="M230">
        <v>0</v>
      </c>
      <c r="N230">
        <v>0</v>
      </c>
      <c r="O230">
        <v>0</v>
      </c>
      <c r="P230">
        <v>0</v>
      </c>
      <c r="Q230">
        <v>0</v>
      </c>
      <c r="R230">
        <v>0</v>
      </c>
      <c r="S230">
        <v>0</v>
      </c>
      <c r="T230">
        <v>0</v>
      </c>
      <c r="U230">
        <v>0</v>
      </c>
      <c r="V230">
        <v>0</v>
      </c>
      <c r="W230">
        <v>0</v>
      </c>
      <c r="X230">
        <v>0</v>
      </c>
      <c r="Y230">
        <v>0</v>
      </c>
      <c r="Z230">
        <v>0</v>
      </c>
      <c r="AA230">
        <v>0</v>
      </c>
      <c r="AB230">
        <v>0</v>
      </c>
    </row>
    <row r="231" spans="1:28">
      <c r="A231">
        <v>0</v>
      </c>
      <c r="B231">
        <v>0</v>
      </c>
      <c r="C231">
        <v>0</v>
      </c>
      <c r="D231">
        <v>0</v>
      </c>
      <c r="E231">
        <v>0</v>
      </c>
      <c r="F231">
        <v>0</v>
      </c>
      <c r="G231">
        <v>0</v>
      </c>
      <c r="H231">
        <v>0</v>
      </c>
      <c r="I231">
        <v>0</v>
      </c>
      <c r="J231">
        <v>0</v>
      </c>
      <c r="K231">
        <v>0</v>
      </c>
      <c r="L231">
        <v>0</v>
      </c>
      <c r="M231">
        <v>0</v>
      </c>
      <c r="N231">
        <v>0</v>
      </c>
      <c r="O231">
        <v>0</v>
      </c>
      <c r="P231">
        <v>0</v>
      </c>
      <c r="Q231">
        <v>0</v>
      </c>
      <c r="R231">
        <v>0</v>
      </c>
      <c r="S231">
        <v>0</v>
      </c>
      <c r="T231">
        <v>0</v>
      </c>
      <c r="U231">
        <v>0</v>
      </c>
      <c r="V231">
        <v>0</v>
      </c>
      <c r="W231">
        <v>0</v>
      </c>
      <c r="X231">
        <v>0</v>
      </c>
      <c r="Y231">
        <v>0</v>
      </c>
      <c r="Z231">
        <v>0</v>
      </c>
      <c r="AA231">
        <v>0</v>
      </c>
      <c r="AB231">
        <v>0</v>
      </c>
    </row>
    <row r="232" spans="1:28">
      <c r="A232">
        <v>0</v>
      </c>
      <c r="B232">
        <v>0</v>
      </c>
      <c r="C232">
        <v>0</v>
      </c>
      <c r="D232">
        <v>0</v>
      </c>
      <c r="E232">
        <v>0</v>
      </c>
      <c r="F232">
        <v>0</v>
      </c>
      <c r="G232">
        <v>0</v>
      </c>
      <c r="H232">
        <v>0</v>
      </c>
      <c r="I232">
        <v>0</v>
      </c>
      <c r="J232">
        <v>0</v>
      </c>
      <c r="K232">
        <v>0</v>
      </c>
      <c r="L232">
        <v>0</v>
      </c>
      <c r="M232">
        <v>0</v>
      </c>
      <c r="N232">
        <v>0</v>
      </c>
      <c r="O232">
        <v>0</v>
      </c>
      <c r="P232">
        <v>0</v>
      </c>
      <c r="Q232">
        <v>0</v>
      </c>
      <c r="R232">
        <v>0</v>
      </c>
      <c r="S232">
        <v>0</v>
      </c>
      <c r="T232">
        <v>0</v>
      </c>
      <c r="U232">
        <v>0</v>
      </c>
      <c r="V232">
        <v>0</v>
      </c>
      <c r="W232">
        <v>0</v>
      </c>
      <c r="X232">
        <v>0</v>
      </c>
      <c r="Y232">
        <v>0</v>
      </c>
      <c r="Z232">
        <v>0</v>
      </c>
      <c r="AA232">
        <v>0</v>
      </c>
      <c r="AB232">
        <v>0</v>
      </c>
    </row>
    <row r="233" spans="1:28">
      <c r="A233">
        <v>0</v>
      </c>
      <c r="B233">
        <v>0</v>
      </c>
      <c r="C233">
        <v>0</v>
      </c>
      <c r="D233">
        <v>0</v>
      </c>
      <c r="E233">
        <v>0</v>
      </c>
      <c r="F233">
        <v>0</v>
      </c>
      <c r="G233">
        <v>0</v>
      </c>
      <c r="H233">
        <v>0</v>
      </c>
      <c r="I233">
        <v>0</v>
      </c>
      <c r="J233">
        <v>0</v>
      </c>
      <c r="K233">
        <v>0</v>
      </c>
      <c r="L233">
        <v>0</v>
      </c>
      <c r="M233">
        <v>0</v>
      </c>
      <c r="N233">
        <v>0</v>
      </c>
      <c r="O233">
        <v>0</v>
      </c>
      <c r="P233">
        <v>0</v>
      </c>
      <c r="Q233">
        <v>0</v>
      </c>
      <c r="R233">
        <v>0</v>
      </c>
      <c r="S233">
        <v>0</v>
      </c>
      <c r="T233">
        <v>0</v>
      </c>
      <c r="U233">
        <v>0</v>
      </c>
      <c r="V233">
        <v>0</v>
      </c>
      <c r="W233">
        <v>0</v>
      </c>
      <c r="X233">
        <v>0</v>
      </c>
      <c r="Y233">
        <v>0</v>
      </c>
      <c r="Z233">
        <v>0</v>
      </c>
      <c r="AA233">
        <v>0</v>
      </c>
      <c r="AB233">
        <v>0</v>
      </c>
    </row>
    <row r="234" spans="1:28">
      <c r="A234">
        <v>0</v>
      </c>
      <c r="B234">
        <v>0</v>
      </c>
      <c r="C234">
        <v>0</v>
      </c>
      <c r="D234">
        <v>0</v>
      </c>
      <c r="E234">
        <v>0</v>
      </c>
      <c r="F234">
        <v>0</v>
      </c>
      <c r="G234">
        <v>0</v>
      </c>
      <c r="H234">
        <v>0</v>
      </c>
      <c r="I234">
        <v>0</v>
      </c>
      <c r="J234">
        <v>0</v>
      </c>
      <c r="K234">
        <v>0</v>
      </c>
      <c r="L234">
        <v>0</v>
      </c>
      <c r="M234">
        <v>0</v>
      </c>
      <c r="N234">
        <v>0</v>
      </c>
      <c r="O234">
        <v>0</v>
      </c>
      <c r="P234">
        <v>0</v>
      </c>
      <c r="Q234">
        <v>0</v>
      </c>
      <c r="R234">
        <v>0</v>
      </c>
      <c r="S234">
        <v>0</v>
      </c>
      <c r="T234">
        <v>0</v>
      </c>
      <c r="U234">
        <v>0</v>
      </c>
      <c r="V234">
        <v>0</v>
      </c>
      <c r="W234">
        <v>0</v>
      </c>
      <c r="X234">
        <v>0</v>
      </c>
      <c r="Y234">
        <v>0</v>
      </c>
      <c r="Z234">
        <v>0</v>
      </c>
      <c r="AA234">
        <v>0</v>
      </c>
      <c r="AB234">
        <v>0</v>
      </c>
    </row>
    <row r="235" spans="1:28">
      <c r="A235">
        <v>0</v>
      </c>
      <c r="B235">
        <v>0</v>
      </c>
      <c r="C235">
        <v>0</v>
      </c>
      <c r="D235">
        <v>0</v>
      </c>
      <c r="E235">
        <v>0</v>
      </c>
      <c r="F235">
        <v>0</v>
      </c>
      <c r="G235">
        <v>0</v>
      </c>
      <c r="H235">
        <v>0</v>
      </c>
      <c r="I235">
        <v>0</v>
      </c>
      <c r="J235">
        <v>0</v>
      </c>
      <c r="K235">
        <v>0</v>
      </c>
      <c r="L235">
        <v>0</v>
      </c>
      <c r="M235">
        <v>0</v>
      </c>
      <c r="N235">
        <v>0</v>
      </c>
      <c r="O235">
        <v>0</v>
      </c>
      <c r="P235">
        <v>0</v>
      </c>
      <c r="Q235">
        <v>0</v>
      </c>
      <c r="R235">
        <v>0</v>
      </c>
      <c r="S235">
        <v>0</v>
      </c>
      <c r="T235">
        <v>0</v>
      </c>
      <c r="U235">
        <v>0</v>
      </c>
      <c r="V235">
        <v>0</v>
      </c>
      <c r="W235">
        <v>0</v>
      </c>
      <c r="X235">
        <v>0</v>
      </c>
      <c r="Y235">
        <v>0</v>
      </c>
      <c r="Z235">
        <v>0</v>
      </c>
      <c r="AA235">
        <v>0</v>
      </c>
      <c r="AB235">
        <v>0</v>
      </c>
    </row>
    <row r="236" spans="1:28">
      <c r="A236">
        <v>0</v>
      </c>
      <c r="B236">
        <v>0</v>
      </c>
      <c r="C236">
        <v>0</v>
      </c>
      <c r="D236">
        <v>0</v>
      </c>
      <c r="E236">
        <v>0</v>
      </c>
      <c r="F236">
        <v>0</v>
      </c>
      <c r="G236">
        <v>0</v>
      </c>
      <c r="H236">
        <v>0</v>
      </c>
      <c r="I236">
        <v>0</v>
      </c>
      <c r="J236">
        <v>0</v>
      </c>
      <c r="K236">
        <v>0</v>
      </c>
      <c r="L236">
        <v>0</v>
      </c>
      <c r="M236">
        <v>0</v>
      </c>
      <c r="N236">
        <v>0</v>
      </c>
      <c r="O236">
        <v>0</v>
      </c>
      <c r="P236">
        <v>0</v>
      </c>
      <c r="Q236">
        <v>0</v>
      </c>
      <c r="R236">
        <v>0</v>
      </c>
      <c r="S236">
        <v>0</v>
      </c>
      <c r="T236">
        <v>0</v>
      </c>
      <c r="U236">
        <v>0</v>
      </c>
      <c r="V236">
        <v>0</v>
      </c>
      <c r="W236">
        <v>0</v>
      </c>
      <c r="X236">
        <v>0</v>
      </c>
      <c r="Y236">
        <v>0</v>
      </c>
      <c r="Z236">
        <v>0</v>
      </c>
      <c r="AA236">
        <v>0</v>
      </c>
      <c r="AB236">
        <v>0</v>
      </c>
    </row>
    <row r="237" spans="1:28">
      <c r="A237">
        <v>0</v>
      </c>
      <c r="B237">
        <v>0</v>
      </c>
      <c r="C237">
        <v>0</v>
      </c>
      <c r="D237">
        <v>0</v>
      </c>
      <c r="E237">
        <v>0</v>
      </c>
      <c r="F237">
        <v>0</v>
      </c>
      <c r="G237">
        <v>0</v>
      </c>
      <c r="H237">
        <v>0</v>
      </c>
      <c r="I237">
        <v>0</v>
      </c>
      <c r="J237">
        <v>0</v>
      </c>
      <c r="K237">
        <v>0</v>
      </c>
      <c r="L237">
        <v>0</v>
      </c>
      <c r="M237">
        <v>0</v>
      </c>
      <c r="N237">
        <v>0</v>
      </c>
      <c r="O237">
        <v>0</v>
      </c>
      <c r="P237">
        <v>0</v>
      </c>
      <c r="Q237">
        <v>0</v>
      </c>
      <c r="R237">
        <v>0</v>
      </c>
      <c r="S237">
        <v>0</v>
      </c>
      <c r="T237">
        <v>0</v>
      </c>
      <c r="U237">
        <v>0</v>
      </c>
      <c r="V237">
        <v>0</v>
      </c>
      <c r="W237">
        <v>0</v>
      </c>
      <c r="X237">
        <v>0</v>
      </c>
      <c r="Y237">
        <v>0</v>
      </c>
      <c r="Z237">
        <v>0</v>
      </c>
      <c r="AA237">
        <v>0</v>
      </c>
      <c r="AB237">
        <v>0</v>
      </c>
    </row>
    <row r="238" spans="1:28">
      <c r="A238">
        <v>0</v>
      </c>
      <c r="B238">
        <v>0</v>
      </c>
      <c r="C238">
        <v>0</v>
      </c>
      <c r="D238">
        <v>0</v>
      </c>
      <c r="E238">
        <v>0</v>
      </c>
      <c r="F238">
        <v>0</v>
      </c>
      <c r="G238">
        <v>0</v>
      </c>
      <c r="H238">
        <v>0</v>
      </c>
      <c r="I238">
        <v>0</v>
      </c>
      <c r="J238">
        <v>0</v>
      </c>
      <c r="K238">
        <v>0</v>
      </c>
      <c r="L238">
        <v>0</v>
      </c>
      <c r="M238">
        <v>0</v>
      </c>
      <c r="N238">
        <v>0</v>
      </c>
      <c r="O238">
        <v>0</v>
      </c>
      <c r="P238">
        <v>0</v>
      </c>
      <c r="Q238">
        <v>0</v>
      </c>
      <c r="R238">
        <v>0</v>
      </c>
      <c r="S238">
        <v>0</v>
      </c>
      <c r="T238">
        <v>0</v>
      </c>
      <c r="U238">
        <v>0</v>
      </c>
      <c r="V238">
        <v>0</v>
      </c>
      <c r="W238">
        <v>0</v>
      </c>
      <c r="X238">
        <v>0</v>
      </c>
      <c r="Y238">
        <v>0</v>
      </c>
      <c r="Z238">
        <v>0</v>
      </c>
      <c r="AA238">
        <v>0</v>
      </c>
      <c r="AB238">
        <v>0</v>
      </c>
    </row>
    <row r="239" spans="1:28">
      <c r="A239">
        <v>0</v>
      </c>
      <c r="B239">
        <v>0</v>
      </c>
      <c r="C239">
        <v>0</v>
      </c>
      <c r="D239">
        <v>0</v>
      </c>
      <c r="E239">
        <v>0</v>
      </c>
      <c r="F239">
        <v>0</v>
      </c>
      <c r="G239">
        <v>0</v>
      </c>
      <c r="H239">
        <v>0</v>
      </c>
      <c r="I239">
        <v>0</v>
      </c>
      <c r="J239">
        <v>0</v>
      </c>
      <c r="K239">
        <v>0</v>
      </c>
      <c r="L239">
        <v>0</v>
      </c>
      <c r="M239">
        <v>0</v>
      </c>
      <c r="N239">
        <v>0</v>
      </c>
      <c r="O239">
        <v>0</v>
      </c>
      <c r="P239">
        <v>0</v>
      </c>
      <c r="Q239">
        <v>0</v>
      </c>
      <c r="R239">
        <v>0</v>
      </c>
      <c r="S239">
        <v>0</v>
      </c>
      <c r="T239">
        <v>0</v>
      </c>
      <c r="U239">
        <v>0</v>
      </c>
      <c r="V239">
        <v>0</v>
      </c>
      <c r="W239">
        <v>0</v>
      </c>
      <c r="X239">
        <v>0</v>
      </c>
      <c r="Y239">
        <v>0</v>
      </c>
      <c r="Z239">
        <v>0</v>
      </c>
      <c r="AA239">
        <v>0</v>
      </c>
      <c r="AB239">
        <v>0</v>
      </c>
    </row>
    <row r="240" spans="1:28">
      <c r="A240">
        <v>0</v>
      </c>
      <c r="B240">
        <v>0</v>
      </c>
      <c r="C240">
        <v>0</v>
      </c>
      <c r="D240">
        <v>0</v>
      </c>
      <c r="E240">
        <v>0</v>
      </c>
      <c r="F240">
        <v>0</v>
      </c>
      <c r="G240">
        <v>0</v>
      </c>
      <c r="H240">
        <v>0</v>
      </c>
      <c r="I240">
        <v>0</v>
      </c>
      <c r="J240">
        <v>0</v>
      </c>
      <c r="K240">
        <v>0</v>
      </c>
      <c r="L240">
        <v>0</v>
      </c>
      <c r="M240">
        <v>0</v>
      </c>
      <c r="N240">
        <v>0</v>
      </c>
      <c r="O240">
        <v>0</v>
      </c>
      <c r="P240">
        <v>0</v>
      </c>
      <c r="Q240">
        <v>0</v>
      </c>
      <c r="R240">
        <v>0</v>
      </c>
      <c r="S240">
        <v>0</v>
      </c>
      <c r="T240">
        <v>0</v>
      </c>
      <c r="U240">
        <v>0</v>
      </c>
      <c r="V240">
        <v>0</v>
      </c>
      <c r="W240">
        <v>0</v>
      </c>
      <c r="X240">
        <v>0</v>
      </c>
      <c r="Y240">
        <v>0</v>
      </c>
      <c r="Z240">
        <v>0</v>
      </c>
      <c r="AA240">
        <v>0</v>
      </c>
      <c r="AB240">
        <v>0</v>
      </c>
    </row>
    <row r="241" spans="1:28">
      <c r="A241">
        <v>0</v>
      </c>
      <c r="B241">
        <v>0</v>
      </c>
      <c r="C241">
        <v>0</v>
      </c>
      <c r="D241">
        <v>0</v>
      </c>
      <c r="E241">
        <v>0</v>
      </c>
      <c r="F241">
        <v>0</v>
      </c>
      <c r="G241">
        <v>0</v>
      </c>
      <c r="H241">
        <v>0</v>
      </c>
      <c r="I241">
        <v>0</v>
      </c>
      <c r="J241">
        <v>0</v>
      </c>
      <c r="K241">
        <v>0</v>
      </c>
      <c r="L241">
        <v>0</v>
      </c>
      <c r="M241">
        <v>0</v>
      </c>
      <c r="N241">
        <v>0</v>
      </c>
      <c r="O241">
        <v>0</v>
      </c>
      <c r="P241">
        <v>0</v>
      </c>
      <c r="Q241">
        <v>0</v>
      </c>
      <c r="R241">
        <v>0</v>
      </c>
      <c r="S241">
        <v>0</v>
      </c>
      <c r="T241">
        <v>0</v>
      </c>
      <c r="U241">
        <v>0</v>
      </c>
      <c r="V241">
        <v>0</v>
      </c>
      <c r="W241">
        <v>0</v>
      </c>
      <c r="X241">
        <v>0</v>
      </c>
      <c r="Y241">
        <v>0</v>
      </c>
      <c r="Z241">
        <v>0</v>
      </c>
      <c r="AA241">
        <v>0</v>
      </c>
      <c r="AB241">
        <v>0</v>
      </c>
    </row>
    <row r="242" spans="1:28">
      <c r="A242">
        <v>0</v>
      </c>
      <c r="B242">
        <v>0</v>
      </c>
      <c r="C242">
        <v>0</v>
      </c>
      <c r="D242">
        <v>0</v>
      </c>
      <c r="E242">
        <v>0</v>
      </c>
      <c r="F242">
        <v>0</v>
      </c>
      <c r="G242">
        <v>0</v>
      </c>
      <c r="H242">
        <v>0</v>
      </c>
      <c r="I242">
        <v>0</v>
      </c>
      <c r="J242">
        <v>0</v>
      </c>
      <c r="K242">
        <v>0</v>
      </c>
      <c r="L242">
        <v>0</v>
      </c>
      <c r="M242">
        <v>0</v>
      </c>
      <c r="N242">
        <v>0</v>
      </c>
      <c r="O242">
        <v>0</v>
      </c>
      <c r="P242">
        <v>0</v>
      </c>
      <c r="Q242">
        <v>0</v>
      </c>
      <c r="R242">
        <v>0</v>
      </c>
      <c r="S242">
        <v>0</v>
      </c>
      <c r="T242">
        <v>0</v>
      </c>
      <c r="U242">
        <v>0</v>
      </c>
      <c r="V242">
        <v>0</v>
      </c>
      <c r="W242">
        <v>0</v>
      </c>
      <c r="X242">
        <v>0</v>
      </c>
      <c r="Y242">
        <v>0</v>
      </c>
      <c r="Z242">
        <v>0</v>
      </c>
      <c r="AA242">
        <v>0</v>
      </c>
      <c r="AB242">
        <v>0</v>
      </c>
    </row>
    <row r="243" spans="1:28">
      <c r="A243">
        <v>0</v>
      </c>
      <c r="B243">
        <v>0</v>
      </c>
      <c r="C243">
        <v>0</v>
      </c>
      <c r="D243">
        <v>0</v>
      </c>
      <c r="E243">
        <v>0</v>
      </c>
      <c r="F243">
        <v>0</v>
      </c>
      <c r="G243">
        <v>0</v>
      </c>
      <c r="H243">
        <v>0</v>
      </c>
      <c r="I243">
        <v>0</v>
      </c>
      <c r="J243">
        <v>0</v>
      </c>
      <c r="K243">
        <v>0</v>
      </c>
      <c r="L243">
        <v>0</v>
      </c>
      <c r="M243">
        <v>0</v>
      </c>
      <c r="N243">
        <v>0</v>
      </c>
      <c r="O243">
        <v>0</v>
      </c>
      <c r="P243">
        <v>0</v>
      </c>
      <c r="Q243">
        <v>0</v>
      </c>
      <c r="R243">
        <v>0</v>
      </c>
      <c r="S243">
        <v>0</v>
      </c>
      <c r="T243">
        <v>0</v>
      </c>
      <c r="U243">
        <v>0</v>
      </c>
      <c r="V243">
        <v>0</v>
      </c>
      <c r="W243">
        <v>0</v>
      </c>
      <c r="X243">
        <v>0</v>
      </c>
      <c r="Y243">
        <v>0</v>
      </c>
      <c r="Z243">
        <v>0</v>
      </c>
      <c r="AA243">
        <v>0</v>
      </c>
      <c r="AB243">
        <v>0</v>
      </c>
    </row>
    <row r="244" spans="1:28">
      <c r="A244">
        <v>0</v>
      </c>
      <c r="B244">
        <v>0</v>
      </c>
      <c r="C244">
        <v>0</v>
      </c>
      <c r="D244">
        <v>0</v>
      </c>
      <c r="E244">
        <v>0</v>
      </c>
      <c r="F244">
        <v>0</v>
      </c>
      <c r="G244">
        <v>0</v>
      </c>
      <c r="H244">
        <v>0</v>
      </c>
      <c r="I244">
        <v>0</v>
      </c>
      <c r="J244">
        <v>0</v>
      </c>
      <c r="K244">
        <v>0</v>
      </c>
      <c r="L244">
        <v>0</v>
      </c>
      <c r="M244">
        <v>0</v>
      </c>
      <c r="N244">
        <v>0</v>
      </c>
      <c r="O244">
        <v>0</v>
      </c>
      <c r="P244">
        <v>0</v>
      </c>
      <c r="Q244">
        <v>0</v>
      </c>
      <c r="R244">
        <v>0</v>
      </c>
      <c r="S244">
        <v>0</v>
      </c>
      <c r="T244">
        <v>0</v>
      </c>
      <c r="U244">
        <v>0</v>
      </c>
      <c r="V244">
        <v>0</v>
      </c>
      <c r="W244">
        <v>0</v>
      </c>
      <c r="X244">
        <v>0</v>
      </c>
      <c r="Y244">
        <v>0</v>
      </c>
      <c r="Z244">
        <v>0</v>
      </c>
      <c r="AA244">
        <v>0</v>
      </c>
      <c r="AB244">
        <v>0</v>
      </c>
    </row>
    <row r="245" spans="1:28">
      <c r="A245">
        <v>0</v>
      </c>
      <c r="B245">
        <v>0</v>
      </c>
      <c r="C245">
        <v>0</v>
      </c>
      <c r="D245">
        <v>0</v>
      </c>
      <c r="E245">
        <v>0</v>
      </c>
      <c r="F245">
        <v>0</v>
      </c>
      <c r="G245">
        <v>0</v>
      </c>
      <c r="H245">
        <v>0</v>
      </c>
      <c r="I245">
        <v>0</v>
      </c>
      <c r="J245">
        <v>0</v>
      </c>
      <c r="K245">
        <v>0</v>
      </c>
      <c r="L245">
        <v>0</v>
      </c>
      <c r="M245">
        <v>0</v>
      </c>
      <c r="N245">
        <v>0</v>
      </c>
      <c r="O245">
        <v>0</v>
      </c>
      <c r="P245">
        <v>0</v>
      </c>
      <c r="Q245">
        <v>0</v>
      </c>
      <c r="R245">
        <v>0</v>
      </c>
      <c r="S245">
        <v>0</v>
      </c>
      <c r="T245">
        <v>0</v>
      </c>
      <c r="U245">
        <v>0</v>
      </c>
      <c r="V245">
        <v>0</v>
      </c>
      <c r="W245">
        <v>0</v>
      </c>
      <c r="X245">
        <v>0</v>
      </c>
      <c r="Y245">
        <v>0</v>
      </c>
      <c r="Z245">
        <v>0</v>
      </c>
      <c r="AA245">
        <v>0</v>
      </c>
      <c r="AB245">
        <v>0</v>
      </c>
    </row>
    <row r="246" spans="1:28">
      <c r="A246">
        <v>0</v>
      </c>
      <c r="B246">
        <v>0</v>
      </c>
      <c r="C246">
        <v>0</v>
      </c>
      <c r="D246">
        <v>0</v>
      </c>
      <c r="E246">
        <v>0</v>
      </c>
      <c r="F246">
        <v>0</v>
      </c>
      <c r="G246">
        <v>0</v>
      </c>
      <c r="H246">
        <v>0</v>
      </c>
      <c r="I246">
        <v>0</v>
      </c>
      <c r="J246">
        <v>0</v>
      </c>
      <c r="K246">
        <v>0</v>
      </c>
      <c r="L246">
        <v>0</v>
      </c>
      <c r="M246">
        <v>0</v>
      </c>
      <c r="N246">
        <v>0</v>
      </c>
      <c r="O246">
        <v>0</v>
      </c>
      <c r="P246">
        <v>0</v>
      </c>
      <c r="Q246">
        <v>0</v>
      </c>
      <c r="R246">
        <v>0</v>
      </c>
      <c r="S246">
        <v>0</v>
      </c>
      <c r="T246">
        <v>0</v>
      </c>
      <c r="U246">
        <v>0</v>
      </c>
      <c r="V246">
        <v>0</v>
      </c>
      <c r="W246">
        <v>0</v>
      </c>
      <c r="X246">
        <v>0</v>
      </c>
      <c r="Y246">
        <v>0</v>
      </c>
      <c r="Z246">
        <v>0</v>
      </c>
      <c r="AA246">
        <v>0</v>
      </c>
      <c r="AB246">
        <v>0</v>
      </c>
    </row>
    <row r="247" spans="1:28">
      <c r="A247">
        <v>0</v>
      </c>
      <c r="B247">
        <v>0</v>
      </c>
      <c r="C247">
        <v>0</v>
      </c>
      <c r="D247">
        <v>0</v>
      </c>
      <c r="E247">
        <v>0</v>
      </c>
      <c r="F247">
        <v>0</v>
      </c>
      <c r="G247">
        <v>0</v>
      </c>
      <c r="H247">
        <v>0</v>
      </c>
      <c r="I247">
        <v>0</v>
      </c>
      <c r="J247">
        <v>0</v>
      </c>
      <c r="K247">
        <v>0</v>
      </c>
      <c r="L247">
        <v>0</v>
      </c>
      <c r="M247">
        <v>0</v>
      </c>
      <c r="N247">
        <v>0</v>
      </c>
      <c r="O247">
        <v>0</v>
      </c>
      <c r="P247">
        <v>0</v>
      </c>
      <c r="Q247">
        <v>0</v>
      </c>
      <c r="R247">
        <v>0</v>
      </c>
      <c r="S247">
        <v>0</v>
      </c>
      <c r="T247">
        <v>0</v>
      </c>
      <c r="U247">
        <v>0</v>
      </c>
      <c r="V247">
        <v>0</v>
      </c>
      <c r="W247">
        <v>0</v>
      </c>
      <c r="X247">
        <v>0</v>
      </c>
      <c r="Y247">
        <v>0</v>
      </c>
      <c r="Z247">
        <v>0</v>
      </c>
      <c r="AA247">
        <v>0</v>
      </c>
      <c r="AB247">
        <v>0</v>
      </c>
    </row>
    <row r="248" spans="1:28">
      <c r="A248">
        <v>0</v>
      </c>
      <c r="B248">
        <v>0</v>
      </c>
      <c r="C248">
        <v>0</v>
      </c>
      <c r="D248">
        <v>0</v>
      </c>
      <c r="E248">
        <v>0</v>
      </c>
      <c r="F248">
        <v>0</v>
      </c>
      <c r="G248">
        <v>0</v>
      </c>
      <c r="H248">
        <v>0</v>
      </c>
      <c r="I248">
        <v>0</v>
      </c>
      <c r="J248">
        <v>0</v>
      </c>
      <c r="K248">
        <v>0</v>
      </c>
      <c r="L248">
        <v>0</v>
      </c>
      <c r="M248">
        <v>0</v>
      </c>
      <c r="N248">
        <v>0</v>
      </c>
      <c r="O248">
        <v>0</v>
      </c>
      <c r="P248">
        <v>0</v>
      </c>
      <c r="Q248">
        <v>0</v>
      </c>
      <c r="R248">
        <v>0</v>
      </c>
      <c r="S248">
        <v>0</v>
      </c>
      <c r="T248">
        <v>0</v>
      </c>
      <c r="U248">
        <v>0</v>
      </c>
      <c r="V248">
        <v>0</v>
      </c>
      <c r="W248">
        <v>0</v>
      </c>
      <c r="X248">
        <v>0</v>
      </c>
      <c r="Y248">
        <v>0</v>
      </c>
      <c r="Z248">
        <v>0</v>
      </c>
      <c r="AA248">
        <v>0</v>
      </c>
      <c r="AB248">
        <v>0</v>
      </c>
    </row>
    <row r="249" spans="1:28">
      <c r="A249">
        <v>0</v>
      </c>
      <c r="B249">
        <v>0</v>
      </c>
      <c r="C249">
        <v>0</v>
      </c>
      <c r="D249">
        <v>0</v>
      </c>
      <c r="E249">
        <v>0</v>
      </c>
      <c r="F249">
        <v>0</v>
      </c>
      <c r="G249">
        <v>0</v>
      </c>
      <c r="H249">
        <v>0</v>
      </c>
      <c r="I249">
        <v>0</v>
      </c>
      <c r="J249">
        <v>0</v>
      </c>
      <c r="K249">
        <v>0</v>
      </c>
      <c r="L249">
        <v>0</v>
      </c>
      <c r="M249">
        <v>0</v>
      </c>
      <c r="N249">
        <v>0</v>
      </c>
      <c r="O249">
        <v>0</v>
      </c>
      <c r="P249">
        <v>0</v>
      </c>
      <c r="Q249">
        <v>0</v>
      </c>
      <c r="R249">
        <v>0</v>
      </c>
      <c r="S249">
        <v>0</v>
      </c>
      <c r="T249">
        <v>0</v>
      </c>
      <c r="U249">
        <v>0</v>
      </c>
      <c r="V249">
        <v>0</v>
      </c>
      <c r="W249">
        <v>0</v>
      </c>
      <c r="X249">
        <v>0</v>
      </c>
      <c r="Y249">
        <v>0</v>
      </c>
      <c r="Z249">
        <v>0</v>
      </c>
      <c r="AA249">
        <v>0</v>
      </c>
      <c r="AB249">
        <v>0</v>
      </c>
    </row>
    <row r="250" spans="1:28">
      <c r="A250">
        <v>0</v>
      </c>
      <c r="B250">
        <v>0</v>
      </c>
      <c r="C250">
        <v>0</v>
      </c>
      <c r="D250">
        <v>0</v>
      </c>
      <c r="E250">
        <v>0</v>
      </c>
      <c r="F250">
        <v>0</v>
      </c>
      <c r="G250">
        <v>0</v>
      </c>
      <c r="H250">
        <v>0</v>
      </c>
      <c r="I250">
        <v>0</v>
      </c>
      <c r="J250">
        <v>0</v>
      </c>
      <c r="K250">
        <v>0</v>
      </c>
      <c r="L250">
        <v>0</v>
      </c>
      <c r="M250">
        <v>0</v>
      </c>
      <c r="N250">
        <v>0</v>
      </c>
      <c r="O250">
        <v>0</v>
      </c>
      <c r="P250">
        <v>0</v>
      </c>
      <c r="Q250">
        <v>0</v>
      </c>
      <c r="R250">
        <v>0</v>
      </c>
      <c r="S250">
        <v>0</v>
      </c>
      <c r="T250">
        <v>0</v>
      </c>
      <c r="U250">
        <v>0</v>
      </c>
      <c r="V250">
        <v>0</v>
      </c>
      <c r="W250">
        <v>0</v>
      </c>
      <c r="X250">
        <v>0</v>
      </c>
      <c r="Y250">
        <v>0</v>
      </c>
      <c r="Z250">
        <v>0</v>
      </c>
      <c r="AA250">
        <v>0</v>
      </c>
      <c r="AB250">
        <v>0</v>
      </c>
    </row>
    <row r="251" spans="1:28">
      <c r="A251">
        <v>0</v>
      </c>
      <c r="B251">
        <v>0</v>
      </c>
      <c r="C251">
        <v>0</v>
      </c>
      <c r="D251">
        <v>0</v>
      </c>
      <c r="E251">
        <v>0</v>
      </c>
      <c r="F251">
        <v>0</v>
      </c>
      <c r="G251">
        <v>0</v>
      </c>
      <c r="H251">
        <v>0</v>
      </c>
      <c r="I251">
        <v>0</v>
      </c>
      <c r="J251">
        <v>0</v>
      </c>
      <c r="K251">
        <v>0</v>
      </c>
      <c r="L251">
        <v>0</v>
      </c>
      <c r="M251">
        <v>0</v>
      </c>
      <c r="N251">
        <v>0</v>
      </c>
      <c r="O251">
        <v>0</v>
      </c>
      <c r="P251">
        <v>0</v>
      </c>
      <c r="Q251">
        <v>0</v>
      </c>
      <c r="R251">
        <v>0</v>
      </c>
      <c r="S251">
        <v>0</v>
      </c>
      <c r="T251">
        <v>0</v>
      </c>
      <c r="U251">
        <v>0</v>
      </c>
      <c r="V251">
        <v>0</v>
      </c>
      <c r="W251">
        <v>0</v>
      </c>
      <c r="X251">
        <v>0</v>
      </c>
      <c r="Y251">
        <v>0</v>
      </c>
      <c r="Z251">
        <v>0</v>
      </c>
      <c r="AA251">
        <v>0</v>
      </c>
      <c r="AB251">
        <v>0</v>
      </c>
    </row>
    <row r="252" spans="1:28">
      <c r="A252">
        <v>0</v>
      </c>
      <c r="B252">
        <v>0</v>
      </c>
      <c r="C252">
        <v>0</v>
      </c>
      <c r="D252">
        <v>0</v>
      </c>
      <c r="E252">
        <v>0</v>
      </c>
      <c r="F252">
        <v>0</v>
      </c>
      <c r="G252">
        <v>0</v>
      </c>
      <c r="H252">
        <v>0</v>
      </c>
      <c r="I252">
        <v>0</v>
      </c>
      <c r="J252">
        <v>0</v>
      </c>
      <c r="K252">
        <v>0</v>
      </c>
      <c r="L252">
        <v>0</v>
      </c>
      <c r="M252">
        <v>0</v>
      </c>
      <c r="N252">
        <v>0</v>
      </c>
      <c r="O252">
        <v>0</v>
      </c>
      <c r="P252">
        <v>0</v>
      </c>
      <c r="Q252">
        <v>0</v>
      </c>
      <c r="R252">
        <v>0</v>
      </c>
      <c r="S252">
        <v>0</v>
      </c>
      <c r="T252">
        <v>0</v>
      </c>
      <c r="U252">
        <v>0</v>
      </c>
      <c r="V252">
        <v>0</v>
      </c>
      <c r="W252">
        <v>0</v>
      </c>
      <c r="X252">
        <v>0</v>
      </c>
      <c r="Y252">
        <v>0</v>
      </c>
      <c r="Z252">
        <v>0</v>
      </c>
      <c r="AA252">
        <v>0</v>
      </c>
      <c r="AB252">
        <v>0</v>
      </c>
    </row>
    <row r="253" spans="1:28">
      <c r="A253">
        <v>0</v>
      </c>
      <c r="B253">
        <v>0</v>
      </c>
      <c r="C253">
        <v>0</v>
      </c>
      <c r="D253">
        <v>0</v>
      </c>
      <c r="E253">
        <v>0</v>
      </c>
      <c r="F253">
        <v>0</v>
      </c>
      <c r="G253">
        <v>0</v>
      </c>
      <c r="H253">
        <v>0</v>
      </c>
      <c r="I253">
        <v>0</v>
      </c>
      <c r="J253">
        <v>0</v>
      </c>
      <c r="K253">
        <v>0</v>
      </c>
      <c r="L253">
        <v>0</v>
      </c>
      <c r="M253">
        <v>0</v>
      </c>
      <c r="N253">
        <v>0</v>
      </c>
      <c r="O253">
        <v>0</v>
      </c>
      <c r="P253">
        <v>0</v>
      </c>
      <c r="Q253">
        <v>0</v>
      </c>
      <c r="R253">
        <v>0</v>
      </c>
      <c r="S253">
        <v>0</v>
      </c>
      <c r="T253">
        <v>0</v>
      </c>
      <c r="U253">
        <v>0</v>
      </c>
      <c r="V253">
        <v>0</v>
      </c>
      <c r="W253">
        <v>0</v>
      </c>
      <c r="X253">
        <v>0</v>
      </c>
      <c r="Y253">
        <v>0</v>
      </c>
      <c r="Z253">
        <v>0</v>
      </c>
      <c r="AA253">
        <v>0</v>
      </c>
      <c r="AB253">
        <v>0</v>
      </c>
    </row>
    <row r="254" spans="1:28">
      <c r="A254">
        <v>0</v>
      </c>
      <c r="B254">
        <v>0</v>
      </c>
      <c r="C254">
        <v>0</v>
      </c>
      <c r="D254">
        <v>0</v>
      </c>
      <c r="E254">
        <v>0</v>
      </c>
      <c r="F254">
        <v>0</v>
      </c>
      <c r="G254">
        <v>0</v>
      </c>
      <c r="H254">
        <v>0</v>
      </c>
      <c r="I254">
        <v>0</v>
      </c>
      <c r="J254">
        <v>0</v>
      </c>
      <c r="K254">
        <v>0</v>
      </c>
      <c r="L254">
        <v>0</v>
      </c>
      <c r="M254">
        <v>0</v>
      </c>
      <c r="N254">
        <v>0</v>
      </c>
      <c r="O254">
        <v>0</v>
      </c>
      <c r="P254">
        <v>0</v>
      </c>
      <c r="Q254">
        <v>0</v>
      </c>
      <c r="R254">
        <v>0</v>
      </c>
      <c r="S254">
        <v>0</v>
      </c>
      <c r="T254">
        <v>0</v>
      </c>
      <c r="U254">
        <v>0</v>
      </c>
      <c r="V254">
        <v>0</v>
      </c>
      <c r="W254">
        <v>0</v>
      </c>
      <c r="X254">
        <v>0</v>
      </c>
      <c r="Y254">
        <v>0</v>
      </c>
      <c r="Z254">
        <v>0</v>
      </c>
      <c r="AA254">
        <v>0</v>
      </c>
      <c r="AB254">
        <v>0</v>
      </c>
    </row>
    <row r="255" spans="1:28">
      <c r="A255">
        <v>0</v>
      </c>
      <c r="B255">
        <v>0</v>
      </c>
      <c r="C255">
        <v>0</v>
      </c>
      <c r="D255">
        <v>0</v>
      </c>
      <c r="E255">
        <v>0</v>
      </c>
      <c r="F255">
        <v>0</v>
      </c>
      <c r="G255">
        <v>0</v>
      </c>
      <c r="H255">
        <v>0</v>
      </c>
      <c r="I255">
        <v>0</v>
      </c>
      <c r="J255">
        <v>0</v>
      </c>
      <c r="K255">
        <v>0</v>
      </c>
      <c r="L255">
        <v>0</v>
      </c>
      <c r="M255">
        <v>0</v>
      </c>
      <c r="N255">
        <v>0</v>
      </c>
      <c r="O255">
        <v>0</v>
      </c>
      <c r="P255">
        <v>0</v>
      </c>
      <c r="Q255">
        <v>0</v>
      </c>
      <c r="R255">
        <v>0</v>
      </c>
      <c r="S255">
        <v>0</v>
      </c>
      <c r="T255">
        <v>0</v>
      </c>
      <c r="U255">
        <v>0</v>
      </c>
      <c r="V255">
        <v>0</v>
      </c>
      <c r="W255">
        <v>0</v>
      </c>
      <c r="X255">
        <v>0</v>
      </c>
      <c r="Y255">
        <v>0</v>
      </c>
      <c r="Z255">
        <v>0</v>
      </c>
      <c r="AA255">
        <v>0</v>
      </c>
      <c r="AB255">
        <v>0</v>
      </c>
    </row>
    <row r="256" spans="1:28">
      <c r="A256">
        <v>0</v>
      </c>
      <c r="B256">
        <v>0</v>
      </c>
      <c r="C256">
        <v>0</v>
      </c>
      <c r="D256">
        <v>0</v>
      </c>
      <c r="E256">
        <v>0</v>
      </c>
      <c r="F256">
        <v>0</v>
      </c>
      <c r="G256">
        <v>0</v>
      </c>
      <c r="H256">
        <v>0</v>
      </c>
      <c r="I256">
        <v>0</v>
      </c>
      <c r="J256">
        <v>0</v>
      </c>
      <c r="K256">
        <v>0</v>
      </c>
      <c r="L256">
        <v>0</v>
      </c>
      <c r="M256">
        <v>0</v>
      </c>
      <c r="N256">
        <v>0</v>
      </c>
      <c r="O256">
        <v>0</v>
      </c>
      <c r="P256">
        <v>0</v>
      </c>
      <c r="Q256">
        <v>0</v>
      </c>
      <c r="R256">
        <v>0</v>
      </c>
      <c r="S256">
        <v>0</v>
      </c>
      <c r="T256">
        <v>0</v>
      </c>
      <c r="U256">
        <v>0</v>
      </c>
      <c r="V256">
        <v>0</v>
      </c>
      <c r="W256">
        <v>0</v>
      </c>
      <c r="X256">
        <v>0</v>
      </c>
      <c r="Y256">
        <v>0</v>
      </c>
      <c r="Z256">
        <v>0</v>
      </c>
      <c r="AA256">
        <v>0</v>
      </c>
      <c r="AB256">
        <v>0</v>
      </c>
    </row>
    <row r="257" spans="1:28">
      <c r="A257">
        <v>0</v>
      </c>
      <c r="B257">
        <v>0</v>
      </c>
      <c r="C257">
        <v>0</v>
      </c>
      <c r="D257">
        <v>0</v>
      </c>
      <c r="E257">
        <v>0</v>
      </c>
      <c r="F257">
        <v>0</v>
      </c>
      <c r="G257">
        <v>0</v>
      </c>
      <c r="H257">
        <v>0</v>
      </c>
      <c r="I257">
        <v>0</v>
      </c>
      <c r="J257">
        <v>0</v>
      </c>
      <c r="K257">
        <v>0</v>
      </c>
      <c r="L257">
        <v>0</v>
      </c>
      <c r="M257">
        <v>0</v>
      </c>
      <c r="N257">
        <v>0</v>
      </c>
      <c r="O257">
        <v>0</v>
      </c>
      <c r="P257">
        <v>0</v>
      </c>
      <c r="Q257">
        <v>0</v>
      </c>
      <c r="R257">
        <v>0</v>
      </c>
      <c r="S257">
        <v>0</v>
      </c>
      <c r="T257">
        <v>0</v>
      </c>
      <c r="U257">
        <v>0</v>
      </c>
      <c r="V257">
        <v>0</v>
      </c>
      <c r="W257">
        <v>0</v>
      </c>
      <c r="X257">
        <v>0</v>
      </c>
      <c r="Y257">
        <v>0</v>
      </c>
      <c r="Z257">
        <v>0</v>
      </c>
      <c r="AA257">
        <v>0</v>
      </c>
      <c r="AB257">
        <v>0</v>
      </c>
    </row>
    <row r="258" spans="1:28">
      <c r="A258">
        <v>0</v>
      </c>
      <c r="B258">
        <v>0</v>
      </c>
      <c r="C258">
        <v>0</v>
      </c>
      <c r="D258">
        <v>0</v>
      </c>
      <c r="E258">
        <v>0</v>
      </c>
      <c r="F258">
        <v>0</v>
      </c>
      <c r="G258">
        <v>0</v>
      </c>
      <c r="H258">
        <v>0</v>
      </c>
      <c r="I258">
        <v>0</v>
      </c>
      <c r="J258">
        <v>0</v>
      </c>
      <c r="K258">
        <v>0</v>
      </c>
      <c r="L258">
        <v>0</v>
      </c>
      <c r="M258">
        <v>0</v>
      </c>
      <c r="N258">
        <v>0</v>
      </c>
      <c r="O258">
        <v>0</v>
      </c>
      <c r="P258">
        <v>0</v>
      </c>
      <c r="Q258">
        <v>0</v>
      </c>
      <c r="R258">
        <v>0</v>
      </c>
      <c r="S258">
        <v>0</v>
      </c>
      <c r="T258">
        <v>0</v>
      </c>
      <c r="U258">
        <v>0</v>
      </c>
      <c r="V258">
        <v>0</v>
      </c>
      <c r="W258">
        <v>0</v>
      </c>
      <c r="X258">
        <v>0</v>
      </c>
      <c r="Y258">
        <v>0</v>
      </c>
      <c r="Z258">
        <v>0</v>
      </c>
      <c r="AA258">
        <v>0</v>
      </c>
      <c r="AB258">
        <v>0</v>
      </c>
    </row>
    <row r="259" spans="1:28">
      <c r="A259">
        <v>0</v>
      </c>
      <c r="B259">
        <v>0</v>
      </c>
      <c r="C259">
        <v>0</v>
      </c>
      <c r="D259">
        <v>0</v>
      </c>
      <c r="E259">
        <v>0</v>
      </c>
      <c r="F259">
        <v>0</v>
      </c>
      <c r="G259">
        <v>0</v>
      </c>
      <c r="H259">
        <v>0</v>
      </c>
      <c r="I259">
        <v>0</v>
      </c>
      <c r="J259">
        <v>0</v>
      </c>
      <c r="K259">
        <v>0</v>
      </c>
      <c r="L259">
        <v>0</v>
      </c>
      <c r="M259">
        <v>0</v>
      </c>
      <c r="N259">
        <v>0</v>
      </c>
      <c r="O259">
        <v>0</v>
      </c>
      <c r="P259">
        <v>0</v>
      </c>
      <c r="Q259">
        <v>0</v>
      </c>
      <c r="R259">
        <v>0</v>
      </c>
      <c r="S259">
        <v>0</v>
      </c>
      <c r="T259">
        <v>0</v>
      </c>
      <c r="U259">
        <v>0</v>
      </c>
      <c r="V259">
        <v>0</v>
      </c>
      <c r="W259">
        <v>0</v>
      </c>
      <c r="X259">
        <v>0</v>
      </c>
      <c r="Y259">
        <v>0</v>
      </c>
      <c r="Z259">
        <v>0</v>
      </c>
      <c r="AA259">
        <v>0</v>
      </c>
      <c r="AB259">
        <v>0</v>
      </c>
    </row>
    <row r="260" spans="1:28">
      <c r="A260">
        <v>0</v>
      </c>
      <c r="B260">
        <v>0</v>
      </c>
      <c r="C260">
        <v>0</v>
      </c>
      <c r="D260">
        <v>0</v>
      </c>
      <c r="E260">
        <v>0</v>
      </c>
      <c r="F260">
        <v>0</v>
      </c>
      <c r="G260">
        <v>0</v>
      </c>
      <c r="H260">
        <v>0</v>
      </c>
      <c r="I260">
        <v>0</v>
      </c>
      <c r="J260">
        <v>0</v>
      </c>
      <c r="K260">
        <v>0</v>
      </c>
      <c r="L260">
        <v>0</v>
      </c>
      <c r="M260">
        <v>0</v>
      </c>
      <c r="N260">
        <v>0</v>
      </c>
      <c r="O260">
        <v>0</v>
      </c>
      <c r="P260">
        <v>0</v>
      </c>
      <c r="Q260">
        <v>0</v>
      </c>
      <c r="R260">
        <v>0</v>
      </c>
      <c r="S260">
        <v>0</v>
      </c>
      <c r="T260">
        <v>0</v>
      </c>
      <c r="U260">
        <v>0</v>
      </c>
      <c r="V260">
        <v>0</v>
      </c>
      <c r="W260">
        <v>0</v>
      </c>
      <c r="X260">
        <v>0</v>
      </c>
      <c r="Y260">
        <v>0</v>
      </c>
      <c r="Z260">
        <v>0</v>
      </c>
      <c r="AA260">
        <v>0</v>
      </c>
      <c r="AB260">
        <v>0</v>
      </c>
    </row>
    <row r="261" spans="1:28">
      <c r="A261">
        <v>0</v>
      </c>
      <c r="B261">
        <v>0</v>
      </c>
      <c r="C261">
        <v>0</v>
      </c>
      <c r="D261">
        <v>0</v>
      </c>
      <c r="E261">
        <v>0</v>
      </c>
      <c r="F261">
        <v>0</v>
      </c>
      <c r="G261">
        <v>0</v>
      </c>
      <c r="H261">
        <v>0</v>
      </c>
      <c r="I261">
        <v>0</v>
      </c>
      <c r="J261">
        <v>0</v>
      </c>
      <c r="K261">
        <v>0</v>
      </c>
      <c r="L261">
        <v>0</v>
      </c>
      <c r="M261">
        <v>0</v>
      </c>
      <c r="N261">
        <v>0</v>
      </c>
      <c r="O261">
        <v>0</v>
      </c>
      <c r="P261">
        <v>0</v>
      </c>
      <c r="Q261">
        <v>0</v>
      </c>
      <c r="R261">
        <v>0</v>
      </c>
      <c r="S261">
        <v>0</v>
      </c>
      <c r="T261">
        <v>0</v>
      </c>
      <c r="U261">
        <v>0</v>
      </c>
      <c r="V261">
        <v>0</v>
      </c>
      <c r="W261">
        <v>0</v>
      </c>
      <c r="X261">
        <v>0</v>
      </c>
      <c r="Y261">
        <v>0</v>
      </c>
      <c r="Z261">
        <v>0</v>
      </c>
      <c r="AA261">
        <v>0</v>
      </c>
      <c r="AB261">
        <v>0</v>
      </c>
    </row>
    <row r="262" spans="1:28">
      <c r="A262">
        <v>0</v>
      </c>
      <c r="B262">
        <v>0</v>
      </c>
      <c r="C262">
        <v>0</v>
      </c>
      <c r="D262">
        <v>0</v>
      </c>
      <c r="E262">
        <v>0</v>
      </c>
      <c r="F262">
        <v>0</v>
      </c>
      <c r="G262">
        <v>0</v>
      </c>
      <c r="H262">
        <v>0</v>
      </c>
      <c r="I262">
        <v>0</v>
      </c>
      <c r="J262">
        <v>0</v>
      </c>
      <c r="K262">
        <v>0</v>
      </c>
      <c r="L262">
        <v>0</v>
      </c>
      <c r="M262">
        <v>0</v>
      </c>
      <c r="N262">
        <v>0</v>
      </c>
      <c r="O262">
        <v>0</v>
      </c>
      <c r="P262">
        <v>0</v>
      </c>
      <c r="Q262">
        <v>0</v>
      </c>
      <c r="R262">
        <v>0</v>
      </c>
      <c r="S262">
        <v>0</v>
      </c>
      <c r="T262">
        <v>0</v>
      </c>
      <c r="U262">
        <v>0</v>
      </c>
      <c r="V262">
        <v>0</v>
      </c>
      <c r="W262">
        <v>0</v>
      </c>
      <c r="X262">
        <v>0</v>
      </c>
      <c r="Y262">
        <v>0</v>
      </c>
      <c r="Z262">
        <v>0</v>
      </c>
      <c r="AA262">
        <v>0</v>
      </c>
      <c r="AB262">
        <v>0</v>
      </c>
    </row>
    <row r="263" spans="1:28">
      <c r="A263">
        <v>0</v>
      </c>
      <c r="B263">
        <v>0</v>
      </c>
      <c r="C263">
        <v>0</v>
      </c>
      <c r="D263">
        <v>0</v>
      </c>
      <c r="E263">
        <v>0</v>
      </c>
      <c r="F263">
        <v>0</v>
      </c>
      <c r="G263">
        <v>0</v>
      </c>
      <c r="H263">
        <v>0</v>
      </c>
      <c r="I263">
        <v>0</v>
      </c>
      <c r="J263">
        <v>0</v>
      </c>
      <c r="K263">
        <v>0</v>
      </c>
      <c r="L263">
        <v>0</v>
      </c>
      <c r="M263">
        <v>0</v>
      </c>
      <c r="N263">
        <v>0</v>
      </c>
      <c r="O263">
        <v>0</v>
      </c>
      <c r="P263">
        <v>0</v>
      </c>
      <c r="Q263">
        <v>0</v>
      </c>
      <c r="R263">
        <v>0</v>
      </c>
      <c r="S263">
        <v>0</v>
      </c>
      <c r="T263">
        <v>0</v>
      </c>
      <c r="U263">
        <v>0</v>
      </c>
      <c r="V263">
        <v>0</v>
      </c>
      <c r="W263">
        <v>0</v>
      </c>
      <c r="X263">
        <v>0</v>
      </c>
      <c r="Y263">
        <v>0</v>
      </c>
      <c r="Z263">
        <v>0</v>
      </c>
      <c r="AA263">
        <v>0</v>
      </c>
      <c r="AB263">
        <v>0</v>
      </c>
    </row>
    <row r="264" spans="1:28">
      <c r="A264">
        <v>0</v>
      </c>
      <c r="B264">
        <v>0</v>
      </c>
      <c r="C264">
        <v>0</v>
      </c>
      <c r="D264">
        <v>0</v>
      </c>
      <c r="E264">
        <v>0</v>
      </c>
      <c r="F264">
        <v>0</v>
      </c>
      <c r="G264">
        <v>0</v>
      </c>
      <c r="H264">
        <v>0</v>
      </c>
      <c r="I264">
        <v>0</v>
      </c>
      <c r="J264">
        <v>0</v>
      </c>
      <c r="K264">
        <v>0</v>
      </c>
      <c r="L264">
        <v>0</v>
      </c>
      <c r="M264">
        <v>0</v>
      </c>
      <c r="N264">
        <v>0</v>
      </c>
      <c r="O264">
        <v>0</v>
      </c>
      <c r="P264">
        <v>0</v>
      </c>
      <c r="Q264">
        <v>0</v>
      </c>
      <c r="R264">
        <v>0</v>
      </c>
      <c r="S264">
        <v>0</v>
      </c>
      <c r="T264">
        <v>0</v>
      </c>
      <c r="U264">
        <v>0</v>
      </c>
      <c r="V264">
        <v>0</v>
      </c>
      <c r="W264">
        <v>0</v>
      </c>
      <c r="X264">
        <v>0</v>
      </c>
      <c r="Y264">
        <v>0</v>
      </c>
      <c r="Z264">
        <v>0</v>
      </c>
      <c r="AA264">
        <v>0</v>
      </c>
      <c r="AB264">
        <v>0</v>
      </c>
    </row>
    <row r="265" spans="1:28">
      <c r="A265">
        <v>0</v>
      </c>
      <c r="B265">
        <v>0</v>
      </c>
      <c r="C265">
        <v>0</v>
      </c>
      <c r="D265">
        <v>0</v>
      </c>
      <c r="E265">
        <v>0</v>
      </c>
      <c r="F265">
        <v>0</v>
      </c>
      <c r="G265">
        <v>0</v>
      </c>
      <c r="H265">
        <v>0</v>
      </c>
      <c r="I265">
        <v>0</v>
      </c>
      <c r="J265">
        <v>0</v>
      </c>
      <c r="K265">
        <v>0</v>
      </c>
      <c r="L265">
        <v>0</v>
      </c>
      <c r="M265">
        <v>0</v>
      </c>
      <c r="N265">
        <v>0</v>
      </c>
      <c r="O265">
        <v>0</v>
      </c>
      <c r="P265">
        <v>0</v>
      </c>
      <c r="Q265">
        <v>0</v>
      </c>
      <c r="R265">
        <v>0</v>
      </c>
      <c r="S265">
        <v>0</v>
      </c>
      <c r="T265">
        <v>0</v>
      </c>
      <c r="U265">
        <v>0</v>
      </c>
      <c r="V265">
        <v>0</v>
      </c>
      <c r="W265">
        <v>0</v>
      </c>
      <c r="X265">
        <v>0</v>
      </c>
      <c r="Y265">
        <v>0</v>
      </c>
      <c r="Z265">
        <v>0</v>
      </c>
      <c r="AA265">
        <v>0</v>
      </c>
      <c r="AB265">
        <v>0</v>
      </c>
    </row>
    <row r="266" spans="1:28">
      <c r="A266">
        <v>0</v>
      </c>
      <c r="B266">
        <v>0</v>
      </c>
      <c r="C266">
        <v>0</v>
      </c>
      <c r="D266">
        <v>0</v>
      </c>
      <c r="E266">
        <v>0</v>
      </c>
      <c r="F266">
        <v>0</v>
      </c>
      <c r="G266">
        <v>0</v>
      </c>
      <c r="H266">
        <v>0</v>
      </c>
      <c r="I266">
        <v>0</v>
      </c>
      <c r="J266">
        <v>0</v>
      </c>
      <c r="K266">
        <v>0</v>
      </c>
      <c r="L266">
        <v>0</v>
      </c>
      <c r="M266">
        <v>0</v>
      </c>
      <c r="N266">
        <v>0</v>
      </c>
      <c r="O266">
        <v>0</v>
      </c>
      <c r="P266">
        <v>0</v>
      </c>
      <c r="Q266">
        <v>0</v>
      </c>
      <c r="R266">
        <v>0</v>
      </c>
      <c r="S266">
        <v>0</v>
      </c>
      <c r="T266">
        <v>0</v>
      </c>
      <c r="U266">
        <v>0</v>
      </c>
      <c r="V266">
        <v>0</v>
      </c>
      <c r="W266">
        <v>0</v>
      </c>
      <c r="X266">
        <v>0</v>
      </c>
      <c r="Y266">
        <v>0</v>
      </c>
      <c r="Z266">
        <v>0</v>
      </c>
      <c r="AA266">
        <v>0</v>
      </c>
      <c r="AB266">
        <v>0</v>
      </c>
    </row>
    <row r="267" spans="1:28">
      <c r="A267">
        <v>0</v>
      </c>
      <c r="B267">
        <v>0</v>
      </c>
      <c r="C267">
        <v>0</v>
      </c>
      <c r="D267">
        <v>0</v>
      </c>
      <c r="E267">
        <v>0</v>
      </c>
      <c r="F267">
        <v>0</v>
      </c>
      <c r="G267">
        <v>0</v>
      </c>
      <c r="H267">
        <v>0</v>
      </c>
      <c r="I267">
        <v>0</v>
      </c>
      <c r="J267">
        <v>0</v>
      </c>
      <c r="K267">
        <v>0</v>
      </c>
      <c r="L267">
        <v>0</v>
      </c>
      <c r="M267">
        <v>0</v>
      </c>
      <c r="N267">
        <v>0</v>
      </c>
      <c r="O267">
        <v>0</v>
      </c>
      <c r="P267">
        <v>0</v>
      </c>
      <c r="Q267">
        <v>0</v>
      </c>
      <c r="R267">
        <v>0</v>
      </c>
      <c r="S267">
        <v>0</v>
      </c>
      <c r="T267">
        <v>0</v>
      </c>
      <c r="U267">
        <v>0</v>
      </c>
      <c r="V267">
        <v>0</v>
      </c>
      <c r="W267">
        <v>0</v>
      </c>
      <c r="X267">
        <v>0</v>
      </c>
      <c r="Y267">
        <v>0</v>
      </c>
      <c r="Z267">
        <v>0</v>
      </c>
      <c r="AA267">
        <v>0</v>
      </c>
      <c r="AB267">
        <v>0</v>
      </c>
    </row>
    <row r="268" spans="1:28">
      <c r="A268">
        <v>0</v>
      </c>
      <c r="B268">
        <v>0</v>
      </c>
      <c r="C268">
        <v>0</v>
      </c>
      <c r="D268">
        <v>0</v>
      </c>
      <c r="E268">
        <v>0</v>
      </c>
      <c r="F268">
        <v>0</v>
      </c>
      <c r="G268">
        <v>0</v>
      </c>
      <c r="H268">
        <v>0</v>
      </c>
      <c r="I268">
        <v>0</v>
      </c>
      <c r="J268">
        <v>0</v>
      </c>
      <c r="K268">
        <v>0</v>
      </c>
      <c r="L268">
        <v>0</v>
      </c>
      <c r="M268">
        <v>0</v>
      </c>
      <c r="N268">
        <v>0</v>
      </c>
      <c r="O268">
        <v>0</v>
      </c>
      <c r="P268">
        <v>0</v>
      </c>
      <c r="Q268">
        <v>0</v>
      </c>
      <c r="R268">
        <v>0</v>
      </c>
      <c r="S268">
        <v>0</v>
      </c>
      <c r="T268">
        <v>0</v>
      </c>
      <c r="U268">
        <v>0</v>
      </c>
      <c r="V268">
        <v>0</v>
      </c>
      <c r="W268">
        <v>0</v>
      </c>
      <c r="X268">
        <v>0</v>
      </c>
      <c r="Y268">
        <v>0</v>
      </c>
      <c r="Z268">
        <v>0</v>
      </c>
      <c r="AA268">
        <v>0</v>
      </c>
      <c r="AB268">
        <v>0</v>
      </c>
    </row>
    <row r="269" spans="1:28">
      <c r="A269">
        <v>0</v>
      </c>
      <c r="B269">
        <v>0</v>
      </c>
      <c r="C269">
        <v>0</v>
      </c>
      <c r="D269">
        <v>0</v>
      </c>
      <c r="E269">
        <v>0</v>
      </c>
      <c r="F269">
        <v>0</v>
      </c>
      <c r="G269">
        <v>0</v>
      </c>
      <c r="H269">
        <v>0</v>
      </c>
      <c r="I269">
        <v>0</v>
      </c>
      <c r="J269">
        <v>0</v>
      </c>
      <c r="K269">
        <v>0</v>
      </c>
      <c r="L269">
        <v>0</v>
      </c>
      <c r="M269">
        <v>0</v>
      </c>
      <c r="N269">
        <v>0</v>
      </c>
      <c r="O269">
        <v>0</v>
      </c>
      <c r="P269">
        <v>0</v>
      </c>
      <c r="Q269">
        <v>0</v>
      </c>
      <c r="R269">
        <v>0</v>
      </c>
      <c r="S269">
        <v>0</v>
      </c>
      <c r="T269">
        <v>0</v>
      </c>
      <c r="U269">
        <v>0</v>
      </c>
      <c r="V269">
        <v>0</v>
      </c>
      <c r="W269">
        <v>0</v>
      </c>
      <c r="X269">
        <v>0</v>
      </c>
      <c r="Y269">
        <v>0</v>
      </c>
      <c r="Z269">
        <v>0</v>
      </c>
      <c r="AA269">
        <v>0</v>
      </c>
      <c r="AB269">
        <v>0</v>
      </c>
    </row>
    <row r="270" spans="1:28">
      <c r="A270">
        <v>0</v>
      </c>
      <c r="B270">
        <v>0</v>
      </c>
      <c r="C270">
        <v>0</v>
      </c>
      <c r="D270">
        <v>0</v>
      </c>
      <c r="E270">
        <v>0</v>
      </c>
      <c r="F270">
        <v>0</v>
      </c>
      <c r="G270">
        <v>0</v>
      </c>
      <c r="H270">
        <v>0</v>
      </c>
      <c r="I270">
        <v>0</v>
      </c>
      <c r="J270">
        <v>0</v>
      </c>
      <c r="K270">
        <v>0</v>
      </c>
      <c r="L270">
        <v>0</v>
      </c>
      <c r="M270">
        <v>0</v>
      </c>
      <c r="N270">
        <v>0</v>
      </c>
      <c r="O270">
        <v>0</v>
      </c>
      <c r="P270">
        <v>0</v>
      </c>
      <c r="Q270">
        <v>0</v>
      </c>
      <c r="R270">
        <v>0</v>
      </c>
      <c r="S270">
        <v>0</v>
      </c>
      <c r="T270">
        <v>0</v>
      </c>
      <c r="U270">
        <v>0</v>
      </c>
      <c r="V270">
        <v>0</v>
      </c>
      <c r="W270">
        <v>0</v>
      </c>
      <c r="X270">
        <v>0</v>
      </c>
      <c r="Y270">
        <v>0</v>
      </c>
      <c r="Z270">
        <v>0</v>
      </c>
      <c r="AA270">
        <v>0</v>
      </c>
      <c r="AB270">
        <v>0</v>
      </c>
    </row>
    <row r="271" spans="1:28">
      <c r="A271">
        <v>0</v>
      </c>
      <c r="B271">
        <v>0</v>
      </c>
      <c r="C271">
        <v>0</v>
      </c>
      <c r="D271">
        <v>0</v>
      </c>
      <c r="E271">
        <v>0</v>
      </c>
      <c r="F271">
        <v>0</v>
      </c>
      <c r="G271">
        <v>0</v>
      </c>
      <c r="H271">
        <v>0</v>
      </c>
      <c r="I271">
        <v>0</v>
      </c>
      <c r="J271">
        <v>0</v>
      </c>
      <c r="K271">
        <v>0</v>
      </c>
      <c r="L271">
        <v>0</v>
      </c>
      <c r="M271">
        <v>0</v>
      </c>
      <c r="N271">
        <v>0</v>
      </c>
      <c r="O271">
        <v>0</v>
      </c>
      <c r="P271">
        <v>0</v>
      </c>
      <c r="Q271">
        <v>0</v>
      </c>
      <c r="R271">
        <v>0</v>
      </c>
      <c r="S271">
        <v>0</v>
      </c>
      <c r="T271">
        <v>0</v>
      </c>
      <c r="U271">
        <v>0</v>
      </c>
      <c r="V271">
        <v>0</v>
      </c>
      <c r="W271">
        <v>0</v>
      </c>
      <c r="X271">
        <v>0</v>
      </c>
      <c r="Y271">
        <v>0</v>
      </c>
      <c r="Z271">
        <v>0</v>
      </c>
      <c r="AA271">
        <v>0</v>
      </c>
      <c r="AB271">
        <v>0</v>
      </c>
    </row>
    <row r="272" spans="1:28">
      <c r="A272">
        <v>0</v>
      </c>
      <c r="B272">
        <v>0</v>
      </c>
      <c r="C272">
        <v>0</v>
      </c>
      <c r="D272">
        <v>0</v>
      </c>
      <c r="E272">
        <v>0</v>
      </c>
      <c r="F272">
        <v>0</v>
      </c>
      <c r="G272">
        <v>0</v>
      </c>
      <c r="H272">
        <v>0</v>
      </c>
      <c r="I272">
        <v>0</v>
      </c>
      <c r="J272">
        <v>0</v>
      </c>
      <c r="K272">
        <v>0</v>
      </c>
      <c r="L272">
        <v>0</v>
      </c>
      <c r="M272">
        <v>0</v>
      </c>
      <c r="N272">
        <v>0</v>
      </c>
      <c r="O272">
        <v>0</v>
      </c>
      <c r="P272">
        <v>0</v>
      </c>
      <c r="Q272">
        <v>0</v>
      </c>
      <c r="R272">
        <v>0</v>
      </c>
      <c r="S272">
        <v>0</v>
      </c>
      <c r="T272">
        <v>0</v>
      </c>
      <c r="U272">
        <v>0</v>
      </c>
      <c r="V272">
        <v>0</v>
      </c>
      <c r="W272">
        <v>0</v>
      </c>
      <c r="X272">
        <v>0</v>
      </c>
      <c r="Y272">
        <v>0</v>
      </c>
      <c r="Z272">
        <v>0</v>
      </c>
      <c r="AA272">
        <v>0</v>
      </c>
      <c r="AB272">
        <v>0</v>
      </c>
    </row>
    <row r="273" spans="1:28">
      <c r="A273">
        <v>0</v>
      </c>
      <c r="B273">
        <v>0</v>
      </c>
      <c r="C273">
        <v>0</v>
      </c>
      <c r="D273">
        <v>0</v>
      </c>
      <c r="E273">
        <v>0</v>
      </c>
      <c r="F273">
        <v>0</v>
      </c>
      <c r="G273">
        <v>0</v>
      </c>
      <c r="H273">
        <v>0</v>
      </c>
      <c r="I273">
        <v>0</v>
      </c>
      <c r="J273">
        <v>0</v>
      </c>
      <c r="K273">
        <v>0</v>
      </c>
      <c r="L273">
        <v>0</v>
      </c>
      <c r="M273">
        <v>0</v>
      </c>
      <c r="N273">
        <v>0</v>
      </c>
      <c r="O273">
        <v>0</v>
      </c>
      <c r="P273">
        <v>0</v>
      </c>
      <c r="Q273">
        <v>0</v>
      </c>
      <c r="R273">
        <v>0</v>
      </c>
      <c r="S273">
        <v>0</v>
      </c>
      <c r="T273">
        <v>0</v>
      </c>
      <c r="U273">
        <v>0</v>
      </c>
      <c r="V273">
        <v>0</v>
      </c>
      <c r="W273">
        <v>0</v>
      </c>
      <c r="X273">
        <v>0</v>
      </c>
      <c r="Y273">
        <v>0</v>
      </c>
      <c r="Z273">
        <v>0</v>
      </c>
      <c r="AA273">
        <v>0</v>
      </c>
      <c r="AB273">
        <v>0</v>
      </c>
    </row>
    <row r="274" spans="1:28">
      <c r="A274">
        <v>0</v>
      </c>
      <c r="B274">
        <v>0</v>
      </c>
      <c r="C274">
        <v>0</v>
      </c>
      <c r="D274">
        <v>0</v>
      </c>
      <c r="E274">
        <v>0</v>
      </c>
      <c r="F274">
        <v>0</v>
      </c>
      <c r="G274">
        <v>0</v>
      </c>
      <c r="H274">
        <v>0</v>
      </c>
      <c r="I274">
        <v>0</v>
      </c>
      <c r="J274">
        <v>0</v>
      </c>
      <c r="K274">
        <v>0</v>
      </c>
      <c r="L274">
        <v>0</v>
      </c>
      <c r="M274">
        <v>0</v>
      </c>
      <c r="N274">
        <v>0</v>
      </c>
      <c r="O274">
        <v>0</v>
      </c>
      <c r="P274">
        <v>0</v>
      </c>
      <c r="Q274">
        <v>0</v>
      </c>
      <c r="R274">
        <v>0</v>
      </c>
      <c r="S274">
        <v>0</v>
      </c>
      <c r="T274">
        <v>0</v>
      </c>
      <c r="U274">
        <v>0</v>
      </c>
      <c r="V274">
        <v>0</v>
      </c>
      <c r="W274">
        <v>0</v>
      </c>
      <c r="X274">
        <v>0</v>
      </c>
      <c r="Y274">
        <v>0</v>
      </c>
      <c r="Z274">
        <v>0</v>
      </c>
      <c r="AA274">
        <v>0</v>
      </c>
      <c r="AB274">
        <v>0</v>
      </c>
    </row>
    <row r="275" spans="1:28">
      <c r="A275">
        <v>0</v>
      </c>
      <c r="B275">
        <v>0</v>
      </c>
      <c r="C275">
        <v>0</v>
      </c>
      <c r="D275">
        <v>0</v>
      </c>
      <c r="E275">
        <v>0</v>
      </c>
      <c r="F275">
        <v>0</v>
      </c>
      <c r="G275">
        <v>0</v>
      </c>
      <c r="H275">
        <v>0</v>
      </c>
      <c r="I275">
        <v>0</v>
      </c>
      <c r="J275">
        <v>0</v>
      </c>
      <c r="K275">
        <v>0</v>
      </c>
      <c r="L275">
        <v>0</v>
      </c>
      <c r="M275">
        <v>0</v>
      </c>
      <c r="N275">
        <v>0</v>
      </c>
      <c r="O275">
        <v>0</v>
      </c>
      <c r="P275">
        <v>0</v>
      </c>
      <c r="Q275">
        <v>0</v>
      </c>
      <c r="R275">
        <v>0</v>
      </c>
      <c r="S275">
        <v>0</v>
      </c>
      <c r="T275">
        <v>0</v>
      </c>
      <c r="U275">
        <v>0</v>
      </c>
      <c r="V275">
        <v>0</v>
      </c>
      <c r="W275">
        <v>0</v>
      </c>
      <c r="X275">
        <v>0</v>
      </c>
      <c r="Y275">
        <v>0</v>
      </c>
      <c r="Z275">
        <v>0</v>
      </c>
      <c r="AA275">
        <v>0</v>
      </c>
      <c r="AB275">
        <v>0</v>
      </c>
    </row>
    <row r="276" spans="1:28">
      <c r="A276">
        <v>0</v>
      </c>
      <c r="B276">
        <v>0</v>
      </c>
      <c r="C276">
        <v>0</v>
      </c>
      <c r="D276">
        <v>0</v>
      </c>
      <c r="E276">
        <v>0</v>
      </c>
      <c r="F276">
        <v>0</v>
      </c>
      <c r="G276">
        <v>0</v>
      </c>
      <c r="H276">
        <v>0</v>
      </c>
      <c r="I276">
        <v>0</v>
      </c>
      <c r="J276">
        <v>0</v>
      </c>
      <c r="K276">
        <v>0</v>
      </c>
      <c r="L276">
        <v>0</v>
      </c>
      <c r="M276">
        <v>0</v>
      </c>
      <c r="N276">
        <v>0</v>
      </c>
      <c r="O276">
        <v>0</v>
      </c>
      <c r="P276">
        <v>0</v>
      </c>
      <c r="Q276">
        <v>0</v>
      </c>
      <c r="R276">
        <v>0</v>
      </c>
      <c r="S276">
        <v>0</v>
      </c>
      <c r="T276">
        <v>0</v>
      </c>
      <c r="U276">
        <v>0</v>
      </c>
      <c r="V276">
        <v>0</v>
      </c>
      <c r="W276">
        <v>0</v>
      </c>
      <c r="X276">
        <v>0</v>
      </c>
      <c r="Y276">
        <v>0</v>
      </c>
      <c r="Z276">
        <v>0</v>
      </c>
      <c r="AA276">
        <v>0</v>
      </c>
      <c r="AB276">
        <v>0</v>
      </c>
    </row>
    <row r="277" spans="1:28">
      <c r="A277">
        <v>0</v>
      </c>
      <c r="B277">
        <v>0</v>
      </c>
      <c r="C277">
        <v>0</v>
      </c>
      <c r="D277">
        <v>0</v>
      </c>
      <c r="E277">
        <v>0</v>
      </c>
      <c r="F277">
        <v>0</v>
      </c>
      <c r="G277">
        <v>0</v>
      </c>
      <c r="H277">
        <v>0</v>
      </c>
      <c r="I277">
        <v>0</v>
      </c>
      <c r="J277">
        <v>0</v>
      </c>
      <c r="K277">
        <v>0</v>
      </c>
      <c r="L277">
        <v>0</v>
      </c>
      <c r="M277">
        <v>0</v>
      </c>
      <c r="N277">
        <v>0</v>
      </c>
      <c r="O277">
        <v>0</v>
      </c>
      <c r="P277">
        <v>0</v>
      </c>
      <c r="Q277">
        <v>0</v>
      </c>
      <c r="R277">
        <v>0</v>
      </c>
      <c r="S277">
        <v>0</v>
      </c>
      <c r="T277">
        <v>0</v>
      </c>
      <c r="U277">
        <v>0</v>
      </c>
      <c r="V277">
        <v>0</v>
      </c>
      <c r="W277">
        <v>0</v>
      </c>
      <c r="X277">
        <v>0</v>
      </c>
      <c r="Y277">
        <v>0</v>
      </c>
      <c r="Z277">
        <v>0</v>
      </c>
      <c r="AA277">
        <v>0</v>
      </c>
      <c r="AB277">
        <v>0</v>
      </c>
    </row>
    <row r="278" spans="1:28">
      <c r="A278">
        <v>0</v>
      </c>
      <c r="B278">
        <v>0</v>
      </c>
      <c r="C278">
        <v>0</v>
      </c>
      <c r="D278">
        <v>0</v>
      </c>
      <c r="E278">
        <v>0</v>
      </c>
      <c r="F278">
        <v>0</v>
      </c>
      <c r="G278">
        <v>0</v>
      </c>
      <c r="H278">
        <v>0</v>
      </c>
      <c r="I278">
        <v>0</v>
      </c>
      <c r="J278">
        <v>0</v>
      </c>
      <c r="K278">
        <v>0</v>
      </c>
      <c r="L278">
        <v>0</v>
      </c>
      <c r="M278">
        <v>0</v>
      </c>
      <c r="N278">
        <v>0</v>
      </c>
      <c r="O278">
        <v>0</v>
      </c>
      <c r="P278">
        <v>0</v>
      </c>
      <c r="Q278">
        <v>0</v>
      </c>
      <c r="R278">
        <v>0</v>
      </c>
      <c r="S278">
        <v>0</v>
      </c>
      <c r="T278">
        <v>0</v>
      </c>
      <c r="U278">
        <v>0</v>
      </c>
      <c r="V278">
        <v>0</v>
      </c>
      <c r="W278">
        <v>0</v>
      </c>
      <c r="X278">
        <v>0</v>
      </c>
      <c r="Y278">
        <v>0</v>
      </c>
      <c r="Z278">
        <v>0</v>
      </c>
      <c r="AA278">
        <v>0</v>
      </c>
      <c r="AB278">
        <v>0</v>
      </c>
    </row>
    <row r="279" spans="1:28">
      <c r="A279">
        <v>0</v>
      </c>
      <c r="B279">
        <v>0</v>
      </c>
      <c r="C279">
        <v>0</v>
      </c>
      <c r="D279">
        <v>0</v>
      </c>
      <c r="E279">
        <v>0</v>
      </c>
      <c r="F279">
        <v>0</v>
      </c>
      <c r="G279">
        <v>0</v>
      </c>
      <c r="H279">
        <v>0</v>
      </c>
      <c r="I279">
        <v>0</v>
      </c>
      <c r="J279">
        <v>0</v>
      </c>
      <c r="K279">
        <v>0</v>
      </c>
      <c r="L279">
        <v>0</v>
      </c>
      <c r="M279">
        <v>0</v>
      </c>
      <c r="N279">
        <v>0</v>
      </c>
      <c r="O279">
        <v>0</v>
      </c>
      <c r="P279">
        <v>0</v>
      </c>
      <c r="Q279">
        <v>0</v>
      </c>
      <c r="R279">
        <v>0</v>
      </c>
      <c r="S279">
        <v>0</v>
      </c>
      <c r="T279">
        <v>0</v>
      </c>
      <c r="U279">
        <v>0</v>
      </c>
      <c r="V279">
        <v>0</v>
      </c>
      <c r="W279">
        <v>0</v>
      </c>
      <c r="X279">
        <v>0</v>
      </c>
      <c r="Y279">
        <v>0</v>
      </c>
      <c r="Z279">
        <v>0</v>
      </c>
      <c r="AA279">
        <v>0</v>
      </c>
      <c r="AB279">
        <v>0</v>
      </c>
    </row>
    <row r="280" spans="1:28">
      <c r="A280">
        <v>0</v>
      </c>
      <c r="B280">
        <v>0</v>
      </c>
      <c r="C280">
        <v>0</v>
      </c>
      <c r="D280">
        <v>0</v>
      </c>
      <c r="E280">
        <v>0</v>
      </c>
      <c r="F280">
        <v>0</v>
      </c>
      <c r="G280">
        <v>0</v>
      </c>
      <c r="H280">
        <v>0</v>
      </c>
      <c r="I280">
        <v>0</v>
      </c>
      <c r="J280">
        <v>0</v>
      </c>
      <c r="K280">
        <v>0</v>
      </c>
      <c r="L280">
        <v>0</v>
      </c>
      <c r="M280">
        <v>0</v>
      </c>
      <c r="N280">
        <v>0</v>
      </c>
      <c r="O280">
        <v>0</v>
      </c>
      <c r="P280">
        <v>0</v>
      </c>
      <c r="Q280">
        <v>0</v>
      </c>
      <c r="R280">
        <v>0</v>
      </c>
      <c r="S280">
        <v>0</v>
      </c>
      <c r="T280">
        <v>0</v>
      </c>
      <c r="U280">
        <v>0</v>
      </c>
      <c r="V280">
        <v>0</v>
      </c>
      <c r="W280">
        <v>0</v>
      </c>
      <c r="X280">
        <v>0</v>
      </c>
      <c r="Y280">
        <v>0</v>
      </c>
      <c r="Z280">
        <v>0</v>
      </c>
      <c r="AA280">
        <v>0</v>
      </c>
      <c r="AB280">
        <v>0</v>
      </c>
    </row>
    <row r="281" spans="1:28">
      <c r="A281">
        <v>0</v>
      </c>
      <c r="B281">
        <v>0</v>
      </c>
      <c r="C281">
        <v>0</v>
      </c>
      <c r="D281">
        <v>0</v>
      </c>
      <c r="E281">
        <v>0</v>
      </c>
      <c r="F281">
        <v>0</v>
      </c>
      <c r="G281">
        <v>0</v>
      </c>
      <c r="H281">
        <v>0</v>
      </c>
      <c r="I281">
        <v>0</v>
      </c>
      <c r="J281">
        <v>0</v>
      </c>
      <c r="K281">
        <v>0</v>
      </c>
      <c r="L281">
        <v>0</v>
      </c>
      <c r="M281">
        <v>0</v>
      </c>
      <c r="N281">
        <v>0</v>
      </c>
      <c r="O281">
        <v>0</v>
      </c>
      <c r="P281">
        <v>0</v>
      </c>
      <c r="Q281">
        <v>0</v>
      </c>
      <c r="R281">
        <v>0</v>
      </c>
      <c r="S281">
        <v>0</v>
      </c>
      <c r="T281">
        <v>0</v>
      </c>
      <c r="U281">
        <v>0</v>
      </c>
      <c r="V281">
        <v>0</v>
      </c>
      <c r="W281">
        <v>0</v>
      </c>
      <c r="X281">
        <v>0</v>
      </c>
      <c r="Y281">
        <v>0</v>
      </c>
      <c r="Z281">
        <v>0</v>
      </c>
      <c r="AA281">
        <v>0</v>
      </c>
      <c r="AB281">
        <v>0</v>
      </c>
    </row>
    <row r="282" spans="1:28">
      <c r="A282">
        <v>0</v>
      </c>
      <c r="B282">
        <v>0</v>
      </c>
      <c r="C282">
        <v>0</v>
      </c>
      <c r="D282">
        <v>0</v>
      </c>
      <c r="E282">
        <v>0</v>
      </c>
      <c r="F282">
        <v>0</v>
      </c>
      <c r="G282">
        <v>0</v>
      </c>
      <c r="H282">
        <v>0</v>
      </c>
      <c r="I282">
        <v>0</v>
      </c>
      <c r="J282">
        <v>0</v>
      </c>
      <c r="K282">
        <v>0</v>
      </c>
      <c r="L282">
        <v>0</v>
      </c>
      <c r="M282">
        <v>0</v>
      </c>
      <c r="N282">
        <v>0</v>
      </c>
      <c r="O282">
        <v>0</v>
      </c>
      <c r="P282">
        <v>0</v>
      </c>
      <c r="Q282">
        <v>0</v>
      </c>
      <c r="R282">
        <v>0</v>
      </c>
      <c r="S282">
        <v>0</v>
      </c>
      <c r="T282">
        <v>0</v>
      </c>
      <c r="U282">
        <v>0</v>
      </c>
      <c r="V282">
        <v>0</v>
      </c>
      <c r="W282">
        <v>0</v>
      </c>
      <c r="X282">
        <v>0</v>
      </c>
      <c r="Y282">
        <v>0</v>
      </c>
      <c r="Z282">
        <v>0</v>
      </c>
      <c r="AA282">
        <v>0</v>
      </c>
      <c r="AB282">
        <v>0</v>
      </c>
    </row>
    <row r="283" spans="1:28">
      <c r="A283">
        <v>0</v>
      </c>
      <c r="B283">
        <v>0</v>
      </c>
      <c r="C283">
        <v>0</v>
      </c>
      <c r="D283">
        <v>0</v>
      </c>
      <c r="E283">
        <v>0</v>
      </c>
      <c r="F283">
        <v>0</v>
      </c>
      <c r="G283">
        <v>0</v>
      </c>
      <c r="H283">
        <v>0</v>
      </c>
      <c r="I283">
        <v>0</v>
      </c>
      <c r="J283">
        <v>0</v>
      </c>
      <c r="K283">
        <v>0</v>
      </c>
      <c r="L283">
        <v>0</v>
      </c>
      <c r="M283">
        <v>0</v>
      </c>
      <c r="N283">
        <v>0</v>
      </c>
      <c r="O283">
        <v>0</v>
      </c>
      <c r="P283">
        <v>0</v>
      </c>
      <c r="Q283">
        <v>0</v>
      </c>
      <c r="R283">
        <v>0</v>
      </c>
      <c r="S283">
        <v>0</v>
      </c>
      <c r="T283">
        <v>0</v>
      </c>
      <c r="U283">
        <v>0</v>
      </c>
      <c r="V283">
        <v>0</v>
      </c>
      <c r="W283">
        <v>0</v>
      </c>
      <c r="X283">
        <v>0</v>
      </c>
      <c r="Y283">
        <v>0</v>
      </c>
      <c r="Z283">
        <v>0</v>
      </c>
      <c r="AA283">
        <v>0</v>
      </c>
      <c r="AB283">
        <v>0</v>
      </c>
    </row>
    <row r="284" spans="1:28">
      <c r="A284">
        <v>0</v>
      </c>
      <c r="B284">
        <v>0</v>
      </c>
      <c r="C284">
        <v>0</v>
      </c>
      <c r="D284">
        <v>0</v>
      </c>
      <c r="E284">
        <v>0</v>
      </c>
      <c r="F284">
        <v>0</v>
      </c>
      <c r="G284">
        <v>0</v>
      </c>
      <c r="H284">
        <v>0</v>
      </c>
      <c r="I284">
        <v>0</v>
      </c>
      <c r="J284">
        <v>0</v>
      </c>
      <c r="K284">
        <v>0</v>
      </c>
      <c r="L284">
        <v>0</v>
      </c>
      <c r="M284">
        <v>0</v>
      </c>
      <c r="N284">
        <v>0</v>
      </c>
      <c r="O284">
        <v>0</v>
      </c>
      <c r="P284">
        <v>0</v>
      </c>
      <c r="Q284">
        <v>0</v>
      </c>
      <c r="R284">
        <v>0</v>
      </c>
      <c r="S284">
        <v>0</v>
      </c>
      <c r="T284">
        <v>0</v>
      </c>
      <c r="U284">
        <v>0</v>
      </c>
      <c r="V284">
        <v>0</v>
      </c>
      <c r="W284">
        <v>0</v>
      </c>
      <c r="X284">
        <v>0</v>
      </c>
      <c r="Y284">
        <v>0</v>
      </c>
      <c r="Z284">
        <v>0</v>
      </c>
      <c r="AA284">
        <v>0</v>
      </c>
      <c r="AB284">
        <v>0</v>
      </c>
    </row>
    <row r="285" spans="1:28">
      <c r="A285">
        <v>0</v>
      </c>
      <c r="B285">
        <v>0</v>
      </c>
      <c r="C285">
        <v>0</v>
      </c>
      <c r="D285">
        <v>0</v>
      </c>
      <c r="E285">
        <v>0</v>
      </c>
      <c r="F285">
        <v>0</v>
      </c>
      <c r="G285">
        <v>0</v>
      </c>
      <c r="H285">
        <v>0</v>
      </c>
      <c r="I285">
        <v>0</v>
      </c>
      <c r="J285">
        <v>0</v>
      </c>
      <c r="K285">
        <v>0</v>
      </c>
      <c r="L285">
        <v>0</v>
      </c>
      <c r="M285">
        <v>0</v>
      </c>
      <c r="N285">
        <v>0</v>
      </c>
      <c r="O285">
        <v>0</v>
      </c>
      <c r="P285">
        <v>0</v>
      </c>
      <c r="Q285">
        <v>0</v>
      </c>
      <c r="R285">
        <v>0</v>
      </c>
      <c r="S285">
        <v>0</v>
      </c>
      <c r="T285">
        <v>0</v>
      </c>
      <c r="U285">
        <v>0</v>
      </c>
      <c r="V285">
        <v>0</v>
      </c>
      <c r="W285">
        <v>0</v>
      </c>
      <c r="X285">
        <v>0</v>
      </c>
      <c r="Y285">
        <v>0</v>
      </c>
      <c r="Z285">
        <v>0</v>
      </c>
      <c r="AA285">
        <v>0</v>
      </c>
      <c r="AB285">
        <v>0</v>
      </c>
    </row>
    <row r="286" spans="1:28">
      <c r="A286">
        <v>0</v>
      </c>
      <c r="B286">
        <v>0</v>
      </c>
      <c r="C286">
        <v>0</v>
      </c>
      <c r="D286">
        <v>0</v>
      </c>
      <c r="E286">
        <v>0</v>
      </c>
      <c r="F286">
        <v>0</v>
      </c>
      <c r="G286">
        <v>0</v>
      </c>
      <c r="H286">
        <v>0</v>
      </c>
      <c r="I286">
        <v>0</v>
      </c>
      <c r="J286">
        <v>0</v>
      </c>
      <c r="K286">
        <v>0</v>
      </c>
      <c r="L286">
        <v>0</v>
      </c>
      <c r="M286">
        <v>0</v>
      </c>
      <c r="N286">
        <v>0</v>
      </c>
      <c r="O286">
        <v>0</v>
      </c>
      <c r="P286">
        <v>0</v>
      </c>
      <c r="Q286">
        <v>0</v>
      </c>
      <c r="R286">
        <v>0</v>
      </c>
      <c r="S286">
        <v>0</v>
      </c>
      <c r="T286">
        <v>0</v>
      </c>
      <c r="U286">
        <v>0</v>
      </c>
      <c r="V286">
        <v>0</v>
      </c>
      <c r="W286">
        <v>0</v>
      </c>
      <c r="X286">
        <v>0</v>
      </c>
      <c r="Y286">
        <v>0</v>
      </c>
      <c r="Z286">
        <v>0</v>
      </c>
      <c r="AA286">
        <v>0</v>
      </c>
      <c r="AB286">
        <v>0</v>
      </c>
    </row>
    <row r="287" spans="1:28">
      <c r="A287">
        <v>0</v>
      </c>
      <c r="B287">
        <v>0</v>
      </c>
      <c r="C287">
        <v>0</v>
      </c>
      <c r="D287">
        <v>0</v>
      </c>
      <c r="E287">
        <v>0</v>
      </c>
      <c r="F287">
        <v>0</v>
      </c>
      <c r="G287">
        <v>0</v>
      </c>
      <c r="H287">
        <v>0</v>
      </c>
      <c r="I287">
        <v>0</v>
      </c>
      <c r="J287">
        <v>0</v>
      </c>
      <c r="K287">
        <v>0</v>
      </c>
      <c r="L287">
        <v>0</v>
      </c>
      <c r="M287">
        <v>0</v>
      </c>
      <c r="N287">
        <v>0</v>
      </c>
      <c r="O287">
        <v>0</v>
      </c>
      <c r="P287">
        <v>0</v>
      </c>
      <c r="Q287">
        <v>0</v>
      </c>
      <c r="R287">
        <v>0</v>
      </c>
      <c r="S287">
        <v>0</v>
      </c>
      <c r="T287">
        <v>0</v>
      </c>
      <c r="U287">
        <v>0</v>
      </c>
      <c r="V287">
        <v>0</v>
      </c>
      <c r="W287">
        <v>0</v>
      </c>
      <c r="X287">
        <v>0</v>
      </c>
      <c r="Y287">
        <v>0</v>
      </c>
      <c r="Z287">
        <v>0</v>
      </c>
      <c r="AA287">
        <v>0</v>
      </c>
      <c r="AB287">
        <v>0</v>
      </c>
    </row>
    <row r="288" spans="1:28">
      <c r="A288">
        <v>0</v>
      </c>
      <c r="B288">
        <v>0</v>
      </c>
      <c r="C288">
        <v>0</v>
      </c>
      <c r="D288">
        <v>0</v>
      </c>
      <c r="E288">
        <v>0</v>
      </c>
      <c r="F288">
        <v>0</v>
      </c>
      <c r="G288">
        <v>0</v>
      </c>
      <c r="H288">
        <v>0</v>
      </c>
      <c r="I288">
        <v>0</v>
      </c>
      <c r="J288">
        <v>0</v>
      </c>
      <c r="K288">
        <v>0</v>
      </c>
      <c r="L288">
        <v>0</v>
      </c>
      <c r="M288">
        <v>0</v>
      </c>
      <c r="N288">
        <v>0</v>
      </c>
      <c r="O288">
        <v>0</v>
      </c>
      <c r="P288">
        <v>0</v>
      </c>
      <c r="Q288">
        <v>0</v>
      </c>
      <c r="R288">
        <v>0</v>
      </c>
      <c r="S288">
        <v>0</v>
      </c>
      <c r="T288">
        <v>0</v>
      </c>
      <c r="U288">
        <v>0</v>
      </c>
      <c r="V288">
        <v>0</v>
      </c>
      <c r="W288">
        <v>0</v>
      </c>
      <c r="X288">
        <v>0</v>
      </c>
      <c r="Y288">
        <v>0</v>
      </c>
      <c r="Z288">
        <v>0</v>
      </c>
      <c r="AA288">
        <v>0</v>
      </c>
      <c r="AB288">
        <v>0</v>
      </c>
    </row>
    <row r="289" spans="1:28">
      <c r="A289">
        <v>0</v>
      </c>
      <c r="B289">
        <v>0</v>
      </c>
      <c r="C289">
        <v>0</v>
      </c>
      <c r="D289">
        <v>0</v>
      </c>
      <c r="E289">
        <v>0</v>
      </c>
      <c r="F289">
        <v>0</v>
      </c>
      <c r="G289">
        <v>0</v>
      </c>
      <c r="H289">
        <v>0</v>
      </c>
      <c r="I289">
        <v>0</v>
      </c>
      <c r="J289">
        <v>0</v>
      </c>
      <c r="K289">
        <v>0</v>
      </c>
      <c r="L289">
        <v>0</v>
      </c>
      <c r="M289">
        <v>0</v>
      </c>
      <c r="N289">
        <v>0</v>
      </c>
      <c r="O289">
        <v>0</v>
      </c>
      <c r="P289">
        <v>0</v>
      </c>
      <c r="Q289">
        <v>0</v>
      </c>
      <c r="R289">
        <v>0</v>
      </c>
      <c r="S289">
        <v>0</v>
      </c>
      <c r="T289">
        <v>0</v>
      </c>
      <c r="U289">
        <v>0</v>
      </c>
      <c r="V289">
        <v>0</v>
      </c>
      <c r="W289">
        <v>0</v>
      </c>
      <c r="X289">
        <v>0</v>
      </c>
      <c r="Y289">
        <v>0</v>
      </c>
      <c r="Z289">
        <v>0</v>
      </c>
      <c r="AA289">
        <v>0</v>
      </c>
      <c r="AB289">
        <v>0</v>
      </c>
    </row>
    <row r="290" spans="1:28">
      <c r="A290">
        <v>0</v>
      </c>
      <c r="B290">
        <v>0</v>
      </c>
      <c r="C290">
        <v>0</v>
      </c>
      <c r="D290">
        <v>0</v>
      </c>
      <c r="E290">
        <v>0</v>
      </c>
      <c r="F290">
        <v>0</v>
      </c>
      <c r="G290">
        <v>0</v>
      </c>
      <c r="H290">
        <v>0</v>
      </c>
      <c r="I290">
        <v>0</v>
      </c>
      <c r="J290">
        <v>0</v>
      </c>
      <c r="K290">
        <v>0</v>
      </c>
      <c r="L290">
        <v>0</v>
      </c>
      <c r="M290">
        <v>0</v>
      </c>
      <c r="N290">
        <v>0</v>
      </c>
      <c r="O290">
        <v>0</v>
      </c>
      <c r="P290">
        <v>0</v>
      </c>
      <c r="Q290">
        <v>0</v>
      </c>
      <c r="R290">
        <v>0</v>
      </c>
      <c r="S290">
        <v>0</v>
      </c>
      <c r="T290">
        <v>0</v>
      </c>
      <c r="U290">
        <v>0</v>
      </c>
      <c r="V290">
        <v>0</v>
      </c>
      <c r="W290">
        <v>0</v>
      </c>
      <c r="X290">
        <v>0</v>
      </c>
      <c r="Y290">
        <v>0</v>
      </c>
      <c r="Z290">
        <v>0</v>
      </c>
      <c r="AA290">
        <v>0</v>
      </c>
      <c r="AB290">
        <v>0</v>
      </c>
    </row>
    <row r="291" spans="1:28">
      <c r="A291">
        <v>0</v>
      </c>
      <c r="B291">
        <v>0</v>
      </c>
      <c r="C291">
        <v>0</v>
      </c>
      <c r="D291">
        <v>0</v>
      </c>
      <c r="E291">
        <v>0</v>
      </c>
      <c r="F291">
        <v>0</v>
      </c>
      <c r="G291">
        <v>0</v>
      </c>
      <c r="H291">
        <v>0</v>
      </c>
      <c r="I291">
        <v>0</v>
      </c>
      <c r="J291">
        <v>0</v>
      </c>
      <c r="K291">
        <v>0</v>
      </c>
      <c r="L291">
        <v>0</v>
      </c>
      <c r="M291">
        <v>0</v>
      </c>
      <c r="N291">
        <v>0</v>
      </c>
      <c r="O291">
        <v>0</v>
      </c>
      <c r="P291">
        <v>0</v>
      </c>
      <c r="Q291">
        <v>0</v>
      </c>
      <c r="R291">
        <v>0</v>
      </c>
      <c r="S291">
        <v>0</v>
      </c>
      <c r="T291">
        <v>0</v>
      </c>
      <c r="U291">
        <v>0</v>
      </c>
      <c r="V291">
        <v>0</v>
      </c>
      <c r="W291">
        <v>0</v>
      </c>
      <c r="X291">
        <v>0</v>
      </c>
      <c r="Y291">
        <v>0</v>
      </c>
      <c r="Z291">
        <v>0</v>
      </c>
      <c r="AA291">
        <v>0</v>
      </c>
      <c r="AB291">
        <v>0</v>
      </c>
    </row>
    <row r="292" spans="1:28">
      <c r="A292">
        <v>0</v>
      </c>
      <c r="B292">
        <v>0</v>
      </c>
      <c r="C292">
        <v>0</v>
      </c>
      <c r="D292">
        <v>0</v>
      </c>
      <c r="E292">
        <v>0</v>
      </c>
      <c r="F292">
        <v>0</v>
      </c>
      <c r="G292">
        <v>0</v>
      </c>
      <c r="H292">
        <v>0</v>
      </c>
      <c r="I292">
        <v>0</v>
      </c>
      <c r="J292">
        <v>0</v>
      </c>
      <c r="K292">
        <v>0</v>
      </c>
      <c r="L292">
        <v>0</v>
      </c>
      <c r="M292">
        <v>0</v>
      </c>
      <c r="N292">
        <v>0</v>
      </c>
      <c r="O292">
        <v>0</v>
      </c>
      <c r="P292">
        <v>0</v>
      </c>
      <c r="Q292">
        <v>0</v>
      </c>
      <c r="R292">
        <v>0</v>
      </c>
      <c r="S292">
        <v>0</v>
      </c>
      <c r="T292">
        <v>0</v>
      </c>
      <c r="U292">
        <v>0</v>
      </c>
      <c r="V292">
        <v>0</v>
      </c>
      <c r="W292">
        <v>0</v>
      </c>
      <c r="X292">
        <v>0</v>
      </c>
      <c r="Y292">
        <v>0</v>
      </c>
      <c r="Z292">
        <v>0</v>
      </c>
      <c r="AA292">
        <v>0</v>
      </c>
      <c r="AB292">
        <v>0</v>
      </c>
    </row>
    <row r="293" spans="1:28">
      <c r="A293">
        <v>0</v>
      </c>
      <c r="B293">
        <v>0</v>
      </c>
      <c r="C293">
        <v>0</v>
      </c>
      <c r="D293">
        <v>0</v>
      </c>
      <c r="E293">
        <v>0</v>
      </c>
      <c r="F293">
        <v>0</v>
      </c>
      <c r="G293">
        <v>0</v>
      </c>
      <c r="H293">
        <v>0</v>
      </c>
      <c r="I293">
        <v>0</v>
      </c>
      <c r="J293">
        <v>0</v>
      </c>
      <c r="K293">
        <v>0</v>
      </c>
      <c r="L293">
        <v>0</v>
      </c>
      <c r="M293">
        <v>0</v>
      </c>
      <c r="N293">
        <v>0</v>
      </c>
      <c r="O293">
        <v>0</v>
      </c>
      <c r="P293">
        <v>0</v>
      </c>
      <c r="Q293">
        <v>0</v>
      </c>
      <c r="R293">
        <v>0</v>
      </c>
      <c r="S293">
        <v>0</v>
      </c>
      <c r="T293">
        <v>0</v>
      </c>
      <c r="U293">
        <v>0</v>
      </c>
      <c r="V293">
        <v>0</v>
      </c>
      <c r="W293">
        <v>0</v>
      </c>
      <c r="X293">
        <v>0</v>
      </c>
      <c r="Y293">
        <v>0</v>
      </c>
      <c r="Z293">
        <v>0</v>
      </c>
      <c r="AA293">
        <v>0</v>
      </c>
      <c r="AB293">
        <v>0</v>
      </c>
    </row>
    <row r="294" spans="1:28">
      <c r="A294">
        <v>0</v>
      </c>
      <c r="B294">
        <v>0</v>
      </c>
      <c r="C294">
        <v>0</v>
      </c>
      <c r="D294">
        <v>0</v>
      </c>
      <c r="E294">
        <v>0</v>
      </c>
      <c r="F294">
        <v>0</v>
      </c>
      <c r="G294">
        <v>0</v>
      </c>
      <c r="H294">
        <v>0</v>
      </c>
      <c r="I294">
        <v>0</v>
      </c>
      <c r="J294">
        <v>0</v>
      </c>
      <c r="K294">
        <v>0</v>
      </c>
      <c r="L294">
        <v>0</v>
      </c>
      <c r="M294">
        <v>0</v>
      </c>
      <c r="N294">
        <v>0</v>
      </c>
      <c r="O294">
        <v>0</v>
      </c>
      <c r="P294">
        <v>0</v>
      </c>
      <c r="Q294">
        <v>0</v>
      </c>
      <c r="R294">
        <v>0</v>
      </c>
      <c r="S294">
        <v>0</v>
      </c>
      <c r="T294">
        <v>0</v>
      </c>
      <c r="U294">
        <v>0</v>
      </c>
      <c r="V294">
        <v>0</v>
      </c>
      <c r="W294">
        <v>0</v>
      </c>
      <c r="X294">
        <v>0</v>
      </c>
      <c r="Y294">
        <v>0</v>
      </c>
      <c r="Z294">
        <v>0</v>
      </c>
      <c r="AA294">
        <v>0</v>
      </c>
      <c r="AB294">
        <v>0</v>
      </c>
    </row>
    <row r="295" spans="1:28">
      <c r="A295">
        <v>0</v>
      </c>
      <c r="B295">
        <v>0</v>
      </c>
      <c r="C295">
        <v>0</v>
      </c>
      <c r="D295">
        <v>0</v>
      </c>
      <c r="E295">
        <v>0</v>
      </c>
      <c r="F295">
        <v>0</v>
      </c>
      <c r="G295">
        <v>0</v>
      </c>
      <c r="H295">
        <v>0</v>
      </c>
      <c r="I295">
        <v>0</v>
      </c>
      <c r="J295">
        <v>0</v>
      </c>
      <c r="K295">
        <v>0</v>
      </c>
      <c r="L295">
        <v>0</v>
      </c>
      <c r="M295">
        <v>0</v>
      </c>
      <c r="N295">
        <v>0</v>
      </c>
      <c r="O295">
        <v>0</v>
      </c>
      <c r="P295">
        <v>0</v>
      </c>
      <c r="Q295">
        <v>0</v>
      </c>
      <c r="R295">
        <v>0</v>
      </c>
      <c r="S295">
        <v>0</v>
      </c>
      <c r="T295">
        <v>0</v>
      </c>
      <c r="U295">
        <v>0</v>
      </c>
      <c r="V295">
        <v>0</v>
      </c>
      <c r="W295">
        <v>0</v>
      </c>
      <c r="X295">
        <v>0</v>
      </c>
      <c r="Y295">
        <v>0</v>
      </c>
      <c r="Z295">
        <v>0</v>
      </c>
      <c r="AA295">
        <v>0</v>
      </c>
      <c r="AB295">
        <v>0</v>
      </c>
    </row>
    <row r="296" spans="1:28">
      <c r="A296">
        <v>0</v>
      </c>
      <c r="B296">
        <v>0</v>
      </c>
      <c r="C296">
        <v>0</v>
      </c>
      <c r="D296">
        <v>0</v>
      </c>
      <c r="E296">
        <v>0</v>
      </c>
      <c r="F296">
        <v>0</v>
      </c>
      <c r="G296">
        <v>0</v>
      </c>
      <c r="H296">
        <v>0</v>
      </c>
      <c r="I296">
        <v>0</v>
      </c>
      <c r="J296">
        <v>0</v>
      </c>
      <c r="K296">
        <v>0</v>
      </c>
      <c r="L296">
        <v>0</v>
      </c>
      <c r="M296">
        <v>0</v>
      </c>
      <c r="N296">
        <v>0</v>
      </c>
      <c r="O296">
        <v>0</v>
      </c>
      <c r="P296">
        <v>0</v>
      </c>
      <c r="Q296">
        <v>0</v>
      </c>
      <c r="R296">
        <v>0</v>
      </c>
      <c r="S296">
        <v>0</v>
      </c>
      <c r="T296">
        <v>0</v>
      </c>
      <c r="U296">
        <v>0</v>
      </c>
      <c r="V296">
        <v>0</v>
      </c>
      <c r="W296">
        <v>0</v>
      </c>
      <c r="X296">
        <v>0</v>
      </c>
      <c r="Y296">
        <v>0</v>
      </c>
      <c r="Z296">
        <v>0</v>
      </c>
      <c r="AA296">
        <v>0</v>
      </c>
      <c r="AB296">
        <v>0</v>
      </c>
    </row>
    <row r="297" spans="1:28">
      <c r="A297">
        <v>0</v>
      </c>
      <c r="B297">
        <v>0</v>
      </c>
      <c r="C297">
        <v>0</v>
      </c>
      <c r="D297">
        <v>0</v>
      </c>
      <c r="E297">
        <v>0</v>
      </c>
      <c r="F297">
        <v>0</v>
      </c>
      <c r="G297">
        <v>0</v>
      </c>
      <c r="H297">
        <v>0</v>
      </c>
      <c r="I297">
        <v>0</v>
      </c>
      <c r="J297">
        <v>0</v>
      </c>
      <c r="K297">
        <v>0</v>
      </c>
      <c r="L297">
        <v>0</v>
      </c>
      <c r="M297">
        <v>0</v>
      </c>
      <c r="N297">
        <v>0</v>
      </c>
      <c r="O297">
        <v>0</v>
      </c>
      <c r="P297">
        <v>0</v>
      </c>
      <c r="Q297">
        <v>0</v>
      </c>
      <c r="R297">
        <v>0</v>
      </c>
      <c r="S297">
        <v>0</v>
      </c>
      <c r="T297">
        <v>0</v>
      </c>
      <c r="U297">
        <v>0</v>
      </c>
      <c r="V297">
        <v>0</v>
      </c>
      <c r="W297">
        <v>0</v>
      </c>
      <c r="X297">
        <v>0</v>
      </c>
      <c r="Y297">
        <v>0</v>
      </c>
      <c r="Z297">
        <v>0</v>
      </c>
      <c r="AA297">
        <v>0</v>
      </c>
      <c r="AB297">
        <v>0</v>
      </c>
    </row>
    <row r="298" spans="1:28">
      <c r="A298">
        <v>0</v>
      </c>
      <c r="B298">
        <v>0</v>
      </c>
      <c r="C298">
        <v>0</v>
      </c>
      <c r="D298">
        <v>0</v>
      </c>
      <c r="E298">
        <v>0</v>
      </c>
      <c r="F298">
        <v>0</v>
      </c>
      <c r="G298">
        <v>0</v>
      </c>
      <c r="H298">
        <v>0</v>
      </c>
      <c r="I298">
        <v>0</v>
      </c>
      <c r="J298">
        <v>0</v>
      </c>
      <c r="K298">
        <v>0</v>
      </c>
      <c r="L298">
        <v>0</v>
      </c>
      <c r="M298">
        <v>0</v>
      </c>
      <c r="N298">
        <v>0</v>
      </c>
      <c r="O298">
        <v>0</v>
      </c>
      <c r="P298">
        <v>0</v>
      </c>
      <c r="Q298">
        <v>0</v>
      </c>
      <c r="R298">
        <v>0</v>
      </c>
      <c r="S298">
        <v>0</v>
      </c>
      <c r="T298">
        <v>0</v>
      </c>
      <c r="U298">
        <v>0</v>
      </c>
      <c r="V298">
        <v>0</v>
      </c>
      <c r="W298">
        <v>0</v>
      </c>
      <c r="X298">
        <v>0</v>
      </c>
      <c r="Y298">
        <v>0</v>
      </c>
      <c r="Z298">
        <v>0</v>
      </c>
      <c r="AA298">
        <v>0</v>
      </c>
      <c r="AB298">
        <v>0</v>
      </c>
    </row>
    <row r="299" spans="1:28">
      <c r="A299">
        <v>0</v>
      </c>
      <c r="B299">
        <v>0</v>
      </c>
      <c r="C299">
        <v>0</v>
      </c>
      <c r="D299">
        <v>0</v>
      </c>
      <c r="E299">
        <v>0</v>
      </c>
      <c r="F299">
        <v>0</v>
      </c>
      <c r="G299">
        <v>0</v>
      </c>
      <c r="H299">
        <v>0</v>
      </c>
      <c r="I299">
        <v>0</v>
      </c>
      <c r="J299">
        <v>0</v>
      </c>
      <c r="K299">
        <v>0</v>
      </c>
      <c r="L299">
        <v>0</v>
      </c>
      <c r="M299">
        <v>0</v>
      </c>
      <c r="N299">
        <v>0</v>
      </c>
      <c r="O299">
        <v>0</v>
      </c>
      <c r="P299">
        <v>0</v>
      </c>
      <c r="Q299">
        <v>0</v>
      </c>
      <c r="R299">
        <v>0</v>
      </c>
      <c r="S299">
        <v>0</v>
      </c>
      <c r="T299">
        <v>0</v>
      </c>
      <c r="U299">
        <v>0</v>
      </c>
      <c r="V299">
        <v>0</v>
      </c>
      <c r="W299">
        <v>0</v>
      </c>
      <c r="X299">
        <v>0</v>
      </c>
      <c r="Y299">
        <v>0</v>
      </c>
      <c r="Z299">
        <v>0</v>
      </c>
      <c r="AA299">
        <v>0</v>
      </c>
      <c r="AB299">
        <v>0</v>
      </c>
    </row>
    <row r="300" spans="1:28">
      <c r="A300">
        <v>0</v>
      </c>
      <c r="B300">
        <v>0</v>
      </c>
      <c r="C300">
        <v>0</v>
      </c>
      <c r="D300">
        <v>0</v>
      </c>
      <c r="E300">
        <v>0</v>
      </c>
      <c r="F300">
        <v>0</v>
      </c>
      <c r="G300">
        <v>0</v>
      </c>
      <c r="H300">
        <v>0</v>
      </c>
      <c r="I300">
        <v>0</v>
      </c>
      <c r="J300">
        <v>0</v>
      </c>
      <c r="K300">
        <v>0</v>
      </c>
      <c r="L300">
        <v>0</v>
      </c>
      <c r="M300">
        <v>0</v>
      </c>
      <c r="N300">
        <v>0</v>
      </c>
      <c r="O300">
        <v>0</v>
      </c>
      <c r="P300">
        <v>0</v>
      </c>
      <c r="Q300">
        <v>0</v>
      </c>
      <c r="R300">
        <v>0</v>
      </c>
      <c r="S300">
        <v>0</v>
      </c>
      <c r="T300">
        <v>0</v>
      </c>
      <c r="U300">
        <v>0</v>
      </c>
      <c r="V300">
        <v>0</v>
      </c>
      <c r="W300">
        <v>0</v>
      </c>
      <c r="X300">
        <v>0</v>
      </c>
      <c r="Y300">
        <v>0</v>
      </c>
      <c r="Z300">
        <v>0</v>
      </c>
      <c r="AA300">
        <v>0</v>
      </c>
      <c r="AB300">
        <v>0</v>
      </c>
    </row>
    <row r="301" spans="1:28">
      <c r="A301">
        <v>0</v>
      </c>
      <c r="B301">
        <v>0</v>
      </c>
      <c r="C301">
        <v>0</v>
      </c>
      <c r="D301">
        <v>0</v>
      </c>
      <c r="E301">
        <v>0</v>
      </c>
      <c r="F301">
        <v>0</v>
      </c>
      <c r="G301">
        <v>0</v>
      </c>
      <c r="H301">
        <v>0</v>
      </c>
      <c r="I301">
        <v>0</v>
      </c>
      <c r="J301">
        <v>0</v>
      </c>
      <c r="K301">
        <v>0</v>
      </c>
      <c r="L301">
        <v>0</v>
      </c>
      <c r="M301">
        <v>0</v>
      </c>
      <c r="N301">
        <v>0</v>
      </c>
      <c r="O301">
        <v>0</v>
      </c>
      <c r="P301">
        <v>0</v>
      </c>
      <c r="Q301">
        <v>0</v>
      </c>
      <c r="R301">
        <v>0</v>
      </c>
      <c r="S301">
        <v>0</v>
      </c>
      <c r="T301">
        <v>0</v>
      </c>
      <c r="U301">
        <v>0</v>
      </c>
      <c r="V301">
        <v>0</v>
      </c>
      <c r="W301">
        <v>0</v>
      </c>
      <c r="X301">
        <v>0</v>
      </c>
      <c r="Y301">
        <v>0</v>
      </c>
      <c r="Z301">
        <v>0</v>
      </c>
      <c r="AA301">
        <v>0</v>
      </c>
      <c r="AB301">
        <v>0</v>
      </c>
    </row>
    <row r="302" spans="1:28">
      <c r="A302">
        <v>0</v>
      </c>
      <c r="B302">
        <v>0</v>
      </c>
      <c r="C302">
        <v>0</v>
      </c>
      <c r="D302">
        <v>0</v>
      </c>
      <c r="E302">
        <v>0</v>
      </c>
      <c r="F302">
        <v>0</v>
      </c>
      <c r="G302">
        <v>0</v>
      </c>
      <c r="H302">
        <v>0</v>
      </c>
      <c r="I302">
        <v>0</v>
      </c>
      <c r="J302">
        <v>0</v>
      </c>
      <c r="K302">
        <v>0</v>
      </c>
      <c r="L302">
        <v>0</v>
      </c>
      <c r="M302">
        <v>0</v>
      </c>
      <c r="N302">
        <v>0</v>
      </c>
      <c r="O302">
        <v>0</v>
      </c>
      <c r="P302">
        <v>0</v>
      </c>
      <c r="Q302">
        <v>0</v>
      </c>
      <c r="R302">
        <v>0</v>
      </c>
      <c r="S302">
        <v>0</v>
      </c>
      <c r="T302">
        <v>0</v>
      </c>
      <c r="U302">
        <v>0</v>
      </c>
      <c r="V302">
        <v>0</v>
      </c>
      <c r="W302">
        <v>0</v>
      </c>
      <c r="X302">
        <v>0</v>
      </c>
      <c r="Y302">
        <v>0</v>
      </c>
      <c r="Z302">
        <v>0</v>
      </c>
      <c r="AA302">
        <v>0</v>
      </c>
      <c r="AB302">
        <v>0</v>
      </c>
    </row>
    <row r="303" spans="1:28">
      <c r="A303">
        <v>0</v>
      </c>
      <c r="B303">
        <v>0</v>
      </c>
      <c r="C303">
        <v>0</v>
      </c>
      <c r="D303">
        <v>0</v>
      </c>
      <c r="E303">
        <v>0</v>
      </c>
      <c r="F303">
        <v>0</v>
      </c>
      <c r="G303">
        <v>0</v>
      </c>
      <c r="H303">
        <v>0</v>
      </c>
      <c r="I303">
        <v>0</v>
      </c>
      <c r="J303">
        <v>0</v>
      </c>
      <c r="K303">
        <v>0</v>
      </c>
      <c r="L303">
        <v>0</v>
      </c>
      <c r="M303">
        <v>0</v>
      </c>
      <c r="N303">
        <v>0</v>
      </c>
      <c r="O303">
        <v>0</v>
      </c>
      <c r="P303">
        <v>0</v>
      </c>
      <c r="Q303">
        <v>0</v>
      </c>
      <c r="R303">
        <v>0</v>
      </c>
      <c r="S303">
        <v>0</v>
      </c>
      <c r="T303">
        <v>0</v>
      </c>
      <c r="U303">
        <v>0</v>
      </c>
      <c r="V303">
        <v>0</v>
      </c>
      <c r="W303">
        <v>0</v>
      </c>
      <c r="X303">
        <v>0</v>
      </c>
      <c r="Y303">
        <v>0</v>
      </c>
      <c r="Z303">
        <v>0</v>
      </c>
      <c r="AA303">
        <v>0</v>
      </c>
      <c r="AB303">
        <v>0</v>
      </c>
    </row>
    <row r="304" spans="1:28">
      <c r="A304">
        <v>0</v>
      </c>
      <c r="B304">
        <v>0</v>
      </c>
      <c r="C304">
        <v>0</v>
      </c>
      <c r="D304">
        <v>0</v>
      </c>
      <c r="E304">
        <v>0</v>
      </c>
      <c r="F304">
        <v>0</v>
      </c>
      <c r="G304">
        <v>0</v>
      </c>
      <c r="H304">
        <v>0</v>
      </c>
      <c r="I304">
        <v>0</v>
      </c>
      <c r="J304">
        <v>0</v>
      </c>
      <c r="K304">
        <v>0</v>
      </c>
      <c r="L304">
        <v>0</v>
      </c>
      <c r="M304">
        <v>0</v>
      </c>
      <c r="N304">
        <v>0</v>
      </c>
      <c r="O304">
        <v>0</v>
      </c>
      <c r="P304">
        <v>0</v>
      </c>
      <c r="Q304">
        <v>0</v>
      </c>
      <c r="R304">
        <v>0</v>
      </c>
      <c r="S304">
        <v>0</v>
      </c>
      <c r="T304">
        <v>0</v>
      </c>
      <c r="U304">
        <v>0</v>
      </c>
      <c r="V304">
        <v>0</v>
      </c>
      <c r="W304">
        <v>0</v>
      </c>
      <c r="X304">
        <v>0</v>
      </c>
      <c r="Y304">
        <v>0</v>
      </c>
      <c r="Z304">
        <v>0</v>
      </c>
      <c r="AA304">
        <v>0</v>
      </c>
      <c r="AB304">
        <v>0</v>
      </c>
    </row>
    <row r="305" spans="1:28">
      <c r="A305">
        <v>0</v>
      </c>
      <c r="B305">
        <v>0</v>
      </c>
      <c r="C305">
        <v>0</v>
      </c>
      <c r="D305">
        <v>0</v>
      </c>
      <c r="E305">
        <v>0</v>
      </c>
      <c r="F305">
        <v>0</v>
      </c>
      <c r="G305">
        <v>0</v>
      </c>
      <c r="H305">
        <v>0</v>
      </c>
      <c r="I305">
        <v>0</v>
      </c>
      <c r="J305">
        <v>0</v>
      </c>
      <c r="K305">
        <v>0</v>
      </c>
      <c r="L305">
        <v>0</v>
      </c>
      <c r="M305">
        <v>0</v>
      </c>
      <c r="N305">
        <v>0</v>
      </c>
      <c r="O305">
        <v>0</v>
      </c>
      <c r="P305">
        <v>0</v>
      </c>
      <c r="Q305">
        <v>0</v>
      </c>
      <c r="R305">
        <v>0</v>
      </c>
      <c r="S305">
        <v>0</v>
      </c>
      <c r="T305">
        <v>0</v>
      </c>
      <c r="U305">
        <v>0</v>
      </c>
      <c r="V305">
        <v>0</v>
      </c>
      <c r="W305">
        <v>0</v>
      </c>
      <c r="X305">
        <v>0</v>
      </c>
      <c r="Y305">
        <v>0</v>
      </c>
      <c r="Z305">
        <v>0</v>
      </c>
      <c r="AA305">
        <v>0</v>
      </c>
      <c r="AB305">
        <v>0</v>
      </c>
    </row>
    <row r="306" spans="1:28">
      <c r="A306">
        <v>0</v>
      </c>
      <c r="B306">
        <v>0</v>
      </c>
      <c r="C306">
        <v>0</v>
      </c>
      <c r="D306">
        <v>0</v>
      </c>
      <c r="E306">
        <v>0</v>
      </c>
      <c r="F306">
        <v>0</v>
      </c>
      <c r="G306">
        <v>0</v>
      </c>
      <c r="H306">
        <v>0</v>
      </c>
      <c r="I306">
        <v>0</v>
      </c>
      <c r="J306">
        <v>0</v>
      </c>
      <c r="K306">
        <v>0</v>
      </c>
      <c r="L306">
        <v>0</v>
      </c>
      <c r="M306">
        <v>0</v>
      </c>
      <c r="N306">
        <v>0</v>
      </c>
      <c r="O306">
        <v>0</v>
      </c>
      <c r="P306">
        <v>0</v>
      </c>
      <c r="Q306">
        <v>0</v>
      </c>
      <c r="R306">
        <v>0</v>
      </c>
      <c r="S306">
        <v>0</v>
      </c>
      <c r="T306">
        <v>0</v>
      </c>
      <c r="U306">
        <v>0</v>
      </c>
      <c r="V306">
        <v>0</v>
      </c>
      <c r="W306">
        <v>0</v>
      </c>
      <c r="X306">
        <v>0</v>
      </c>
      <c r="Y306">
        <v>0</v>
      </c>
      <c r="Z306">
        <v>0</v>
      </c>
      <c r="AA306">
        <v>0</v>
      </c>
      <c r="AB306">
        <v>0</v>
      </c>
    </row>
    <row r="307" spans="1:28">
      <c r="A307">
        <v>0</v>
      </c>
      <c r="B307">
        <v>0</v>
      </c>
      <c r="C307">
        <v>0</v>
      </c>
      <c r="D307">
        <v>0</v>
      </c>
      <c r="E307">
        <v>0</v>
      </c>
      <c r="F307">
        <v>0</v>
      </c>
      <c r="G307">
        <v>0</v>
      </c>
      <c r="H307">
        <v>0</v>
      </c>
      <c r="I307">
        <v>0</v>
      </c>
      <c r="J307">
        <v>0</v>
      </c>
      <c r="K307">
        <v>0</v>
      </c>
      <c r="L307">
        <v>0</v>
      </c>
      <c r="M307">
        <v>0</v>
      </c>
      <c r="N307">
        <v>0</v>
      </c>
      <c r="O307">
        <v>0</v>
      </c>
      <c r="P307">
        <v>0</v>
      </c>
      <c r="Q307">
        <v>0</v>
      </c>
      <c r="R307">
        <v>0</v>
      </c>
      <c r="S307">
        <v>0</v>
      </c>
      <c r="T307">
        <v>0</v>
      </c>
      <c r="U307">
        <v>0</v>
      </c>
      <c r="V307">
        <v>0</v>
      </c>
      <c r="W307">
        <v>0</v>
      </c>
      <c r="X307">
        <v>0</v>
      </c>
      <c r="Y307">
        <v>0</v>
      </c>
      <c r="Z307">
        <v>0</v>
      </c>
      <c r="AA307">
        <v>0</v>
      </c>
      <c r="AB307">
        <v>0</v>
      </c>
    </row>
    <row r="308" spans="1:28">
      <c r="A308">
        <v>0</v>
      </c>
      <c r="B308">
        <v>0</v>
      </c>
      <c r="C308">
        <v>0</v>
      </c>
      <c r="D308">
        <v>0</v>
      </c>
      <c r="E308">
        <v>0</v>
      </c>
      <c r="F308">
        <v>0</v>
      </c>
      <c r="G308">
        <v>0</v>
      </c>
      <c r="H308">
        <v>0</v>
      </c>
      <c r="I308">
        <v>0</v>
      </c>
      <c r="J308">
        <v>0</v>
      </c>
      <c r="K308">
        <v>0</v>
      </c>
      <c r="L308">
        <v>0</v>
      </c>
      <c r="M308">
        <v>0</v>
      </c>
      <c r="N308">
        <v>0</v>
      </c>
      <c r="O308">
        <v>0</v>
      </c>
      <c r="P308">
        <v>0</v>
      </c>
      <c r="Q308">
        <v>0</v>
      </c>
      <c r="R308">
        <v>0</v>
      </c>
      <c r="S308">
        <v>0</v>
      </c>
      <c r="T308">
        <v>0</v>
      </c>
      <c r="U308">
        <v>0</v>
      </c>
      <c r="V308">
        <v>0</v>
      </c>
      <c r="W308">
        <v>0</v>
      </c>
      <c r="X308">
        <v>0</v>
      </c>
      <c r="Y308">
        <v>0</v>
      </c>
      <c r="Z308">
        <v>0</v>
      </c>
      <c r="AA308">
        <v>0</v>
      </c>
      <c r="AB308">
        <v>0</v>
      </c>
    </row>
    <row r="309" spans="1:28">
      <c r="A309">
        <v>0</v>
      </c>
      <c r="B309">
        <v>0</v>
      </c>
      <c r="C309">
        <v>0</v>
      </c>
      <c r="D309">
        <v>0</v>
      </c>
      <c r="E309">
        <v>0</v>
      </c>
      <c r="F309">
        <v>0</v>
      </c>
      <c r="G309">
        <v>0</v>
      </c>
      <c r="H309">
        <v>0</v>
      </c>
      <c r="I309">
        <v>0</v>
      </c>
      <c r="J309">
        <v>0</v>
      </c>
      <c r="K309">
        <v>0</v>
      </c>
      <c r="L309">
        <v>0</v>
      </c>
      <c r="M309">
        <v>0</v>
      </c>
      <c r="N309">
        <v>0</v>
      </c>
      <c r="O309">
        <v>0</v>
      </c>
      <c r="P309">
        <v>0</v>
      </c>
      <c r="Q309">
        <v>0</v>
      </c>
      <c r="R309">
        <v>0</v>
      </c>
      <c r="S309">
        <v>0</v>
      </c>
      <c r="T309">
        <v>0</v>
      </c>
      <c r="U309">
        <v>0</v>
      </c>
      <c r="V309">
        <v>0</v>
      </c>
      <c r="W309">
        <v>0</v>
      </c>
      <c r="X309">
        <v>0</v>
      </c>
      <c r="Y309">
        <v>0</v>
      </c>
      <c r="Z309">
        <v>0</v>
      </c>
      <c r="AA309">
        <v>0</v>
      </c>
      <c r="AB309">
        <v>0</v>
      </c>
    </row>
    <row r="310" spans="1:28">
      <c r="A310">
        <v>0</v>
      </c>
      <c r="B310">
        <v>0</v>
      </c>
      <c r="C310">
        <v>0</v>
      </c>
      <c r="D310">
        <v>0</v>
      </c>
      <c r="E310">
        <v>0</v>
      </c>
      <c r="F310">
        <v>0</v>
      </c>
      <c r="G310">
        <v>0</v>
      </c>
      <c r="H310">
        <v>0</v>
      </c>
      <c r="I310">
        <v>0</v>
      </c>
      <c r="J310">
        <v>0</v>
      </c>
      <c r="K310">
        <v>0</v>
      </c>
      <c r="L310">
        <v>0</v>
      </c>
      <c r="M310">
        <v>0</v>
      </c>
      <c r="N310">
        <v>0</v>
      </c>
      <c r="O310">
        <v>0</v>
      </c>
      <c r="P310">
        <v>0</v>
      </c>
      <c r="Q310">
        <v>0</v>
      </c>
      <c r="R310">
        <v>0</v>
      </c>
      <c r="S310">
        <v>0</v>
      </c>
      <c r="T310">
        <v>0</v>
      </c>
      <c r="U310">
        <v>0</v>
      </c>
      <c r="V310">
        <v>0</v>
      </c>
      <c r="W310">
        <v>0</v>
      </c>
      <c r="X310">
        <v>0</v>
      </c>
      <c r="Y310">
        <v>0</v>
      </c>
      <c r="Z310">
        <v>0</v>
      </c>
      <c r="AA310">
        <v>0</v>
      </c>
      <c r="AB310">
        <v>0</v>
      </c>
    </row>
    <row r="311" spans="1:28">
      <c r="A311">
        <v>0</v>
      </c>
      <c r="B311">
        <v>0</v>
      </c>
      <c r="C311">
        <v>0</v>
      </c>
      <c r="D311">
        <v>0</v>
      </c>
      <c r="E311">
        <v>0</v>
      </c>
      <c r="F311">
        <v>0</v>
      </c>
      <c r="G311">
        <v>0</v>
      </c>
      <c r="H311">
        <v>0</v>
      </c>
      <c r="I311">
        <v>0</v>
      </c>
      <c r="J311">
        <v>0</v>
      </c>
      <c r="K311">
        <v>0</v>
      </c>
      <c r="L311">
        <v>0</v>
      </c>
      <c r="M311">
        <v>0</v>
      </c>
      <c r="N311">
        <v>0</v>
      </c>
      <c r="O311">
        <v>0</v>
      </c>
      <c r="P311">
        <v>0</v>
      </c>
      <c r="Q311">
        <v>0</v>
      </c>
      <c r="R311">
        <v>0</v>
      </c>
      <c r="S311">
        <v>0</v>
      </c>
      <c r="T311">
        <v>0</v>
      </c>
      <c r="U311">
        <v>0</v>
      </c>
      <c r="V311">
        <v>0</v>
      </c>
      <c r="W311">
        <v>0</v>
      </c>
      <c r="X311">
        <v>0</v>
      </c>
      <c r="Y311">
        <v>0</v>
      </c>
      <c r="Z311">
        <v>0</v>
      </c>
      <c r="AA311">
        <v>0</v>
      </c>
      <c r="AB311">
        <v>0</v>
      </c>
    </row>
    <row r="312" spans="1:28">
      <c r="A312">
        <v>0</v>
      </c>
      <c r="B312">
        <v>0</v>
      </c>
      <c r="C312">
        <v>0</v>
      </c>
      <c r="D312">
        <v>0</v>
      </c>
      <c r="E312">
        <v>0</v>
      </c>
      <c r="F312">
        <v>0</v>
      </c>
      <c r="G312">
        <v>0</v>
      </c>
      <c r="H312">
        <v>0</v>
      </c>
      <c r="I312">
        <v>0</v>
      </c>
      <c r="J312">
        <v>0</v>
      </c>
      <c r="K312">
        <v>0</v>
      </c>
      <c r="L312">
        <v>0</v>
      </c>
      <c r="M312">
        <v>0</v>
      </c>
      <c r="N312">
        <v>0</v>
      </c>
      <c r="O312">
        <v>0</v>
      </c>
      <c r="P312">
        <v>0</v>
      </c>
      <c r="Q312">
        <v>0</v>
      </c>
      <c r="R312">
        <v>0</v>
      </c>
      <c r="S312">
        <v>0</v>
      </c>
      <c r="T312">
        <v>0</v>
      </c>
      <c r="U312">
        <v>0</v>
      </c>
      <c r="V312">
        <v>0</v>
      </c>
      <c r="W312">
        <v>0</v>
      </c>
      <c r="X312">
        <v>0</v>
      </c>
      <c r="Y312">
        <v>0</v>
      </c>
      <c r="Z312">
        <v>0</v>
      </c>
      <c r="AA312">
        <v>0</v>
      </c>
      <c r="AB312">
        <v>0</v>
      </c>
    </row>
    <row r="313" spans="1:28">
      <c r="A313">
        <v>0</v>
      </c>
      <c r="B313">
        <v>0</v>
      </c>
      <c r="C313">
        <v>0</v>
      </c>
      <c r="D313">
        <v>0</v>
      </c>
      <c r="E313">
        <v>0</v>
      </c>
      <c r="F313">
        <v>0</v>
      </c>
      <c r="G313">
        <v>0</v>
      </c>
      <c r="H313">
        <v>0</v>
      </c>
      <c r="I313">
        <v>0</v>
      </c>
      <c r="J313">
        <v>0</v>
      </c>
      <c r="K313">
        <v>0</v>
      </c>
      <c r="L313">
        <v>0</v>
      </c>
      <c r="M313">
        <v>0</v>
      </c>
      <c r="N313">
        <v>0</v>
      </c>
      <c r="O313">
        <v>0</v>
      </c>
      <c r="P313">
        <v>0</v>
      </c>
      <c r="Q313">
        <v>0</v>
      </c>
      <c r="R313">
        <v>0</v>
      </c>
      <c r="S313">
        <v>0</v>
      </c>
      <c r="T313">
        <v>0</v>
      </c>
      <c r="U313">
        <v>0</v>
      </c>
      <c r="V313">
        <v>0</v>
      </c>
      <c r="W313">
        <v>0</v>
      </c>
      <c r="X313">
        <v>0</v>
      </c>
      <c r="Y313">
        <v>0</v>
      </c>
      <c r="Z313">
        <v>0</v>
      </c>
      <c r="AA313">
        <v>0</v>
      </c>
      <c r="AB313">
        <v>0</v>
      </c>
    </row>
    <row r="314" spans="1:28">
      <c r="A314">
        <v>0</v>
      </c>
      <c r="B314">
        <v>0</v>
      </c>
      <c r="C314">
        <v>0</v>
      </c>
      <c r="D314">
        <v>0</v>
      </c>
      <c r="E314">
        <v>0</v>
      </c>
      <c r="F314">
        <v>0</v>
      </c>
      <c r="G314">
        <v>0</v>
      </c>
      <c r="H314">
        <v>0</v>
      </c>
      <c r="I314">
        <v>0</v>
      </c>
      <c r="J314">
        <v>0</v>
      </c>
      <c r="K314">
        <v>0</v>
      </c>
      <c r="L314">
        <v>0</v>
      </c>
      <c r="M314">
        <v>0</v>
      </c>
      <c r="N314">
        <v>0</v>
      </c>
      <c r="O314">
        <v>0</v>
      </c>
      <c r="P314">
        <v>0</v>
      </c>
      <c r="Q314">
        <v>0</v>
      </c>
      <c r="R314">
        <v>0</v>
      </c>
      <c r="S314">
        <v>0</v>
      </c>
      <c r="T314">
        <v>0</v>
      </c>
      <c r="U314">
        <v>0</v>
      </c>
      <c r="V314">
        <v>0</v>
      </c>
      <c r="W314">
        <v>0</v>
      </c>
      <c r="X314">
        <v>0</v>
      </c>
      <c r="Y314">
        <v>0</v>
      </c>
      <c r="Z314">
        <v>0</v>
      </c>
      <c r="AA314">
        <v>0</v>
      </c>
      <c r="AB314">
        <v>0</v>
      </c>
    </row>
    <row r="315" spans="1:28">
      <c r="A315">
        <v>0</v>
      </c>
      <c r="B315">
        <v>0</v>
      </c>
      <c r="C315">
        <v>0</v>
      </c>
      <c r="D315">
        <v>0</v>
      </c>
      <c r="E315">
        <v>0</v>
      </c>
      <c r="F315">
        <v>0</v>
      </c>
      <c r="G315">
        <v>0</v>
      </c>
      <c r="H315">
        <v>0</v>
      </c>
      <c r="I315">
        <v>0</v>
      </c>
      <c r="J315">
        <v>0</v>
      </c>
      <c r="K315">
        <v>0</v>
      </c>
      <c r="L315">
        <v>0</v>
      </c>
      <c r="M315">
        <v>0</v>
      </c>
      <c r="N315">
        <v>0</v>
      </c>
      <c r="O315">
        <v>0</v>
      </c>
      <c r="P315">
        <v>0</v>
      </c>
      <c r="Q315">
        <v>0</v>
      </c>
      <c r="R315">
        <v>0</v>
      </c>
      <c r="S315">
        <v>0</v>
      </c>
      <c r="T315">
        <v>0</v>
      </c>
      <c r="U315">
        <v>0</v>
      </c>
      <c r="V315">
        <v>0</v>
      </c>
      <c r="W315">
        <v>0</v>
      </c>
      <c r="X315">
        <v>0</v>
      </c>
      <c r="Y315">
        <v>0</v>
      </c>
      <c r="Z315">
        <v>0</v>
      </c>
      <c r="AA315">
        <v>0</v>
      </c>
      <c r="AB315">
        <v>0</v>
      </c>
    </row>
    <row r="316" spans="1:28">
      <c r="A316">
        <v>0</v>
      </c>
      <c r="B316">
        <v>0</v>
      </c>
      <c r="C316">
        <v>0</v>
      </c>
      <c r="D316">
        <v>0</v>
      </c>
      <c r="E316">
        <v>0</v>
      </c>
      <c r="F316">
        <v>0</v>
      </c>
      <c r="G316">
        <v>0</v>
      </c>
      <c r="H316">
        <v>0</v>
      </c>
      <c r="I316">
        <v>0</v>
      </c>
      <c r="J316">
        <v>0</v>
      </c>
      <c r="K316">
        <v>0</v>
      </c>
      <c r="L316">
        <v>0</v>
      </c>
      <c r="M316">
        <v>0</v>
      </c>
      <c r="N316">
        <v>0</v>
      </c>
      <c r="O316">
        <v>0</v>
      </c>
      <c r="P316">
        <v>0</v>
      </c>
      <c r="Q316">
        <v>0</v>
      </c>
      <c r="R316">
        <v>0</v>
      </c>
      <c r="S316">
        <v>0</v>
      </c>
      <c r="T316">
        <v>0</v>
      </c>
      <c r="U316">
        <v>0</v>
      </c>
      <c r="V316">
        <v>0</v>
      </c>
      <c r="W316">
        <v>0</v>
      </c>
      <c r="X316">
        <v>0</v>
      </c>
      <c r="Y316">
        <v>0</v>
      </c>
      <c r="Z316">
        <v>0</v>
      </c>
      <c r="AA316">
        <v>0</v>
      </c>
      <c r="AB316">
        <v>0</v>
      </c>
    </row>
    <row r="317" spans="1:28">
      <c r="A317">
        <v>0</v>
      </c>
      <c r="B317">
        <v>0</v>
      </c>
      <c r="C317">
        <v>0</v>
      </c>
      <c r="D317">
        <v>0</v>
      </c>
      <c r="E317">
        <v>0</v>
      </c>
      <c r="F317">
        <v>0</v>
      </c>
      <c r="G317">
        <v>0</v>
      </c>
      <c r="H317">
        <v>0</v>
      </c>
      <c r="I317">
        <v>0</v>
      </c>
      <c r="J317">
        <v>0</v>
      </c>
      <c r="K317">
        <v>0</v>
      </c>
      <c r="L317">
        <v>0</v>
      </c>
      <c r="M317">
        <v>0</v>
      </c>
      <c r="N317">
        <v>0</v>
      </c>
      <c r="O317">
        <v>0</v>
      </c>
      <c r="P317">
        <v>0</v>
      </c>
      <c r="Q317">
        <v>0</v>
      </c>
      <c r="R317">
        <v>0</v>
      </c>
      <c r="S317">
        <v>0</v>
      </c>
      <c r="T317">
        <v>0</v>
      </c>
      <c r="U317">
        <v>0</v>
      </c>
      <c r="V317">
        <v>0</v>
      </c>
      <c r="W317">
        <v>0</v>
      </c>
      <c r="X317">
        <v>0</v>
      </c>
      <c r="Y317">
        <v>0</v>
      </c>
      <c r="Z317">
        <v>0</v>
      </c>
      <c r="AA317">
        <v>0</v>
      </c>
      <c r="AB317">
        <v>0</v>
      </c>
    </row>
    <row r="318" spans="1:28">
      <c r="A318">
        <v>0</v>
      </c>
      <c r="B318">
        <v>0</v>
      </c>
      <c r="C318">
        <v>0</v>
      </c>
      <c r="D318">
        <v>0</v>
      </c>
      <c r="E318">
        <v>0</v>
      </c>
      <c r="F318">
        <v>0</v>
      </c>
      <c r="G318">
        <v>0</v>
      </c>
      <c r="H318">
        <v>0</v>
      </c>
      <c r="I318">
        <v>0</v>
      </c>
      <c r="J318">
        <v>0</v>
      </c>
      <c r="K318">
        <v>0</v>
      </c>
      <c r="L318">
        <v>0</v>
      </c>
      <c r="M318">
        <v>0</v>
      </c>
      <c r="N318">
        <v>0</v>
      </c>
      <c r="O318">
        <v>0</v>
      </c>
      <c r="P318">
        <v>0</v>
      </c>
      <c r="Q318">
        <v>0</v>
      </c>
      <c r="R318">
        <v>0</v>
      </c>
      <c r="S318">
        <v>0</v>
      </c>
      <c r="T318">
        <v>0</v>
      </c>
      <c r="U318">
        <v>0</v>
      </c>
      <c r="V318">
        <v>0</v>
      </c>
      <c r="W318">
        <v>0</v>
      </c>
      <c r="X318">
        <v>0</v>
      </c>
      <c r="Y318">
        <v>0</v>
      </c>
      <c r="Z318">
        <v>0</v>
      </c>
      <c r="AA318">
        <v>0</v>
      </c>
      <c r="AB318">
        <v>0</v>
      </c>
    </row>
    <row r="319" spans="1:28">
      <c r="A319">
        <v>0</v>
      </c>
      <c r="B319">
        <v>0</v>
      </c>
      <c r="C319">
        <v>0</v>
      </c>
      <c r="D319">
        <v>0</v>
      </c>
      <c r="E319">
        <v>0</v>
      </c>
      <c r="F319">
        <v>0</v>
      </c>
      <c r="G319">
        <v>0</v>
      </c>
      <c r="H319">
        <v>0</v>
      </c>
      <c r="I319">
        <v>0</v>
      </c>
      <c r="J319">
        <v>0</v>
      </c>
      <c r="K319">
        <v>0</v>
      </c>
      <c r="L319">
        <v>0</v>
      </c>
      <c r="M319">
        <v>0</v>
      </c>
      <c r="N319">
        <v>0</v>
      </c>
      <c r="O319">
        <v>0</v>
      </c>
      <c r="P319">
        <v>0</v>
      </c>
      <c r="Q319">
        <v>0</v>
      </c>
      <c r="R319">
        <v>0</v>
      </c>
      <c r="S319">
        <v>0</v>
      </c>
      <c r="T319">
        <v>0</v>
      </c>
      <c r="U319">
        <v>0</v>
      </c>
      <c r="V319">
        <v>0</v>
      </c>
      <c r="W319">
        <v>0</v>
      </c>
      <c r="X319">
        <v>0</v>
      </c>
      <c r="Y319">
        <v>0</v>
      </c>
      <c r="Z319">
        <v>0</v>
      </c>
      <c r="AA319">
        <v>0</v>
      </c>
      <c r="AB319">
        <v>0</v>
      </c>
    </row>
    <row r="320" spans="1:28">
      <c r="A320">
        <v>0</v>
      </c>
      <c r="B320">
        <v>0</v>
      </c>
      <c r="C320">
        <v>0</v>
      </c>
      <c r="D320">
        <v>0</v>
      </c>
      <c r="E320">
        <v>0</v>
      </c>
      <c r="F320">
        <v>0</v>
      </c>
      <c r="G320">
        <v>0</v>
      </c>
      <c r="H320">
        <v>0</v>
      </c>
      <c r="I320">
        <v>0</v>
      </c>
      <c r="J320">
        <v>0</v>
      </c>
      <c r="K320">
        <v>0</v>
      </c>
      <c r="L320">
        <v>0</v>
      </c>
      <c r="M320">
        <v>0</v>
      </c>
      <c r="N320">
        <v>0</v>
      </c>
      <c r="O320">
        <v>0</v>
      </c>
      <c r="P320">
        <v>0</v>
      </c>
      <c r="Q320">
        <v>0</v>
      </c>
      <c r="R320">
        <v>0</v>
      </c>
      <c r="S320">
        <v>0</v>
      </c>
      <c r="T320">
        <v>0</v>
      </c>
      <c r="U320">
        <v>0</v>
      </c>
      <c r="V320">
        <v>0</v>
      </c>
      <c r="W320">
        <v>0</v>
      </c>
      <c r="X320">
        <v>0</v>
      </c>
      <c r="Y320">
        <v>0</v>
      </c>
      <c r="Z320">
        <v>0</v>
      </c>
      <c r="AA320">
        <v>0</v>
      </c>
      <c r="AB320">
        <v>0</v>
      </c>
    </row>
    <row r="321" spans="1:28">
      <c r="A321">
        <v>0</v>
      </c>
      <c r="B321">
        <v>0</v>
      </c>
      <c r="C321">
        <v>0</v>
      </c>
      <c r="D321">
        <v>0</v>
      </c>
      <c r="E321">
        <v>0</v>
      </c>
      <c r="F321">
        <v>0</v>
      </c>
      <c r="G321">
        <v>0</v>
      </c>
      <c r="H321">
        <v>0</v>
      </c>
      <c r="I321">
        <v>0</v>
      </c>
      <c r="J321">
        <v>0</v>
      </c>
      <c r="K321">
        <v>0</v>
      </c>
      <c r="L321">
        <v>0</v>
      </c>
      <c r="M321">
        <v>0</v>
      </c>
      <c r="N321">
        <v>0</v>
      </c>
      <c r="O321">
        <v>0</v>
      </c>
      <c r="P321">
        <v>0</v>
      </c>
      <c r="Q321">
        <v>0</v>
      </c>
      <c r="R321">
        <v>0</v>
      </c>
      <c r="S321">
        <v>0</v>
      </c>
      <c r="T321">
        <v>0</v>
      </c>
      <c r="U321">
        <v>0</v>
      </c>
      <c r="V321">
        <v>0</v>
      </c>
      <c r="W321">
        <v>0</v>
      </c>
      <c r="X321">
        <v>0</v>
      </c>
      <c r="Y321">
        <v>0</v>
      </c>
      <c r="Z321">
        <v>0</v>
      </c>
      <c r="AA321">
        <v>0</v>
      </c>
      <c r="AB321">
        <v>0</v>
      </c>
    </row>
    <row r="322" spans="1:28">
      <c r="A322">
        <v>0</v>
      </c>
      <c r="B322">
        <v>0</v>
      </c>
      <c r="C322">
        <v>0</v>
      </c>
      <c r="D322">
        <v>0</v>
      </c>
      <c r="E322">
        <v>0</v>
      </c>
      <c r="F322">
        <v>0</v>
      </c>
      <c r="G322">
        <v>0</v>
      </c>
      <c r="H322">
        <v>0</v>
      </c>
      <c r="I322">
        <v>0</v>
      </c>
      <c r="J322">
        <v>0</v>
      </c>
      <c r="K322">
        <v>0</v>
      </c>
      <c r="L322">
        <v>0</v>
      </c>
      <c r="M322">
        <v>0</v>
      </c>
      <c r="N322">
        <v>0</v>
      </c>
      <c r="O322">
        <v>0</v>
      </c>
      <c r="P322">
        <v>0</v>
      </c>
      <c r="Q322">
        <v>0</v>
      </c>
      <c r="R322">
        <v>0</v>
      </c>
      <c r="S322">
        <v>0</v>
      </c>
      <c r="T322">
        <v>0</v>
      </c>
      <c r="U322">
        <v>0</v>
      </c>
      <c r="V322">
        <v>0</v>
      </c>
      <c r="W322">
        <v>0</v>
      </c>
      <c r="X322">
        <v>0</v>
      </c>
      <c r="Y322">
        <v>0</v>
      </c>
      <c r="Z322">
        <v>0</v>
      </c>
      <c r="AA322">
        <v>0</v>
      </c>
      <c r="AB322">
        <v>0</v>
      </c>
    </row>
    <row r="323" spans="1:28">
      <c r="A323">
        <v>0</v>
      </c>
      <c r="B323">
        <v>0</v>
      </c>
      <c r="C323">
        <v>0</v>
      </c>
      <c r="D323">
        <v>0</v>
      </c>
      <c r="E323">
        <v>0</v>
      </c>
      <c r="F323">
        <v>0</v>
      </c>
      <c r="G323">
        <v>0</v>
      </c>
      <c r="H323">
        <v>0</v>
      </c>
      <c r="I323">
        <v>0</v>
      </c>
      <c r="J323">
        <v>0</v>
      </c>
      <c r="K323">
        <v>0</v>
      </c>
      <c r="L323">
        <v>0</v>
      </c>
      <c r="M323">
        <v>0</v>
      </c>
      <c r="N323">
        <v>0</v>
      </c>
      <c r="O323">
        <v>0</v>
      </c>
      <c r="P323">
        <v>0</v>
      </c>
      <c r="Q323">
        <v>0</v>
      </c>
      <c r="R323">
        <v>0</v>
      </c>
      <c r="S323">
        <v>0</v>
      </c>
      <c r="T323">
        <v>0</v>
      </c>
      <c r="U323">
        <v>0</v>
      </c>
      <c r="V323">
        <v>0</v>
      </c>
      <c r="W323">
        <v>0</v>
      </c>
      <c r="X323">
        <v>0</v>
      </c>
      <c r="Y323">
        <v>0</v>
      </c>
      <c r="Z323">
        <v>0</v>
      </c>
      <c r="AA323">
        <v>0</v>
      </c>
      <c r="AB323">
        <v>0</v>
      </c>
    </row>
    <row r="324" spans="1:28">
      <c r="A324">
        <v>0</v>
      </c>
      <c r="B324">
        <v>0</v>
      </c>
      <c r="C324">
        <v>0</v>
      </c>
      <c r="D324">
        <v>0</v>
      </c>
      <c r="E324">
        <v>0</v>
      </c>
      <c r="F324">
        <v>0</v>
      </c>
      <c r="G324">
        <v>0</v>
      </c>
      <c r="H324">
        <v>0</v>
      </c>
      <c r="I324">
        <v>0</v>
      </c>
      <c r="J324">
        <v>0</v>
      </c>
      <c r="K324">
        <v>0</v>
      </c>
      <c r="L324">
        <v>0</v>
      </c>
      <c r="M324">
        <v>0</v>
      </c>
      <c r="N324">
        <v>0</v>
      </c>
      <c r="O324">
        <v>0</v>
      </c>
      <c r="P324">
        <v>0</v>
      </c>
      <c r="Q324">
        <v>0</v>
      </c>
      <c r="R324">
        <v>0</v>
      </c>
      <c r="S324">
        <v>0</v>
      </c>
      <c r="T324">
        <v>0</v>
      </c>
      <c r="U324">
        <v>0</v>
      </c>
      <c r="V324">
        <v>0</v>
      </c>
      <c r="W324">
        <v>0</v>
      </c>
      <c r="X324">
        <v>0</v>
      </c>
      <c r="Y324">
        <v>0</v>
      </c>
      <c r="Z324">
        <v>0</v>
      </c>
      <c r="AA324">
        <v>0</v>
      </c>
      <c r="AB324">
        <v>0</v>
      </c>
    </row>
    <row r="325" spans="1:28">
      <c r="A325">
        <v>0</v>
      </c>
      <c r="B325">
        <v>0</v>
      </c>
      <c r="C325">
        <v>0</v>
      </c>
      <c r="D325">
        <v>0</v>
      </c>
      <c r="E325">
        <v>0</v>
      </c>
      <c r="F325">
        <v>0</v>
      </c>
      <c r="G325">
        <v>0</v>
      </c>
      <c r="H325">
        <v>0</v>
      </c>
      <c r="I325">
        <v>0</v>
      </c>
      <c r="J325">
        <v>0</v>
      </c>
      <c r="K325">
        <v>0</v>
      </c>
      <c r="L325">
        <v>0</v>
      </c>
      <c r="M325">
        <v>0</v>
      </c>
      <c r="N325">
        <v>0</v>
      </c>
      <c r="O325">
        <v>0</v>
      </c>
      <c r="P325">
        <v>0</v>
      </c>
      <c r="Q325">
        <v>0</v>
      </c>
      <c r="R325">
        <v>0</v>
      </c>
      <c r="S325">
        <v>0</v>
      </c>
      <c r="T325">
        <v>0</v>
      </c>
      <c r="U325">
        <v>0</v>
      </c>
      <c r="V325">
        <v>0</v>
      </c>
      <c r="W325">
        <v>0</v>
      </c>
      <c r="X325">
        <v>0</v>
      </c>
      <c r="Y325">
        <v>0</v>
      </c>
      <c r="Z325">
        <v>0</v>
      </c>
      <c r="AA325">
        <v>0</v>
      </c>
      <c r="AB325">
        <v>0</v>
      </c>
    </row>
    <row r="326" spans="1:28">
      <c r="A326">
        <v>0</v>
      </c>
      <c r="B326">
        <v>0</v>
      </c>
      <c r="C326">
        <v>0</v>
      </c>
      <c r="D326">
        <v>0</v>
      </c>
      <c r="E326">
        <v>0</v>
      </c>
      <c r="F326">
        <v>0</v>
      </c>
      <c r="G326">
        <v>0</v>
      </c>
      <c r="H326">
        <v>0</v>
      </c>
      <c r="I326">
        <v>0</v>
      </c>
      <c r="J326">
        <v>0</v>
      </c>
      <c r="K326">
        <v>0</v>
      </c>
      <c r="L326">
        <v>0</v>
      </c>
      <c r="M326">
        <v>0</v>
      </c>
      <c r="N326">
        <v>0</v>
      </c>
      <c r="O326">
        <v>0</v>
      </c>
      <c r="P326">
        <v>0</v>
      </c>
      <c r="Q326">
        <v>0</v>
      </c>
      <c r="R326">
        <v>0</v>
      </c>
      <c r="S326">
        <v>0</v>
      </c>
      <c r="T326">
        <v>0</v>
      </c>
      <c r="U326">
        <v>0</v>
      </c>
      <c r="V326">
        <v>0</v>
      </c>
      <c r="W326">
        <v>0</v>
      </c>
      <c r="X326">
        <v>0</v>
      </c>
      <c r="Y326">
        <v>0</v>
      </c>
      <c r="Z326">
        <v>0</v>
      </c>
      <c r="AA326">
        <v>0</v>
      </c>
      <c r="AB326">
        <v>0</v>
      </c>
    </row>
    <row r="327" spans="1:28">
      <c r="A327">
        <v>0</v>
      </c>
      <c r="B327">
        <v>0</v>
      </c>
      <c r="C327">
        <v>0</v>
      </c>
      <c r="D327">
        <v>0</v>
      </c>
      <c r="E327">
        <v>0</v>
      </c>
      <c r="F327">
        <v>0</v>
      </c>
      <c r="G327">
        <v>0</v>
      </c>
      <c r="H327">
        <v>0</v>
      </c>
      <c r="I327">
        <v>0</v>
      </c>
      <c r="J327">
        <v>0</v>
      </c>
      <c r="K327">
        <v>0</v>
      </c>
      <c r="L327">
        <v>0</v>
      </c>
      <c r="M327">
        <v>0</v>
      </c>
      <c r="N327">
        <v>0</v>
      </c>
      <c r="O327">
        <v>0</v>
      </c>
      <c r="P327">
        <v>0</v>
      </c>
      <c r="Q327">
        <v>0</v>
      </c>
      <c r="R327">
        <v>0</v>
      </c>
      <c r="S327">
        <v>0</v>
      </c>
      <c r="T327">
        <v>0</v>
      </c>
      <c r="U327">
        <v>0</v>
      </c>
      <c r="V327">
        <v>0</v>
      </c>
      <c r="W327">
        <v>0</v>
      </c>
      <c r="X327">
        <v>0</v>
      </c>
      <c r="Y327">
        <v>0</v>
      </c>
      <c r="Z327">
        <v>0</v>
      </c>
      <c r="AA327">
        <v>0</v>
      </c>
      <c r="AB327">
        <v>0</v>
      </c>
    </row>
    <row r="328" spans="1:28">
      <c r="A328">
        <v>0</v>
      </c>
      <c r="B328">
        <v>0</v>
      </c>
      <c r="C328">
        <v>0</v>
      </c>
      <c r="D328">
        <v>0</v>
      </c>
      <c r="E328">
        <v>0</v>
      </c>
      <c r="F328">
        <v>0</v>
      </c>
      <c r="G328">
        <v>0</v>
      </c>
      <c r="H328">
        <v>0</v>
      </c>
      <c r="I328">
        <v>0</v>
      </c>
      <c r="J328">
        <v>0</v>
      </c>
      <c r="K328">
        <v>0</v>
      </c>
      <c r="L328">
        <v>0</v>
      </c>
      <c r="M328">
        <v>0</v>
      </c>
      <c r="N328">
        <v>0</v>
      </c>
      <c r="O328">
        <v>0</v>
      </c>
      <c r="P328">
        <v>0</v>
      </c>
      <c r="Q328">
        <v>0</v>
      </c>
      <c r="R328">
        <v>0</v>
      </c>
      <c r="S328">
        <v>0</v>
      </c>
      <c r="T328">
        <v>0</v>
      </c>
      <c r="U328">
        <v>0</v>
      </c>
      <c r="V328">
        <v>0</v>
      </c>
      <c r="W328">
        <v>0</v>
      </c>
      <c r="X328">
        <v>0</v>
      </c>
      <c r="Y328">
        <v>0</v>
      </c>
      <c r="Z328">
        <v>0</v>
      </c>
      <c r="AA328">
        <v>0</v>
      </c>
      <c r="AB328">
        <v>0</v>
      </c>
    </row>
    <row r="329" spans="1:28">
      <c r="A329">
        <v>0</v>
      </c>
      <c r="B329">
        <v>0</v>
      </c>
      <c r="C329">
        <v>0</v>
      </c>
      <c r="D329">
        <v>0</v>
      </c>
      <c r="E329">
        <v>0</v>
      </c>
      <c r="F329">
        <v>0</v>
      </c>
      <c r="G329">
        <v>0</v>
      </c>
      <c r="H329">
        <v>0</v>
      </c>
      <c r="I329">
        <v>0</v>
      </c>
      <c r="J329">
        <v>0</v>
      </c>
      <c r="K329">
        <v>0</v>
      </c>
      <c r="L329">
        <v>0</v>
      </c>
      <c r="M329">
        <v>0</v>
      </c>
      <c r="N329">
        <v>0</v>
      </c>
      <c r="O329">
        <v>0</v>
      </c>
      <c r="P329">
        <v>0</v>
      </c>
      <c r="Q329">
        <v>0</v>
      </c>
      <c r="R329">
        <v>0</v>
      </c>
      <c r="S329">
        <v>0</v>
      </c>
      <c r="T329">
        <v>0</v>
      </c>
      <c r="U329">
        <v>0</v>
      </c>
      <c r="V329">
        <v>0</v>
      </c>
      <c r="W329">
        <v>0</v>
      </c>
      <c r="X329">
        <v>0</v>
      </c>
      <c r="Y329">
        <v>0</v>
      </c>
      <c r="Z329">
        <v>0</v>
      </c>
      <c r="AA329">
        <v>0</v>
      </c>
      <c r="AB329">
        <v>0</v>
      </c>
    </row>
    <row r="330" spans="1:28">
      <c r="A330">
        <v>0</v>
      </c>
      <c r="B330">
        <v>0</v>
      </c>
      <c r="C330">
        <v>0</v>
      </c>
      <c r="D330">
        <v>0</v>
      </c>
      <c r="E330">
        <v>0</v>
      </c>
      <c r="F330">
        <v>0</v>
      </c>
      <c r="G330">
        <v>0</v>
      </c>
      <c r="H330">
        <v>0</v>
      </c>
      <c r="I330">
        <v>0</v>
      </c>
      <c r="J330">
        <v>0</v>
      </c>
      <c r="K330">
        <v>0</v>
      </c>
      <c r="L330">
        <v>0</v>
      </c>
      <c r="M330">
        <v>0</v>
      </c>
      <c r="N330">
        <v>0</v>
      </c>
      <c r="O330">
        <v>0</v>
      </c>
      <c r="P330">
        <v>0</v>
      </c>
      <c r="Q330">
        <v>0</v>
      </c>
      <c r="R330">
        <v>0</v>
      </c>
      <c r="S330">
        <v>0</v>
      </c>
      <c r="T330">
        <v>0</v>
      </c>
      <c r="U330">
        <v>0</v>
      </c>
      <c r="V330">
        <v>0</v>
      </c>
      <c r="W330">
        <v>0</v>
      </c>
      <c r="X330">
        <v>0</v>
      </c>
      <c r="Y330">
        <v>0</v>
      </c>
      <c r="Z330">
        <v>0</v>
      </c>
      <c r="AA330">
        <v>0</v>
      </c>
      <c r="AB330">
        <v>0</v>
      </c>
    </row>
    <row r="331" spans="1:28">
      <c r="A331">
        <v>0</v>
      </c>
      <c r="B331">
        <v>0</v>
      </c>
      <c r="C331">
        <v>0</v>
      </c>
      <c r="D331">
        <v>0</v>
      </c>
      <c r="E331">
        <v>0</v>
      </c>
      <c r="F331">
        <v>0</v>
      </c>
      <c r="G331">
        <v>0</v>
      </c>
      <c r="H331">
        <v>0</v>
      </c>
      <c r="I331">
        <v>0</v>
      </c>
      <c r="J331">
        <v>0</v>
      </c>
      <c r="K331">
        <v>0</v>
      </c>
      <c r="L331">
        <v>0</v>
      </c>
      <c r="M331">
        <v>0</v>
      </c>
      <c r="N331">
        <v>0</v>
      </c>
      <c r="O331">
        <v>0</v>
      </c>
      <c r="P331">
        <v>0</v>
      </c>
      <c r="Q331">
        <v>0</v>
      </c>
      <c r="R331">
        <v>0</v>
      </c>
      <c r="S331">
        <v>0</v>
      </c>
      <c r="T331">
        <v>0</v>
      </c>
      <c r="U331">
        <v>0</v>
      </c>
      <c r="V331">
        <v>0</v>
      </c>
      <c r="W331">
        <v>0</v>
      </c>
      <c r="X331">
        <v>0</v>
      </c>
      <c r="Y331">
        <v>0</v>
      </c>
      <c r="Z331">
        <v>0</v>
      </c>
      <c r="AA331">
        <v>0</v>
      </c>
      <c r="AB331">
        <v>0</v>
      </c>
    </row>
    <row r="332" spans="1:28">
      <c r="A332">
        <v>0</v>
      </c>
      <c r="B332">
        <v>0</v>
      </c>
      <c r="C332">
        <v>0</v>
      </c>
      <c r="D332">
        <v>0</v>
      </c>
      <c r="E332">
        <v>0</v>
      </c>
      <c r="F332">
        <v>0</v>
      </c>
      <c r="G332">
        <v>0</v>
      </c>
      <c r="H332">
        <v>0</v>
      </c>
      <c r="I332">
        <v>0</v>
      </c>
      <c r="J332">
        <v>0</v>
      </c>
      <c r="K332">
        <v>0</v>
      </c>
      <c r="L332">
        <v>0</v>
      </c>
      <c r="M332">
        <v>0</v>
      </c>
      <c r="N332">
        <v>0</v>
      </c>
      <c r="O332">
        <v>0</v>
      </c>
      <c r="P332">
        <v>0</v>
      </c>
      <c r="Q332">
        <v>0</v>
      </c>
      <c r="R332">
        <v>0</v>
      </c>
      <c r="S332">
        <v>0</v>
      </c>
      <c r="T332">
        <v>0</v>
      </c>
      <c r="U332">
        <v>0</v>
      </c>
      <c r="V332">
        <v>0</v>
      </c>
      <c r="W332">
        <v>0</v>
      </c>
      <c r="X332">
        <v>0</v>
      </c>
      <c r="Y332">
        <v>0</v>
      </c>
      <c r="Z332">
        <v>0</v>
      </c>
      <c r="AA332">
        <v>0</v>
      </c>
      <c r="AB332">
        <v>0</v>
      </c>
    </row>
    <row r="333" spans="1:28">
      <c r="A333">
        <v>0</v>
      </c>
      <c r="B333">
        <v>0</v>
      </c>
      <c r="C333">
        <v>0</v>
      </c>
      <c r="D333">
        <v>0</v>
      </c>
      <c r="E333">
        <v>0</v>
      </c>
      <c r="F333">
        <v>0</v>
      </c>
      <c r="G333">
        <v>0</v>
      </c>
      <c r="H333">
        <v>0</v>
      </c>
      <c r="I333">
        <v>0</v>
      </c>
      <c r="J333">
        <v>0</v>
      </c>
      <c r="K333">
        <v>0</v>
      </c>
      <c r="L333">
        <v>0</v>
      </c>
      <c r="M333">
        <v>0</v>
      </c>
      <c r="N333">
        <v>0</v>
      </c>
      <c r="O333">
        <v>0</v>
      </c>
      <c r="P333">
        <v>0</v>
      </c>
      <c r="Q333">
        <v>0</v>
      </c>
      <c r="R333">
        <v>0</v>
      </c>
      <c r="S333">
        <v>0</v>
      </c>
      <c r="T333">
        <v>0</v>
      </c>
      <c r="U333">
        <v>0</v>
      </c>
      <c r="V333">
        <v>0</v>
      </c>
      <c r="W333">
        <v>0</v>
      </c>
      <c r="X333">
        <v>0</v>
      </c>
      <c r="Y333">
        <v>0</v>
      </c>
      <c r="Z333">
        <v>0</v>
      </c>
      <c r="AA333">
        <v>0</v>
      </c>
      <c r="AB333">
        <v>0</v>
      </c>
    </row>
    <row r="334" spans="1:28">
      <c r="A334">
        <v>0</v>
      </c>
      <c r="B334">
        <v>0</v>
      </c>
      <c r="C334">
        <v>0</v>
      </c>
      <c r="D334">
        <v>0</v>
      </c>
      <c r="E334">
        <v>0</v>
      </c>
      <c r="F334">
        <v>0</v>
      </c>
      <c r="G334">
        <v>0</v>
      </c>
      <c r="H334">
        <v>0</v>
      </c>
      <c r="I334">
        <v>0</v>
      </c>
      <c r="J334">
        <v>0</v>
      </c>
      <c r="K334">
        <v>0</v>
      </c>
      <c r="L334">
        <v>0</v>
      </c>
      <c r="M334">
        <v>0</v>
      </c>
      <c r="N334">
        <v>0</v>
      </c>
      <c r="O334">
        <v>0</v>
      </c>
      <c r="P334">
        <v>0</v>
      </c>
      <c r="Q334">
        <v>0</v>
      </c>
      <c r="R334">
        <v>0</v>
      </c>
      <c r="S334">
        <v>0</v>
      </c>
      <c r="T334">
        <v>0</v>
      </c>
      <c r="U334">
        <v>0</v>
      </c>
      <c r="V334">
        <v>0</v>
      </c>
      <c r="W334">
        <v>0</v>
      </c>
      <c r="X334">
        <v>0</v>
      </c>
      <c r="Y334">
        <v>0</v>
      </c>
      <c r="Z334">
        <v>0</v>
      </c>
      <c r="AA334">
        <v>0</v>
      </c>
      <c r="AB334">
        <v>0</v>
      </c>
    </row>
    <row r="335" spans="1:28">
      <c r="A335">
        <v>0</v>
      </c>
      <c r="B335">
        <v>0</v>
      </c>
      <c r="C335">
        <v>0</v>
      </c>
      <c r="D335">
        <v>0</v>
      </c>
      <c r="E335">
        <v>0</v>
      </c>
      <c r="F335">
        <v>0</v>
      </c>
      <c r="G335">
        <v>0</v>
      </c>
      <c r="H335">
        <v>0</v>
      </c>
      <c r="I335">
        <v>0</v>
      </c>
      <c r="J335">
        <v>0</v>
      </c>
      <c r="K335">
        <v>0</v>
      </c>
      <c r="L335">
        <v>0</v>
      </c>
      <c r="M335">
        <v>0</v>
      </c>
      <c r="N335">
        <v>0</v>
      </c>
      <c r="O335">
        <v>0</v>
      </c>
      <c r="P335">
        <v>0</v>
      </c>
      <c r="Q335">
        <v>0</v>
      </c>
      <c r="R335">
        <v>0</v>
      </c>
      <c r="S335">
        <v>0</v>
      </c>
      <c r="T335">
        <v>0</v>
      </c>
      <c r="U335">
        <v>0</v>
      </c>
      <c r="V335">
        <v>0</v>
      </c>
      <c r="W335">
        <v>0</v>
      </c>
      <c r="X335">
        <v>0</v>
      </c>
      <c r="Y335">
        <v>0</v>
      </c>
      <c r="Z335">
        <v>0</v>
      </c>
      <c r="AA335">
        <v>0</v>
      </c>
      <c r="AB335">
        <v>0</v>
      </c>
    </row>
    <row r="336" spans="1:28">
      <c r="A336">
        <v>0</v>
      </c>
      <c r="B336">
        <v>0</v>
      </c>
      <c r="C336">
        <v>0</v>
      </c>
      <c r="D336">
        <v>0</v>
      </c>
      <c r="E336">
        <v>0</v>
      </c>
      <c r="F336">
        <v>0</v>
      </c>
      <c r="G336">
        <v>0</v>
      </c>
      <c r="H336">
        <v>0</v>
      </c>
      <c r="I336">
        <v>0</v>
      </c>
      <c r="J336">
        <v>0</v>
      </c>
      <c r="K336">
        <v>0</v>
      </c>
      <c r="L336">
        <v>0</v>
      </c>
      <c r="M336">
        <v>0</v>
      </c>
      <c r="N336">
        <v>0</v>
      </c>
      <c r="O336">
        <v>0</v>
      </c>
      <c r="P336">
        <v>0</v>
      </c>
      <c r="Q336">
        <v>0</v>
      </c>
      <c r="R336">
        <v>0</v>
      </c>
      <c r="S336">
        <v>0</v>
      </c>
      <c r="T336">
        <v>0</v>
      </c>
      <c r="U336">
        <v>0</v>
      </c>
      <c r="V336">
        <v>0</v>
      </c>
      <c r="W336">
        <v>0</v>
      </c>
      <c r="X336">
        <v>0</v>
      </c>
      <c r="Y336">
        <v>0</v>
      </c>
      <c r="Z336">
        <v>0</v>
      </c>
      <c r="AA336">
        <v>0</v>
      </c>
      <c r="AB336">
        <v>0</v>
      </c>
    </row>
    <row r="337" spans="1:28">
      <c r="A337">
        <v>0</v>
      </c>
      <c r="B337">
        <v>0</v>
      </c>
      <c r="C337">
        <v>0</v>
      </c>
      <c r="D337">
        <v>0</v>
      </c>
      <c r="E337">
        <v>0</v>
      </c>
      <c r="F337">
        <v>0</v>
      </c>
      <c r="G337">
        <v>0</v>
      </c>
      <c r="H337">
        <v>0</v>
      </c>
      <c r="I337">
        <v>0</v>
      </c>
      <c r="J337">
        <v>0</v>
      </c>
      <c r="K337">
        <v>0</v>
      </c>
      <c r="L337">
        <v>0</v>
      </c>
      <c r="M337">
        <v>0</v>
      </c>
      <c r="N337">
        <v>0</v>
      </c>
      <c r="O337">
        <v>0</v>
      </c>
      <c r="P337">
        <v>0</v>
      </c>
      <c r="Q337">
        <v>0</v>
      </c>
      <c r="R337">
        <v>0</v>
      </c>
      <c r="S337">
        <v>0</v>
      </c>
      <c r="T337">
        <v>0</v>
      </c>
      <c r="U337">
        <v>0</v>
      </c>
      <c r="V337">
        <v>0</v>
      </c>
      <c r="W337">
        <v>0</v>
      </c>
      <c r="X337">
        <v>0</v>
      </c>
      <c r="Y337">
        <v>0</v>
      </c>
      <c r="Z337">
        <v>0</v>
      </c>
      <c r="AA337">
        <v>0</v>
      </c>
      <c r="AB337">
        <v>0</v>
      </c>
    </row>
    <row r="338" spans="1:28">
      <c r="A338">
        <v>0</v>
      </c>
      <c r="B338">
        <v>0</v>
      </c>
      <c r="C338">
        <v>0</v>
      </c>
      <c r="D338">
        <v>0</v>
      </c>
      <c r="E338">
        <v>0</v>
      </c>
      <c r="F338">
        <v>0</v>
      </c>
      <c r="G338">
        <v>0</v>
      </c>
      <c r="H338">
        <v>0</v>
      </c>
      <c r="I338">
        <v>0</v>
      </c>
      <c r="J338">
        <v>0</v>
      </c>
      <c r="K338">
        <v>0</v>
      </c>
      <c r="L338">
        <v>0</v>
      </c>
      <c r="M338">
        <v>0</v>
      </c>
      <c r="N338">
        <v>0</v>
      </c>
      <c r="O338">
        <v>0</v>
      </c>
      <c r="P338">
        <v>0</v>
      </c>
      <c r="Q338">
        <v>0</v>
      </c>
      <c r="R338">
        <v>0</v>
      </c>
      <c r="S338">
        <v>0</v>
      </c>
      <c r="T338">
        <v>0</v>
      </c>
      <c r="U338">
        <v>0</v>
      </c>
      <c r="V338">
        <v>0</v>
      </c>
      <c r="W338">
        <v>0</v>
      </c>
      <c r="X338">
        <v>0</v>
      </c>
      <c r="Y338">
        <v>0</v>
      </c>
      <c r="Z338">
        <v>0</v>
      </c>
      <c r="AA338">
        <v>0</v>
      </c>
      <c r="AB338">
        <v>0</v>
      </c>
    </row>
    <row r="339" spans="1:28">
      <c r="A339">
        <v>0</v>
      </c>
      <c r="B339">
        <v>0</v>
      </c>
      <c r="C339">
        <v>0</v>
      </c>
      <c r="D339">
        <v>0</v>
      </c>
      <c r="E339">
        <v>0</v>
      </c>
      <c r="F339">
        <v>0</v>
      </c>
      <c r="G339">
        <v>0</v>
      </c>
      <c r="H339">
        <v>0</v>
      </c>
      <c r="I339">
        <v>0</v>
      </c>
      <c r="J339">
        <v>0</v>
      </c>
      <c r="K339">
        <v>0</v>
      </c>
      <c r="L339">
        <v>0</v>
      </c>
      <c r="M339">
        <v>0</v>
      </c>
      <c r="N339">
        <v>0</v>
      </c>
      <c r="O339">
        <v>0</v>
      </c>
      <c r="P339">
        <v>0</v>
      </c>
      <c r="Q339">
        <v>0</v>
      </c>
      <c r="R339">
        <v>0</v>
      </c>
      <c r="S339">
        <v>0</v>
      </c>
      <c r="T339">
        <v>0</v>
      </c>
      <c r="U339">
        <v>0</v>
      </c>
      <c r="V339">
        <v>0</v>
      </c>
      <c r="W339">
        <v>0</v>
      </c>
      <c r="X339">
        <v>0</v>
      </c>
      <c r="Y339">
        <v>0</v>
      </c>
      <c r="Z339">
        <v>0</v>
      </c>
      <c r="AA339">
        <v>0</v>
      </c>
      <c r="AB339">
        <v>0</v>
      </c>
    </row>
    <row r="340" spans="1:28">
      <c r="A340">
        <v>0</v>
      </c>
      <c r="B340">
        <v>0</v>
      </c>
      <c r="C340">
        <v>0</v>
      </c>
      <c r="D340">
        <v>0</v>
      </c>
      <c r="E340">
        <v>0</v>
      </c>
      <c r="F340">
        <v>0</v>
      </c>
      <c r="G340">
        <v>0</v>
      </c>
      <c r="H340">
        <v>0</v>
      </c>
      <c r="I340">
        <v>0</v>
      </c>
      <c r="J340">
        <v>0</v>
      </c>
      <c r="K340">
        <v>0</v>
      </c>
      <c r="L340">
        <v>0</v>
      </c>
      <c r="M340">
        <v>0</v>
      </c>
      <c r="N340">
        <v>0</v>
      </c>
      <c r="O340">
        <v>0</v>
      </c>
      <c r="P340">
        <v>0</v>
      </c>
      <c r="Q340">
        <v>0</v>
      </c>
      <c r="R340">
        <v>0</v>
      </c>
      <c r="S340">
        <v>0</v>
      </c>
      <c r="T340">
        <v>0</v>
      </c>
      <c r="U340">
        <v>0</v>
      </c>
      <c r="V340">
        <v>0</v>
      </c>
      <c r="W340">
        <v>0</v>
      </c>
      <c r="X340">
        <v>0</v>
      </c>
      <c r="Y340">
        <v>0</v>
      </c>
      <c r="Z340">
        <v>0</v>
      </c>
      <c r="AA340">
        <v>0</v>
      </c>
      <c r="AB340">
        <v>0</v>
      </c>
    </row>
    <row r="341" spans="1:28">
      <c r="A341">
        <v>0</v>
      </c>
      <c r="B341">
        <v>0</v>
      </c>
      <c r="C341">
        <v>0</v>
      </c>
      <c r="D341">
        <v>0</v>
      </c>
      <c r="E341">
        <v>0</v>
      </c>
      <c r="F341">
        <v>0</v>
      </c>
      <c r="G341">
        <v>0</v>
      </c>
      <c r="H341">
        <v>0</v>
      </c>
      <c r="I341">
        <v>0</v>
      </c>
      <c r="J341">
        <v>0</v>
      </c>
      <c r="K341">
        <v>0</v>
      </c>
      <c r="L341">
        <v>0</v>
      </c>
      <c r="M341">
        <v>0</v>
      </c>
      <c r="N341">
        <v>0</v>
      </c>
      <c r="O341">
        <v>0</v>
      </c>
      <c r="P341">
        <v>0</v>
      </c>
      <c r="Q341">
        <v>0</v>
      </c>
      <c r="R341">
        <v>0</v>
      </c>
      <c r="S341">
        <v>0</v>
      </c>
      <c r="T341">
        <v>0</v>
      </c>
      <c r="U341">
        <v>0</v>
      </c>
      <c r="V341">
        <v>0</v>
      </c>
      <c r="W341">
        <v>0</v>
      </c>
      <c r="X341">
        <v>0</v>
      </c>
      <c r="Y341">
        <v>0</v>
      </c>
      <c r="Z341">
        <v>0</v>
      </c>
      <c r="AA341">
        <v>0</v>
      </c>
      <c r="AB341">
        <v>0</v>
      </c>
    </row>
    <row r="342" spans="1:28">
      <c r="A342">
        <v>0</v>
      </c>
      <c r="B342">
        <v>0</v>
      </c>
      <c r="C342">
        <v>0</v>
      </c>
      <c r="D342">
        <v>0</v>
      </c>
      <c r="E342">
        <v>0</v>
      </c>
      <c r="F342">
        <v>0</v>
      </c>
      <c r="G342">
        <v>0</v>
      </c>
      <c r="H342">
        <v>0</v>
      </c>
      <c r="I342">
        <v>0</v>
      </c>
      <c r="J342">
        <v>0</v>
      </c>
      <c r="K342">
        <v>0</v>
      </c>
      <c r="L342">
        <v>0</v>
      </c>
      <c r="M342">
        <v>0</v>
      </c>
      <c r="N342">
        <v>0</v>
      </c>
      <c r="O342">
        <v>0</v>
      </c>
      <c r="P342">
        <v>0</v>
      </c>
      <c r="Q342">
        <v>0</v>
      </c>
      <c r="R342">
        <v>0</v>
      </c>
      <c r="S342">
        <v>0</v>
      </c>
      <c r="T342">
        <v>0</v>
      </c>
      <c r="U342">
        <v>0</v>
      </c>
      <c r="V342">
        <v>0</v>
      </c>
      <c r="W342">
        <v>0</v>
      </c>
      <c r="X342">
        <v>0</v>
      </c>
      <c r="Y342">
        <v>0</v>
      </c>
      <c r="Z342">
        <v>0</v>
      </c>
      <c r="AA342">
        <v>0</v>
      </c>
      <c r="AB342">
        <v>0</v>
      </c>
    </row>
    <row r="343" spans="1:28">
      <c r="A343">
        <v>0</v>
      </c>
      <c r="B343">
        <v>0</v>
      </c>
      <c r="C343">
        <v>0</v>
      </c>
      <c r="D343">
        <v>0</v>
      </c>
      <c r="E343">
        <v>0</v>
      </c>
      <c r="F343">
        <v>0</v>
      </c>
      <c r="G343">
        <v>0</v>
      </c>
      <c r="H343">
        <v>0</v>
      </c>
      <c r="I343">
        <v>0</v>
      </c>
      <c r="J343">
        <v>0</v>
      </c>
      <c r="K343">
        <v>0</v>
      </c>
      <c r="L343">
        <v>0</v>
      </c>
      <c r="M343">
        <v>0</v>
      </c>
      <c r="N343">
        <v>0</v>
      </c>
      <c r="O343">
        <v>0</v>
      </c>
      <c r="P343">
        <v>0</v>
      </c>
      <c r="Q343">
        <v>0</v>
      </c>
      <c r="R343">
        <v>0</v>
      </c>
      <c r="S343">
        <v>0</v>
      </c>
      <c r="T343">
        <v>0</v>
      </c>
      <c r="U343">
        <v>0</v>
      </c>
      <c r="V343">
        <v>0</v>
      </c>
      <c r="W343">
        <v>0</v>
      </c>
      <c r="X343">
        <v>0</v>
      </c>
      <c r="Y343">
        <v>0</v>
      </c>
      <c r="Z343">
        <v>0</v>
      </c>
      <c r="AA343">
        <v>0</v>
      </c>
      <c r="AB343">
        <v>0</v>
      </c>
    </row>
    <row r="344" spans="1:28">
      <c r="A344">
        <v>0</v>
      </c>
      <c r="B344">
        <v>0</v>
      </c>
      <c r="C344">
        <v>0</v>
      </c>
      <c r="D344">
        <v>0</v>
      </c>
      <c r="E344">
        <v>0</v>
      </c>
      <c r="F344">
        <v>0</v>
      </c>
      <c r="G344">
        <v>0</v>
      </c>
      <c r="H344">
        <v>0</v>
      </c>
      <c r="I344">
        <v>0</v>
      </c>
      <c r="J344">
        <v>0</v>
      </c>
      <c r="K344">
        <v>0</v>
      </c>
      <c r="L344">
        <v>0</v>
      </c>
      <c r="M344">
        <v>0</v>
      </c>
      <c r="N344">
        <v>0</v>
      </c>
      <c r="O344">
        <v>0</v>
      </c>
      <c r="P344">
        <v>0</v>
      </c>
      <c r="Q344">
        <v>0</v>
      </c>
      <c r="R344">
        <v>0</v>
      </c>
      <c r="S344">
        <v>0</v>
      </c>
      <c r="T344">
        <v>0</v>
      </c>
      <c r="U344">
        <v>0</v>
      </c>
      <c r="V344">
        <v>0</v>
      </c>
      <c r="W344">
        <v>0</v>
      </c>
      <c r="X344">
        <v>0</v>
      </c>
      <c r="Y344">
        <v>0</v>
      </c>
      <c r="Z344">
        <v>0</v>
      </c>
      <c r="AA344">
        <v>0</v>
      </c>
      <c r="AB344">
        <v>0</v>
      </c>
    </row>
    <row r="345" spans="1:28">
      <c r="A345">
        <v>0</v>
      </c>
      <c r="B345">
        <v>0</v>
      </c>
      <c r="C345">
        <v>0</v>
      </c>
      <c r="D345">
        <v>0</v>
      </c>
      <c r="E345">
        <v>0</v>
      </c>
      <c r="F345">
        <v>0</v>
      </c>
      <c r="G345">
        <v>0</v>
      </c>
      <c r="H345">
        <v>0</v>
      </c>
      <c r="I345">
        <v>0</v>
      </c>
      <c r="J345">
        <v>0</v>
      </c>
      <c r="K345">
        <v>0</v>
      </c>
      <c r="L345">
        <v>0</v>
      </c>
      <c r="M345">
        <v>0</v>
      </c>
      <c r="N345">
        <v>0</v>
      </c>
      <c r="O345">
        <v>0</v>
      </c>
      <c r="P345">
        <v>0</v>
      </c>
      <c r="Q345">
        <v>0</v>
      </c>
      <c r="R345">
        <v>0</v>
      </c>
      <c r="S345">
        <v>0</v>
      </c>
      <c r="T345">
        <v>0</v>
      </c>
      <c r="U345">
        <v>0</v>
      </c>
      <c r="V345">
        <v>0</v>
      </c>
      <c r="W345">
        <v>0</v>
      </c>
      <c r="X345">
        <v>0</v>
      </c>
      <c r="Y345">
        <v>0</v>
      </c>
      <c r="Z345">
        <v>0</v>
      </c>
      <c r="AA345">
        <v>0</v>
      </c>
      <c r="AB345">
        <v>0</v>
      </c>
    </row>
    <row r="346" spans="1:28">
      <c r="A346">
        <v>0</v>
      </c>
      <c r="B346">
        <v>0</v>
      </c>
      <c r="C346">
        <v>0</v>
      </c>
      <c r="D346">
        <v>0</v>
      </c>
      <c r="E346">
        <v>0</v>
      </c>
      <c r="F346">
        <v>0</v>
      </c>
      <c r="G346">
        <v>0</v>
      </c>
      <c r="H346">
        <v>0</v>
      </c>
      <c r="I346">
        <v>0</v>
      </c>
      <c r="J346">
        <v>0</v>
      </c>
      <c r="K346">
        <v>0</v>
      </c>
      <c r="L346">
        <v>0</v>
      </c>
      <c r="M346">
        <v>0</v>
      </c>
      <c r="N346">
        <v>0</v>
      </c>
      <c r="O346">
        <v>0</v>
      </c>
      <c r="P346">
        <v>0</v>
      </c>
      <c r="Q346">
        <v>0</v>
      </c>
      <c r="R346">
        <v>0</v>
      </c>
      <c r="S346">
        <v>0</v>
      </c>
      <c r="T346">
        <v>0</v>
      </c>
      <c r="U346">
        <v>0</v>
      </c>
      <c r="V346">
        <v>0</v>
      </c>
      <c r="W346">
        <v>0</v>
      </c>
      <c r="X346">
        <v>0</v>
      </c>
      <c r="Y346">
        <v>0</v>
      </c>
      <c r="Z346">
        <v>0</v>
      </c>
      <c r="AA346">
        <v>0</v>
      </c>
      <c r="AB346">
        <v>0</v>
      </c>
    </row>
    <row r="347" spans="1:28">
      <c r="A347">
        <v>0</v>
      </c>
      <c r="B347">
        <v>0</v>
      </c>
      <c r="C347">
        <v>0</v>
      </c>
      <c r="D347">
        <v>0</v>
      </c>
      <c r="E347">
        <v>0</v>
      </c>
      <c r="F347">
        <v>0</v>
      </c>
      <c r="G347">
        <v>0</v>
      </c>
      <c r="H347">
        <v>0</v>
      </c>
      <c r="I347">
        <v>0</v>
      </c>
      <c r="J347">
        <v>0</v>
      </c>
      <c r="K347">
        <v>0</v>
      </c>
      <c r="L347">
        <v>0</v>
      </c>
      <c r="M347">
        <v>0</v>
      </c>
      <c r="N347">
        <v>0</v>
      </c>
      <c r="O347">
        <v>0</v>
      </c>
      <c r="P347">
        <v>0</v>
      </c>
      <c r="Q347">
        <v>0</v>
      </c>
      <c r="R347">
        <v>0</v>
      </c>
      <c r="S347">
        <v>0</v>
      </c>
      <c r="T347">
        <v>0</v>
      </c>
      <c r="U347">
        <v>0</v>
      </c>
      <c r="V347">
        <v>0</v>
      </c>
      <c r="W347">
        <v>0</v>
      </c>
      <c r="X347">
        <v>0</v>
      </c>
      <c r="Y347">
        <v>0</v>
      </c>
      <c r="Z347">
        <v>0</v>
      </c>
      <c r="AA347">
        <v>0</v>
      </c>
      <c r="AB347">
        <v>0</v>
      </c>
    </row>
    <row r="348" spans="1:28">
      <c r="A348">
        <v>0</v>
      </c>
      <c r="B348">
        <v>0</v>
      </c>
      <c r="C348">
        <v>0</v>
      </c>
      <c r="D348">
        <v>0</v>
      </c>
      <c r="E348">
        <v>0</v>
      </c>
      <c r="F348">
        <v>0</v>
      </c>
      <c r="G348">
        <v>0</v>
      </c>
      <c r="H348">
        <v>0</v>
      </c>
      <c r="I348">
        <v>0</v>
      </c>
      <c r="J348">
        <v>0</v>
      </c>
      <c r="K348">
        <v>0</v>
      </c>
      <c r="L348">
        <v>0</v>
      </c>
      <c r="M348">
        <v>0</v>
      </c>
      <c r="N348">
        <v>0</v>
      </c>
      <c r="O348">
        <v>0</v>
      </c>
      <c r="P348">
        <v>0</v>
      </c>
      <c r="Q348">
        <v>0</v>
      </c>
      <c r="R348">
        <v>0</v>
      </c>
      <c r="S348">
        <v>0</v>
      </c>
      <c r="T348">
        <v>0</v>
      </c>
      <c r="U348">
        <v>0</v>
      </c>
      <c r="V348">
        <v>0</v>
      </c>
      <c r="W348">
        <v>0</v>
      </c>
      <c r="X348">
        <v>0</v>
      </c>
      <c r="Y348">
        <v>0</v>
      </c>
      <c r="Z348">
        <v>0</v>
      </c>
      <c r="AA348">
        <v>0</v>
      </c>
      <c r="AB348">
        <v>0</v>
      </c>
    </row>
    <row r="349" spans="1:28">
      <c r="A349">
        <v>0</v>
      </c>
      <c r="B349">
        <v>0</v>
      </c>
      <c r="C349">
        <v>0</v>
      </c>
      <c r="D349">
        <v>0</v>
      </c>
      <c r="E349">
        <v>0</v>
      </c>
      <c r="F349">
        <v>0</v>
      </c>
      <c r="G349">
        <v>0</v>
      </c>
      <c r="H349">
        <v>0</v>
      </c>
      <c r="I349">
        <v>0</v>
      </c>
      <c r="J349">
        <v>0</v>
      </c>
      <c r="K349">
        <v>0</v>
      </c>
      <c r="L349">
        <v>0</v>
      </c>
      <c r="M349">
        <v>0</v>
      </c>
      <c r="N349">
        <v>0</v>
      </c>
      <c r="O349">
        <v>0</v>
      </c>
      <c r="P349">
        <v>0</v>
      </c>
      <c r="Q349">
        <v>0</v>
      </c>
      <c r="R349">
        <v>0</v>
      </c>
      <c r="S349">
        <v>0</v>
      </c>
      <c r="T349">
        <v>0</v>
      </c>
      <c r="U349">
        <v>0</v>
      </c>
      <c r="V349">
        <v>0</v>
      </c>
      <c r="W349">
        <v>0</v>
      </c>
      <c r="X349">
        <v>0</v>
      </c>
      <c r="Y349">
        <v>0</v>
      </c>
      <c r="Z349">
        <v>0</v>
      </c>
      <c r="AA349">
        <v>0</v>
      </c>
      <c r="AB349">
        <v>0</v>
      </c>
    </row>
    <row r="350" spans="1:28">
      <c r="A350">
        <v>0</v>
      </c>
      <c r="B350">
        <v>0</v>
      </c>
      <c r="C350">
        <v>0</v>
      </c>
      <c r="D350">
        <v>0</v>
      </c>
      <c r="E350">
        <v>0</v>
      </c>
      <c r="F350">
        <v>0</v>
      </c>
      <c r="G350">
        <v>0</v>
      </c>
      <c r="H350">
        <v>0</v>
      </c>
      <c r="I350">
        <v>0</v>
      </c>
      <c r="J350">
        <v>0</v>
      </c>
      <c r="K350">
        <v>0</v>
      </c>
      <c r="L350">
        <v>0</v>
      </c>
      <c r="M350">
        <v>0</v>
      </c>
      <c r="N350">
        <v>0</v>
      </c>
      <c r="O350">
        <v>0</v>
      </c>
      <c r="P350">
        <v>0</v>
      </c>
      <c r="Q350">
        <v>0</v>
      </c>
      <c r="R350">
        <v>0</v>
      </c>
      <c r="S350">
        <v>0</v>
      </c>
      <c r="T350">
        <v>0</v>
      </c>
      <c r="U350">
        <v>0</v>
      </c>
      <c r="V350">
        <v>0</v>
      </c>
      <c r="W350">
        <v>0</v>
      </c>
      <c r="X350">
        <v>0</v>
      </c>
      <c r="Y350">
        <v>0</v>
      </c>
      <c r="Z350">
        <v>0</v>
      </c>
      <c r="AA350">
        <v>0</v>
      </c>
      <c r="AB350">
        <v>0</v>
      </c>
    </row>
    <row r="351" spans="1:28">
      <c r="A351">
        <v>0</v>
      </c>
      <c r="B351">
        <v>0</v>
      </c>
      <c r="C351">
        <v>0</v>
      </c>
      <c r="D351">
        <v>0</v>
      </c>
      <c r="E351">
        <v>0</v>
      </c>
      <c r="F351">
        <v>0</v>
      </c>
      <c r="G351">
        <v>0</v>
      </c>
      <c r="H351">
        <v>0</v>
      </c>
      <c r="I351">
        <v>0</v>
      </c>
      <c r="J351">
        <v>0</v>
      </c>
      <c r="K351">
        <v>0</v>
      </c>
      <c r="L351">
        <v>0</v>
      </c>
      <c r="M351">
        <v>0</v>
      </c>
      <c r="N351">
        <v>0</v>
      </c>
      <c r="O351">
        <v>0</v>
      </c>
      <c r="P351">
        <v>0</v>
      </c>
      <c r="Q351">
        <v>0</v>
      </c>
      <c r="R351">
        <v>0</v>
      </c>
      <c r="S351">
        <v>0</v>
      </c>
      <c r="T351">
        <v>0</v>
      </c>
      <c r="U351">
        <v>0</v>
      </c>
      <c r="V351">
        <v>0</v>
      </c>
      <c r="W351">
        <v>0</v>
      </c>
      <c r="X351">
        <v>0</v>
      </c>
      <c r="Y351">
        <v>0</v>
      </c>
      <c r="Z351">
        <v>0</v>
      </c>
      <c r="AA351">
        <v>0</v>
      </c>
      <c r="AB351">
        <v>0</v>
      </c>
    </row>
    <row r="352" spans="1:28">
      <c r="A352">
        <v>0</v>
      </c>
      <c r="B352">
        <v>0</v>
      </c>
      <c r="C352">
        <v>0</v>
      </c>
      <c r="D352">
        <v>0</v>
      </c>
      <c r="E352">
        <v>0</v>
      </c>
      <c r="F352">
        <v>0</v>
      </c>
      <c r="G352">
        <v>0</v>
      </c>
      <c r="H352">
        <v>0</v>
      </c>
      <c r="I352">
        <v>0</v>
      </c>
      <c r="J352">
        <v>0</v>
      </c>
      <c r="K352">
        <v>0</v>
      </c>
      <c r="L352">
        <v>0</v>
      </c>
      <c r="M352">
        <v>0</v>
      </c>
      <c r="N352">
        <v>0</v>
      </c>
      <c r="O352">
        <v>0</v>
      </c>
      <c r="P352">
        <v>0</v>
      </c>
      <c r="Q352">
        <v>0</v>
      </c>
      <c r="R352">
        <v>0</v>
      </c>
      <c r="S352">
        <v>0</v>
      </c>
      <c r="T352">
        <v>0</v>
      </c>
      <c r="U352">
        <v>0</v>
      </c>
      <c r="V352">
        <v>0</v>
      </c>
      <c r="W352">
        <v>0</v>
      </c>
      <c r="X352">
        <v>0</v>
      </c>
      <c r="Y352">
        <v>0</v>
      </c>
      <c r="Z352">
        <v>0</v>
      </c>
      <c r="AA352">
        <v>0</v>
      </c>
      <c r="AB352">
        <v>0</v>
      </c>
    </row>
    <row r="353" spans="1:28">
      <c r="A353">
        <v>0</v>
      </c>
      <c r="B353">
        <v>0</v>
      </c>
      <c r="C353">
        <v>0</v>
      </c>
      <c r="D353">
        <v>0</v>
      </c>
      <c r="E353">
        <v>0</v>
      </c>
      <c r="F353">
        <v>0</v>
      </c>
      <c r="G353">
        <v>0</v>
      </c>
      <c r="H353">
        <v>0</v>
      </c>
      <c r="I353">
        <v>0</v>
      </c>
      <c r="J353">
        <v>0</v>
      </c>
      <c r="K353">
        <v>0</v>
      </c>
      <c r="L353">
        <v>0</v>
      </c>
      <c r="M353">
        <v>0</v>
      </c>
      <c r="N353">
        <v>0</v>
      </c>
      <c r="O353">
        <v>0</v>
      </c>
      <c r="P353">
        <v>0</v>
      </c>
      <c r="Q353">
        <v>0</v>
      </c>
      <c r="R353">
        <v>0</v>
      </c>
      <c r="S353">
        <v>0</v>
      </c>
      <c r="T353">
        <v>0</v>
      </c>
      <c r="U353">
        <v>0</v>
      </c>
      <c r="V353">
        <v>0</v>
      </c>
      <c r="W353">
        <v>0</v>
      </c>
      <c r="X353">
        <v>0</v>
      </c>
      <c r="Y353">
        <v>0</v>
      </c>
      <c r="Z353">
        <v>0</v>
      </c>
      <c r="AA353">
        <v>0</v>
      </c>
      <c r="AB353">
        <v>0</v>
      </c>
    </row>
    <row r="354" spans="1:28">
      <c r="A354">
        <v>0</v>
      </c>
      <c r="B354">
        <v>0</v>
      </c>
      <c r="C354">
        <v>0</v>
      </c>
      <c r="D354">
        <v>0</v>
      </c>
      <c r="E354">
        <v>0</v>
      </c>
      <c r="F354">
        <v>0</v>
      </c>
      <c r="G354">
        <v>0</v>
      </c>
      <c r="H354">
        <v>0</v>
      </c>
      <c r="I354">
        <v>0</v>
      </c>
      <c r="J354">
        <v>0</v>
      </c>
      <c r="K354">
        <v>0</v>
      </c>
      <c r="L354">
        <v>0</v>
      </c>
      <c r="M354">
        <v>0</v>
      </c>
      <c r="N354">
        <v>0</v>
      </c>
      <c r="O354">
        <v>0</v>
      </c>
      <c r="P354">
        <v>0</v>
      </c>
      <c r="Q354">
        <v>0</v>
      </c>
      <c r="R354">
        <v>0</v>
      </c>
      <c r="S354">
        <v>0</v>
      </c>
      <c r="T354">
        <v>0</v>
      </c>
      <c r="U354">
        <v>0</v>
      </c>
      <c r="V354">
        <v>0</v>
      </c>
      <c r="W354">
        <v>0</v>
      </c>
      <c r="X354">
        <v>0</v>
      </c>
      <c r="Y354">
        <v>0</v>
      </c>
      <c r="Z354">
        <v>0</v>
      </c>
      <c r="AA354">
        <v>0</v>
      </c>
      <c r="AB354">
        <v>0</v>
      </c>
    </row>
    <row r="355" spans="1:28">
      <c r="A355">
        <v>0</v>
      </c>
      <c r="B355">
        <v>0</v>
      </c>
      <c r="C355">
        <v>0</v>
      </c>
      <c r="D355">
        <v>0</v>
      </c>
      <c r="E355">
        <v>0</v>
      </c>
      <c r="F355">
        <v>0</v>
      </c>
      <c r="G355">
        <v>0</v>
      </c>
      <c r="H355">
        <v>0</v>
      </c>
      <c r="I355">
        <v>0</v>
      </c>
      <c r="J355">
        <v>0</v>
      </c>
      <c r="K355">
        <v>0</v>
      </c>
      <c r="L355">
        <v>0</v>
      </c>
      <c r="M355">
        <v>0</v>
      </c>
      <c r="N355">
        <v>0</v>
      </c>
      <c r="O355">
        <v>0</v>
      </c>
      <c r="P355">
        <v>0</v>
      </c>
      <c r="Q355">
        <v>0</v>
      </c>
      <c r="R355">
        <v>0</v>
      </c>
      <c r="S355">
        <v>0</v>
      </c>
      <c r="T355">
        <v>0</v>
      </c>
      <c r="U355">
        <v>0</v>
      </c>
      <c r="V355">
        <v>0</v>
      </c>
      <c r="W355">
        <v>0</v>
      </c>
      <c r="X355">
        <v>0</v>
      </c>
      <c r="Y355">
        <v>0</v>
      </c>
      <c r="Z355">
        <v>0</v>
      </c>
      <c r="AA355">
        <v>0</v>
      </c>
      <c r="AB355">
        <v>0</v>
      </c>
    </row>
    <row r="356" spans="1:28">
      <c r="A356">
        <v>0</v>
      </c>
      <c r="B356">
        <v>0</v>
      </c>
      <c r="C356">
        <v>0</v>
      </c>
      <c r="D356">
        <v>0</v>
      </c>
      <c r="E356">
        <v>0</v>
      </c>
      <c r="F356">
        <v>0</v>
      </c>
      <c r="G356">
        <v>0</v>
      </c>
      <c r="H356">
        <v>0</v>
      </c>
      <c r="I356">
        <v>0</v>
      </c>
      <c r="J356">
        <v>0</v>
      </c>
      <c r="K356">
        <v>0</v>
      </c>
      <c r="L356">
        <v>0</v>
      </c>
      <c r="M356">
        <v>0</v>
      </c>
      <c r="N356">
        <v>0</v>
      </c>
      <c r="O356">
        <v>0</v>
      </c>
      <c r="P356">
        <v>0</v>
      </c>
      <c r="Q356">
        <v>0</v>
      </c>
      <c r="R356">
        <v>0</v>
      </c>
      <c r="S356">
        <v>0</v>
      </c>
      <c r="T356">
        <v>0</v>
      </c>
      <c r="U356">
        <v>0</v>
      </c>
      <c r="V356">
        <v>0</v>
      </c>
      <c r="W356">
        <v>0</v>
      </c>
      <c r="X356">
        <v>0</v>
      </c>
      <c r="Y356">
        <v>0</v>
      </c>
      <c r="Z356">
        <v>0</v>
      </c>
      <c r="AA356">
        <v>0</v>
      </c>
      <c r="AB356">
        <v>0</v>
      </c>
    </row>
    <row r="357" spans="1:28">
      <c r="A357">
        <v>0</v>
      </c>
      <c r="B357">
        <v>0</v>
      </c>
      <c r="C357">
        <v>0</v>
      </c>
      <c r="D357">
        <v>0</v>
      </c>
      <c r="E357">
        <v>0</v>
      </c>
      <c r="F357">
        <v>0</v>
      </c>
      <c r="G357">
        <v>0</v>
      </c>
      <c r="H357">
        <v>0</v>
      </c>
      <c r="I357">
        <v>0</v>
      </c>
      <c r="J357">
        <v>0</v>
      </c>
      <c r="K357">
        <v>0</v>
      </c>
      <c r="L357">
        <v>0</v>
      </c>
      <c r="M357">
        <v>0</v>
      </c>
      <c r="N357">
        <v>0</v>
      </c>
      <c r="O357">
        <v>0</v>
      </c>
      <c r="P357">
        <v>0</v>
      </c>
      <c r="Q357">
        <v>0</v>
      </c>
      <c r="R357">
        <v>0</v>
      </c>
      <c r="S357">
        <v>0</v>
      </c>
      <c r="T357">
        <v>0</v>
      </c>
      <c r="U357">
        <v>0</v>
      </c>
      <c r="V357">
        <v>0</v>
      </c>
      <c r="W357">
        <v>0</v>
      </c>
      <c r="X357">
        <v>0</v>
      </c>
      <c r="Y357">
        <v>0</v>
      </c>
      <c r="Z357">
        <v>0</v>
      </c>
      <c r="AA357">
        <v>0</v>
      </c>
      <c r="AB357">
        <v>0</v>
      </c>
    </row>
    <row r="358" spans="1:28">
      <c r="A358">
        <v>0</v>
      </c>
      <c r="B358">
        <v>0</v>
      </c>
      <c r="C358">
        <v>0</v>
      </c>
      <c r="D358">
        <v>0</v>
      </c>
      <c r="E358">
        <v>0</v>
      </c>
      <c r="F358">
        <v>0</v>
      </c>
      <c r="G358">
        <v>0</v>
      </c>
      <c r="H358">
        <v>0</v>
      </c>
      <c r="I358">
        <v>0</v>
      </c>
      <c r="J358">
        <v>0</v>
      </c>
      <c r="K358">
        <v>0</v>
      </c>
      <c r="L358">
        <v>0</v>
      </c>
      <c r="M358">
        <v>0</v>
      </c>
      <c r="N358">
        <v>0</v>
      </c>
      <c r="O358">
        <v>0</v>
      </c>
      <c r="P358">
        <v>0</v>
      </c>
      <c r="Q358">
        <v>0</v>
      </c>
      <c r="R358">
        <v>0</v>
      </c>
      <c r="S358">
        <v>0</v>
      </c>
      <c r="T358">
        <v>0</v>
      </c>
      <c r="U358">
        <v>0</v>
      </c>
      <c r="V358">
        <v>0</v>
      </c>
      <c r="W358">
        <v>0</v>
      </c>
      <c r="X358">
        <v>0</v>
      </c>
      <c r="Y358">
        <v>0</v>
      </c>
      <c r="Z358">
        <v>0</v>
      </c>
      <c r="AA358">
        <v>0</v>
      </c>
      <c r="AB358">
        <v>0</v>
      </c>
    </row>
    <row r="359" spans="1:28">
      <c r="A359">
        <v>0</v>
      </c>
      <c r="B359">
        <v>0</v>
      </c>
      <c r="C359">
        <v>0</v>
      </c>
      <c r="D359">
        <v>0</v>
      </c>
      <c r="E359">
        <v>0</v>
      </c>
      <c r="F359">
        <v>0</v>
      </c>
      <c r="G359">
        <v>0</v>
      </c>
      <c r="H359">
        <v>0</v>
      </c>
      <c r="I359">
        <v>0</v>
      </c>
      <c r="J359">
        <v>0</v>
      </c>
      <c r="K359">
        <v>0</v>
      </c>
      <c r="L359">
        <v>0</v>
      </c>
      <c r="M359">
        <v>0</v>
      </c>
      <c r="N359">
        <v>0</v>
      </c>
      <c r="O359">
        <v>0</v>
      </c>
      <c r="P359">
        <v>0</v>
      </c>
      <c r="Q359">
        <v>0</v>
      </c>
      <c r="R359">
        <v>0</v>
      </c>
      <c r="S359">
        <v>0</v>
      </c>
      <c r="T359">
        <v>0</v>
      </c>
      <c r="U359">
        <v>0</v>
      </c>
      <c r="V359">
        <v>0</v>
      </c>
      <c r="W359">
        <v>0</v>
      </c>
      <c r="X359">
        <v>0</v>
      </c>
      <c r="Y359">
        <v>0</v>
      </c>
      <c r="Z359">
        <v>0</v>
      </c>
      <c r="AA359">
        <v>0</v>
      </c>
      <c r="AB359">
        <v>0</v>
      </c>
    </row>
    <row r="360" spans="1:28">
      <c r="A360">
        <v>0</v>
      </c>
      <c r="B360">
        <v>0</v>
      </c>
      <c r="C360">
        <v>0</v>
      </c>
      <c r="D360">
        <v>0</v>
      </c>
      <c r="E360">
        <v>0</v>
      </c>
      <c r="F360">
        <v>0</v>
      </c>
      <c r="G360">
        <v>0</v>
      </c>
      <c r="H360">
        <v>0</v>
      </c>
      <c r="I360">
        <v>0</v>
      </c>
      <c r="J360">
        <v>0</v>
      </c>
      <c r="K360">
        <v>0</v>
      </c>
      <c r="L360">
        <v>0</v>
      </c>
      <c r="M360">
        <v>0</v>
      </c>
      <c r="N360">
        <v>0</v>
      </c>
      <c r="O360">
        <v>0</v>
      </c>
      <c r="P360">
        <v>0</v>
      </c>
      <c r="Q360">
        <v>0</v>
      </c>
      <c r="R360">
        <v>0</v>
      </c>
      <c r="S360">
        <v>0</v>
      </c>
      <c r="T360">
        <v>0</v>
      </c>
      <c r="U360">
        <v>0</v>
      </c>
      <c r="V360">
        <v>0</v>
      </c>
      <c r="W360">
        <v>0</v>
      </c>
      <c r="X360">
        <v>0</v>
      </c>
      <c r="Y360">
        <v>0</v>
      </c>
      <c r="Z360">
        <v>0</v>
      </c>
      <c r="AA360">
        <v>0</v>
      </c>
      <c r="AB360">
        <v>0</v>
      </c>
    </row>
    <row r="361" spans="1:28">
      <c r="A361">
        <v>0</v>
      </c>
      <c r="B361">
        <v>0</v>
      </c>
      <c r="C361">
        <v>0</v>
      </c>
      <c r="D361">
        <v>0</v>
      </c>
      <c r="E361">
        <v>0</v>
      </c>
      <c r="F361">
        <v>0</v>
      </c>
      <c r="G361">
        <v>0</v>
      </c>
      <c r="H361">
        <v>0</v>
      </c>
      <c r="I361">
        <v>0</v>
      </c>
      <c r="J361">
        <v>0</v>
      </c>
      <c r="K361">
        <v>0</v>
      </c>
      <c r="L361">
        <v>0</v>
      </c>
      <c r="M361">
        <v>0</v>
      </c>
      <c r="N361">
        <v>0</v>
      </c>
      <c r="O361">
        <v>0</v>
      </c>
      <c r="P361">
        <v>0</v>
      </c>
      <c r="Q361">
        <v>0</v>
      </c>
      <c r="R361">
        <v>0</v>
      </c>
      <c r="S361">
        <v>0</v>
      </c>
      <c r="T361">
        <v>0</v>
      </c>
      <c r="U361">
        <v>0</v>
      </c>
      <c r="V361">
        <v>0</v>
      </c>
      <c r="W361">
        <v>0</v>
      </c>
      <c r="X361">
        <v>0</v>
      </c>
      <c r="Y361">
        <v>0</v>
      </c>
      <c r="Z361">
        <v>0</v>
      </c>
      <c r="AA361">
        <v>0</v>
      </c>
      <c r="AB361">
        <v>0</v>
      </c>
    </row>
    <row r="362" spans="1:28">
      <c r="A362">
        <v>0</v>
      </c>
      <c r="B362">
        <v>0</v>
      </c>
      <c r="C362">
        <v>0</v>
      </c>
      <c r="D362">
        <v>0</v>
      </c>
      <c r="E362">
        <v>0</v>
      </c>
      <c r="F362">
        <v>0</v>
      </c>
      <c r="G362">
        <v>0</v>
      </c>
      <c r="H362">
        <v>0</v>
      </c>
      <c r="I362">
        <v>0</v>
      </c>
      <c r="J362">
        <v>0</v>
      </c>
      <c r="K362">
        <v>0</v>
      </c>
      <c r="L362">
        <v>0</v>
      </c>
      <c r="M362">
        <v>0</v>
      </c>
      <c r="N362">
        <v>0</v>
      </c>
      <c r="O362">
        <v>0</v>
      </c>
      <c r="P362">
        <v>0</v>
      </c>
      <c r="Q362">
        <v>0</v>
      </c>
      <c r="R362">
        <v>0</v>
      </c>
      <c r="S362">
        <v>0</v>
      </c>
      <c r="T362">
        <v>0</v>
      </c>
      <c r="U362">
        <v>0</v>
      </c>
      <c r="V362">
        <v>0</v>
      </c>
      <c r="W362">
        <v>0</v>
      </c>
      <c r="X362">
        <v>0</v>
      </c>
      <c r="Y362">
        <v>0</v>
      </c>
      <c r="Z362">
        <v>0</v>
      </c>
      <c r="AA362">
        <v>0</v>
      </c>
      <c r="AB362">
        <v>0</v>
      </c>
    </row>
    <row r="363" spans="1:28">
      <c r="A363">
        <v>0</v>
      </c>
      <c r="B363">
        <v>0</v>
      </c>
      <c r="C363">
        <v>0</v>
      </c>
      <c r="D363">
        <v>0</v>
      </c>
      <c r="E363">
        <v>0</v>
      </c>
      <c r="F363">
        <v>0</v>
      </c>
      <c r="G363">
        <v>0</v>
      </c>
      <c r="H363">
        <v>0</v>
      </c>
      <c r="I363">
        <v>0</v>
      </c>
      <c r="J363">
        <v>0</v>
      </c>
      <c r="K363">
        <v>0</v>
      </c>
      <c r="L363">
        <v>0</v>
      </c>
      <c r="M363">
        <v>0</v>
      </c>
      <c r="N363">
        <v>0</v>
      </c>
      <c r="O363">
        <v>0</v>
      </c>
      <c r="P363">
        <v>0</v>
      </c>
      <c r="Q363">
        <v>0</v>
      </c>
      <c r="R363">
        <v>0</v>
      </c>
      <c r="S363">
        <v>0</v>
      </c>
      <c r="T363">
        <v>0</v>
      </c>
      <c r="U363">
        <v>0</v>
      </c>
      <c r="V363">
        <v>0</v>
      </c>
      <c r="W363">
        <v>0</v>
      </c>
      <c r="X363">
        <v>0</v>
      </c>
      <c r="Y363">
        <v>0</v>
      </c>
      <c r="Z363">
        <v>0</v>
      </c>
      <c r="AA363">
        <v>0</v>
      </c>
      <c r="AB363">
        <v>0</v>
      </c>
    </row>
    <row r="364" spans="1:28">
      <c r="A364">
        <v>0</v>
      </c>
      <c r="B364">
        <v>0</v>
      </c>
      <c r="C364">
        <v>0</v>
      </c>
      <c r="D364">
        <v>0</v>
      </c>
      <c r="E364">
        <v>0</v>
      </c>
      <c r="F364">
        <v>0</v>
      </c>
      <c r="G364">
        <v>0</v>
      </c>
      <c r="H364">
        <v>0</v>
      </c>
      <c r="I364">
        <v>0</v>
      </c>
      <c r="J364">
        <v>0</v>
      </c>
      <c r="K364">
        <v>0</v>
      </c>
      <c r="L364">
        <v>0</v>
      </c>
      <c r="M364">
        <v>0</v>
      </c>
      <c r="N364">
        <v>0</v>
      </c>
      <c r="O364">
        <v>0</v>
      </c>
      <c r="P364">
        <v>0</v>
      </c>
      <c r="Q364">
        <v>0</v>
      </c>
      <c r="R364">
        <v>0</v>
      </c>
      <c r="S364">
        <v>0</v>
      </c>
      <c r="T364">
        <v>0</v>
      </c>
      <c r="U364">
        <v>0</v>
      </c>
      <c r="V364">
        <v>0</v>
      </c>
      <c r="W364">
        <v>0</v>
      </c>
      <c r="X364">
        <v>0</v>
      </c>
      <c r="Y364">
        <v>0</v>
      </c>
      <c r="Z364">
        <v>0</v>
      </c>
      <c r="AA364">
        <v>0</v>
      </c>
      <c r="AB364">
        <v>0</v>
      </c>
    </row>
    <row r="365" spans="1:28">
      <c r="A365">
        <v>0</v>
      </c>
      <c r="B365">
        <v>0</v>
      </c>
      <c r="C365">
        <v>0</v>
      </c>
      <c r="D365">
        <v>0</v>
      </c>
      <c r="E365">
        <v>0</v>
      </c>
      <c r="F365">
        <v>0</v>
      </c>
      <c r="G365">
        <v>0</v>
      </c>
      <c r="H365">
        <v>0</v>
      </c>
      <c r="I365">
        <v>0</v>
      </c>
      <c r="J365">
        <v>0</v>
      </c>
      <c r="K365">
        <v>0</v>
      </c>
      <c r="L365">
        <v>0</v>
      </c>
      <c r="M365">
        <v>0</v>
      </c>
      <c r="N365">
        <v>0</v>
      </c>
      <c r="O365">
        <v>0</v>
      </c>
      <c r="P365">
        <v>0</v>
      </c>
      <c r="Q365">
        <v>0</v>
      </c>
      <c r="R365">
        <v>0</v>
      </c>
      <c r="S365">
        <v>0</v>
      </c>
      <c r="T365">
        <v>0</v>
      </c>
      <c r="U365">
        <v>0</v>
      </c>
      <c r="V365">
        <v>0</v>
      </c>
      <c r="W365">
        <v>0</v>
      </c>
      <c r="X365">
        <v>0</v>
      </c>
      <c r="Y365">
        <v>0</v>
      </c>
      <c r="Z365">
        <v>0</v>
      </c>
      <c r="AA365">
        <v>0</v>
      </c>
      <c r="AB365">
        <v>0</v>
      </c>
    </row>
    <row r="366" spans="1:28">
      <c r="A366">
        <v>0</v>
      </c>
      <c r="B366">
        <v>0</v>
      </c>
      <c r="C366">
        <v>0</v>
      </c>
      <c r="D366">
        <v>0</v>
      </c>
      <c r="E366">
        <v>0</v>
      </c>
      <c r="F366">
        <v>0</v>
      </c>
      <c r="G366">
        <v>0</v>
      </c>
      <c r="H366">
        <v>0</v>
      </c>
      <c r="I366">
        <v>0</v>
      </c>
      <c r="J366">
        <v>0</v>
      </c>
      <c r="K366">
        <v>0</v>
      </c>
      <c r="L366">
        <v>0</v>
      </c>
      <c r="M366">
        <v>0</v>
      </c>
      <c r="N366">
        <v>0</v>
      </c>
      <c r="O366">
        <v>0</v>
      </c>
      <c r="P366">
        <v>0</v>
      </c>
      <c r="Q366">
        <v>0</v>
      </c>
      <c r="R366">
        <v>0</v>
      </c>
      <c r="S366">
        <v>0</v>
      </c>
      <c r="T366">
        <v>0</v>
      </c>
      <c r="U366">
        <v>0</v>
      </c>
      <c r="V366">
        <v>0</v>
      </c>
      <c r="W366">
        <v>0</v>
      </c>
      <c r="X366">
        <v>0</v>
      </c>
      <c r="Y366">
        <v>0</v>
      </c>
      <c r="Z366">
        <v>0</v>
      </c>
      <c r="AA366">
        <v>0</v>
      </c>
      <c r="AB366">
        <v>0</v>
      </c>
    </row>
    <row r="367" spans="1:28">
      <c r="A367">
        <v>0</v>
      </c>
      <c r="B367">
        <v>0</v>
      </c>
      <c r="C367">
        <v>0</v>
      </c>
      <c r="D367">
        <v>0</v>
      </c>
      <c r="E367">
        <v>0</v>
      </c>
      <c r="F367">
        <v>0</v>
      </c>
      <c r="G367">
        <v>0</v>
      </c>
      <c r="H367">
        <v>0</v>
      </c>
      <c r="I367">
        <v>0</v>
      </c>
      <c r="J367">
        <v>0</v>
      </c>
      <c r="K367">
        <v>0</v>
      </c>
      <c r="L367">
        <v>0</v>
      </c>
      <c r="M367">
        <v>0</v>
      </c>
      <c r="N367">
        <v>0</v>
      </c>
      <c r="O367">
        <v>0</v>
      </c>
      <c r="P367">
        <v>0</v>
      </c>
      <c r="Q367">
        <v>0</v>
      </c>
      <c r="R367">
        <v>0</v>
      </c>
      <c r="S367">
        <v>0</v>
      </c>
      <c r="T367">
        <v>0</v>
      </c>
      <c r="U367">
        <v>0</v>
      </c>
      <c r="V367">
        <v>0</v>
      </c>
      <c r="W367">
        <v>0</v>
      </c>
      <c r="X367">
        <v>0</v>
      </c>
      <c r="Y367">
        <v>0</v>
      </c>
      <c r="Z367">
        <v>0</v>
      </c>
      <c r="AA367">
        <v>0</v>
      </c>
      <c r="AB367">
        <v>0</v>
      </c>
    </row>
    <row r="368" spans="1:28">
      <c r="A368">
        <v>0</v>
      </c>
      <c r="B368">
        <v>0</v>
      </c>
      <c r="C368">
        <v>0</v>
      </c>
      <c r="D368">
        <v>0</v>
      </c>
      <c r="E368">
        <v>0</v>
      </c>
      <c r="F368">
        <v>0</v>
      </c>
      <c r="G368">
        <v>0</v>
      </c>
      <c r="H368">
        <v>0</v>
      </c>
      <c r="I368">
        <v>0</v>
      </c>
      <c r="J368">
        <v>0</v>
      </c>
      <c r="K368">
        <v>0</v>
      </c>
      <c r="L368">
        <v>0</v>
      </c>
      <c r="M368">
        <v>0</v>
      </c>
      <c r="N368">
        <v>0</v>
      </c>
      <c r="O368">
        <v>0</v>
      </c>
      <c r="P368">
        <v>0</v>
      </c>
      <c r="Q368">
        <v>0</v>
      </c>
      <c r="R368">
        <v>0</v>
      </c>
      <c r="S368">
        <v>0</v>
      </c>
      <c r="T368">
        <v>0</v>
      </c>
      <c r="U368">
        <v>0</v>
      </c>
      <c r="V368">
        <v>0</v>
      </c>
      <c r="W368">
        <v>0</v>
      </c>
      <c r="X368">
        <v>0</v>
      </c>
      <c r="Y368">
        <v>0</v>
      </c>
      <c r="Z368">
        <v>0</v>
      </c>
      <c r="AA368">
        <v>0</v>
      </c>
      <c r="AB368">
        <v>0</v>
      </c>
    </row>
    <row r="369" spans="1:28">
      <c r="A369">
        <v>0</v>
      </c>
      <c r="B369">
        <v>0</v>
      </c>
      <c r="C369">
        <v>0</v>
      </c>
      <c r="D369">
        <v>0</v>
      </c>
      <c r="E369">
        <v>0</v>
      </c>
      <c r="F369">
        <v>0</v>
      </c>
      <c r="G369">
        <v>0</v>
      </c>
      <c r="H369">
        <v>0</v>
      </c>
      <c r="I369">
        <v>0</v>
      </c>
      <c r="J369">
        <v>0</v>
      </c>
      <c r="K369">
        <v>0</v>
      </c>
      <c r="L369">
        <v>0</v>
      </c>
      <c r="M369">
        <v>0</v>
      </c>
      <c r="N369">
        <v>0</v>
      </c>
      <c r="O369">
        <v>0</v>
      </c>
      <c r="P369">
        <v>0</v>
      </c>
      <c r="Q369">
        <v>0</v>
      </c>
      <c r="R369">
        <v>0</v>
      </c>
      <c r="S369">
        <v>0</v>
      </c>
      <c r="T369">
        <v>0</v>
      </c>
      <c r="U369">
        <v>0</v>
      </c>
      <c r="V369">
        <v>0</v>
      </c>
      <c r="W369">
        <v>0</v>
      </c>
      <c r="X369">
        <v>0</v>
      </c>
      <c r="Y369">
        <v>0</v>
      </c>
      <c r="Z369">
        <v>0</v>
      </c>
      <c r="AA369">
        <v>0</v>
      </c>
      <c r="AB369">
        <v>0</v>
      </c>
    </row>
    <row r="370" spans="1:28">
      <c r="A370">
        <v>0</v>
      </c>
      <c r="B370">
        <v>0</v>
      </c>
      <c r="C370">
        <v>0</v>
      </c>
      <c r="D370">
        <v>0</v>
      </c>
      <c r="E370">
        <v>0</v>
      </c>
      <c r="F370">
        <v>0</v>
      </c>
      <c r="G370">
        <v>0</v>
      </c>
      <c r="H370">
        <v>0</v>
      </c>
      <c r="I370">
        <v>0</v>
      </c>
      <c r="J370">
        <v>0</v>
      </c>
      <c r="K370">
        <v>0</v>
      </c>
      <c r="L370">
        <v>0</v>
      </c>
      <c r="M370">
        <v>0</v>
      </c>
      <c r="N370">
        <v>0</v>
      </c>
      <c r="O370">
        <v>0</v>
      </c>
      <c r="P370">
        <v>0</v>
      </c>
      <c r="Q370">
        <v>0</v>
      </c>
      <c r="R370">
        <v>0</v>
      </c>
      <c r="S370">
        <v>0</v>
      </c>
      <c r="T370">
        <v>0</v>
      </c>
      <c r="U370">
        <v>0</v>
      </c>
      <c r="V370">
        <v>0</v>
      </c>
      <c r="W370">
        <v>0</v>
      </c>
      <c r="X370">
        <v>0</v>
      </c>
      <c r="Y370">
        <v>0</v>
      </c>
      <c r="Z370">
        <v>0</v>
      </c>
      <c r="AA370">
        <v>0</v>
      </c>
      <c r="AB370">
        <v>0</v>
      </c>
    </row>
    <row r="371" spans="1:28">
      <c r="A371">
        <v>0</v>
      </c>
      <c r="B371">
        <v>0</v>
      </c>
      <c r="C371">
        <v>0</v>
      </c>
      <c r="D371">
        <v>0</v>
      </c>
      <c r="E371">
        <v>0</v>
      </c>
      <c r="F371">
        <v>0</v>
      </c>
      <c r="G371">
        <v>0</v>
      </c>
      <c r="H371">
        <v>0</v>
      </c>
      <c r="I371">
        <v>0</v>
      </c>
      <c r="J371">
        <v>0</v>
      </c>
      <c r="K371">
        <v>0</v>
      </c>
      <c r="L371">
        <v>0</v>
      </c>
      <c r="M371">
        <v>0</v>
      </c>
      <c r="N371">
        <v>0</v>
      </c>
      <c r="O371">
        <v>0</v>
      </c>
      <c r="P371">
        <v>0</v>
      </c>
      <c r="Q371">
        <v>0</v>
      </c>
      <c r="R371">
        <v>0</v>
      </c>
      <c r="S371">
        <v>0</v>
      </c>
      <c r="T371">
        <v>0</v>
      </c>
      <c r="U371">
        <v>0</v>
      </c>
      <c r="V371">
        <v>0</v>
      </c>
      <c r="W371">
        <v>0</v>
      </c>
      <c r="X371">
        <v>0</v>
      </c>
      <c r="Y371">
        <v>0</v>
      </c>
      <c r="Z371">
        <v>0</v>
      </c>
      <c r="AA371">
        <v>0</v>
      </c>
      <c r="AB371">
        <v>0</v>
      </c>
    </row>
    <row r="372" spans="1:28">
      <c r="A372">
        <v>0</v>
      </c>
      <c r="B372">
        <v>0</v>
      </c>
      <c r="C372">
        <v>0</v>
      </c>
      <c r="D372">
        <v>0</v>
      </c>
      <c r="E372">
        <v>0</v>
      </c>
      <c r="F372">
        <v>0</v>
      </c>
      <c r="G372">
        <v>0</v>
      </c>
      <c r="H372">
        <v>0</v>
      </c>
      <c r="I372">
        <v>0</v>
      </c>
      <c r="J372">
        <v>0</v>
      </c>
      <c r="K372">
        <v>0</v>
      </c>
      <c r="L372">
        <v>0</v>
      </c>
      <c r="M372">
        <v>0</v>
      </c>
      <c r="N372">
        <v>0</v>
      </c>
      <c r="O372">
        <v>0</v>
      </c>
      <c r="P372">
        <v>0</v>
      </c>
      <c r="Q372">
        <v>0</v>
      </c>
      <c r="R372">
        <v>0</v>
      </c>
      <c r="S372">
        <v>0</v>
      </c>
      <c r="T372">
        <v>0</v>
      </c>
      <c r="U372">
        <v>0</v>
      </c>
      <c r="V372">
        <v>0</v>
      </c>
      <c r="W372">
        <v>0</v>
      </c>
      <c r="X372">
        <v>0</v>
      </c>
      <c r="Y372">
        <v>0</v>
      </c>
      <c r="Z372">
        <v>0</v>
      </c>
      <c r="AA372">
        <v>0</v>
      </c>
      <c r="AB372">
        <v>0</v>
      </c>
    </row>
    <row r="373" spans="1:28">
      <c r="A373">
        <v>0</v>
      </c>
      <c r="B373">
        <v>0</v>
      </c>
      <c r="C373">
        <v>0</v>
      </c>
      <c r="D373">
        <v>0</v>
      </c>
      <c r="E373">
        <v>0</v>
      </c>
      <c r="F373">
        <v>0</v>
      </c>
      <c r="G373">
        <v>0</v>
      </c>
      <c r="H373">
        <v>0</v>
      </c>
      <c r="I373">
        <v>0</v>
      </c>
      <c r="J373">
        <v>0</v>
      </c>
      <c r="K373">
        <v>0</v>
      </c>
      <c r="L373">
        <v>0</v>
      </c>
      <c r="M373">
        <v>0</v>
      </c>
      <c r="N373">
        <v>0</v>
      </c>
      <c r="O373">
        <v>0</v>
      </c>
      <c r="P373">
        <v>0</v>
      </c>
      <c r="Q373">
        <v>0</v>
      </c>
      <c r="R373">
        <v>0</v>
      </c>
      <c r="S373">
        <v>0</v>
      </c>
      <c r="T373">
        <v>0</v>
      </c>
      <c r="U373">
        <v>0</v>
      </c>
      <c r="V373">
        <v>0</v>
      </c>
      <c r="W373">
        <v>0</v>
      </c>
      <c r="X373">
        <v>0</v>
      </c>
      <c r="Y373">
        <v>0</v>
      </c>
      <c r="Z373">
        <v>0</v>
      </c>
      <c r="AA373">
        <v>0</v>
      </c>
      <c r="AB373">
        <v>0</v>
      </c>
    </row>
    <row r="374" spans="1:28">
      <c r="A374">
        <v>0</v>
      </c>
      <c r="B374">
        <v>0</v>
      </c>
      <c r="C374">
        <v>0</v>
      </c>
      <c r="D374">
        <v>0</v>
      </c>
      <c r="E374">
        <v>0</v>
      </c>
      <c r="F374">
        <v>0</v>
      </c>
      <c r="G374">
        <v>0</v>
      </c>
      <c r="H374">
        <v>0</v>
      </c>
      <c r="I374">
        <v>0</v>
      </c>
      <c r="J374">
        <v>0</v>
      </c>
      <c r="K374">
        <v>0</v>
      </c>
      <c r="L374">
        <v>0</v>
      </c>
      <c r="M374">
        <v>0</v>
      </c>
      <c r="N374">
        <v>0</v>
      </c>
      <c r="O374">
        <v>0</v>
      </c>
      <c r="P374">
        <v>0</v>
      </c>
      <c r="Q374">
        <v>0</v>
      </c>
      <c r="R374">
        <v>0</v>
      </c>
      <c r="S374">
        <v>0</v>
      </c>
      <c r="T374">
        <v>0</v>
      </c>
      <c r="U374">
        <v>0</v>
      </c>
      <c r="V374">
        <v>0</v>
      </c>
      <c r="W374">
        <v>0</v>
      </c>
      <c r="X374">
        <v>0</v>
      </c>
      <c r="Y374">
        <v>0</v>
      </c>
      <c r="Z374">
        <v>0</v>
      </c>
      <c r="AA374">
        <v>0</v>
      </c>
      <c r="AB374">
        <v>0</v>
      </c>
    </row>
    <row r="375" spans="1:28">
      <c r="A375">
        <v>0</v>
      </c>
      <c r="B375">
        <v>0</v>
      </c>
      <c r="C375">
        <v>0</v>
      </c>
      <c r="D375">
        <v>0</v>
      </c>
      <c r="E375">
        <v>0</v>
      </c>
      <c r="F375">
        <v>0</v>
      </c>
      <c r="G375">
        <v>0</v>
      </c>
      <c r="H375">
        <v>0</v>
      </c>
      <c r="I375">
        <v>0</v>
      </c>
      <c r="J375">
        <v>0</v>
      </c>
      <c r="K375">
        <v>0</v>
      </c>
      <c r="L375">
        <v>0</v>
      </c>
      <c r="M375">
        <v>0</v>
      </c>
      <c r="N375">
        <v>0</v>
      </c>
      <c r="O375">
        <v>0</v>
      </c>
      <c r="P375">
        <v>0</v>
      </c>
      <c r="Q375">
        <v>0</v>
      </c>
      <c r="R375">
        <v>0</v>
      </c>
      <c r="S375">
        <v>0</v>
      </c>
      <c r="T375">
        <v>0</v>
      </c>
      <c r="U375">
        <v>0</v>
      </c>
      <c r="V375">
        <v>0</v>
      </c>
      <c r="W375">
        <v>0</v>
      </c>
      <c r="X375">
        <v>0</v>
      </c>
      <c r="Y375">
        <v>0</v>
      </c>
      <c r="Z375">
        <v>0</v>
      </c>
      <c r="AA375">
        <v>0</v>
      </c>
      <c r="AB375">
        <v>0</v>
      </c>
    </row>
    <row r="376" spans="1:28">
      <c r="A376">
        <v>0</v>
      </c>
      <c r="B376">
        <v>0</v>
      </c>
      <c r="C376">
        <v>0</v>
      </c>
      <c r="D376">
        <v>0</v>
      </c>
      <c r="E376">
        <v>0</v>
      </c>
      <c r="F376">
        <v>0</v>
      </c>
      <c r="G376">
        <v>0</v>
      </c>
      <c r="H376">
        <v>0</v>
      </c>
      <c r="I376">
        <v>0</v>
      </c>
      <c r="J376">
        <v>0</v>
      </c>
      <c r="K376">
        <v>0</v>
      </c>
      <c r="L376">
        <v>0</v>
      </c>
      <c r="M376">
        <v>0</v>
      </c>
      <c r="N376">
        <v>0</v>
      </c>
      <c r="O376">
        <v>0</v>
      </c>
      <c r="P376">
        <v>0</v>
      </c>
      <c r="Q376">
        <v>0</v>
      </c>
      <c r="R376">
        <v>0</v>
      </c>
      <c r="S376">
        <v>0</v>
      </c>
      <c r="T376">
        <v>0</v>
      </c>
      <c r="U376">
        <v>0</v>
      </c>
      <c r="V376">
        <v>0</v>
      </c>
      <c r="W376">
        <v>0</v>
      </c>
      <c r="X376">
        <v>0</v>
      </c>
      <c r="Y376">
        <v>0</v>
      </c>
      <c r="Z376">
        <v>0</v>
      </c>
      <c r="AA376">
        <v>0</v>
      </c>
      <c r="AB376">
        <v>0</v>
      </c>
    </row>
    <row r="377" spans="1:28">
      <c r="A377">
        <v>0</v>
      </c>
      <c r="B377">
        <v>0</v>
      </c>
      <c r="C377">
        <v>0</v>
      </c>
      <c r="D377">
        <v>0</v>
      </c>
      <c r="E377">
        <v>0</v>
      </c>
      <c r="F377">
        <v>0</v>
      </c>
      <c r="G377">
        <v>0</v>
      </c>
      <c r="H377">
        <v>0</v>
      </c>
      <c r="I377">
        <v>0</v>
      </c>
      <c r="J377">
        <v>0</v>
      </c>
      <c r="K377">
        <v>0</v>
      </c>
      <c r="L377">
        <v>0</v>
      </c>
      <c r="M377">
        <v>0</v>
      </c>
      <c r="N377">
        <v>0</v>
      </c>
      <c r="O377">
        <v>0</v>
      </c>
      <c r="P377">
        <v>0</v>
      </c>
      <c r="Q377">
        <v>0</v>
      </c>
      <c r="R377">
        <v>0</v>
      </c>
      <c r="S377">
        <v>0</v>
      </c>
      <c r="T377">
        <v>0</v>
      </c>
      <c r="U377">
        <v>0</v>
      </c>
      <c r="V377">
        <v>0</v>
      </c>
      <c r="W377">
        <v>0</v>
      </c>
      <c r="X377">
        <v>0</v>
      </c>
      <c r="Y377">
        <v>0</v>
      </c>
      <c r="Z377">
        <v>0</v>
      </c>
      <c r="AA377">
        <v>0</v>
      </c>
      <c r="AB377">
        <v>0</v>
      </c>
    </row>
    <row r="378" spans="1:28">
      <c r="A378">
        <v>0</v>
      </c>
      <c r="B378">
        <v>0</v>
      </c>
      <c r="C378">
        <v>0</v>
      </c>
      <c r="D378">
        <v>0</v>
      </c>
      <c r="E378">
        <v>0</v>
      </c>
      <c r="F378">
        <v>0</v>
      </c>
      <c r="G378">
        <v>0</v>
      </c>
      <c r="H378">
        <v>0</v>
      </c>
      <c r="I378">
        <v>0</v>
      </c>
      <c r="J378">
        <v>0</v>
      </c>
      <c r="K378">
        <v>0</v>
      </c>
      <c r="L378">
        <v>0</v>
      </c>
      <c r="M378">
        <v>0</v>
      </c>
      <c r="N378">
        <v>0</v>
      </c>
      <c r="O378">
        <v>0</v>
      </c>
      <c r="P378">
        <v>0</v>
      </c>
      <c r="Q378">
        <v>0</v>
      </c>
      <c r="R378">
        <v>0</v>
      </c>
      <c r="S378">
        <v>0</v>
      </c>
      <c r="T378">
        <v>0</v>
      </c>
      <c r="U378">
        <v>0</v>
      </c>
      <c r="V378">
        <v>0</v>
      </c>
      <c r="W378">
        <v>0</v>
      </c>
      <c r="X378">
        <v>0</v>
      </c>
      <c r="Y378">
        <v>0</v>
      </c>
      <c r="Z378">
        <v>0</v>
      </c>
      <c r="AA378">
        <v>0</v>
      </c>
      <c r="AB378">
        <v>0</v>
      </c>
    </row>
    <row r="379" spans="1:28">
      <c r="A379">
        <v>0</v>
      </c>
      <c r="B379">
        <v>0</v>
      </c>
      <c r="C379">
        <v>0</v>
      </c>
      <c r="D379">
        <v>0</v>
      </c>
      <c r="E379">
        <v>0</v>
      </c>
      <c r="F379">
        <v>0</v>
      </c>
      <c r="G379">
        <v>0</v>
      </c>
      <c r="H379">
        <v>0</v>
      </c>
      <c r="I379">
        <v>0</v>
      </c>
      <c r="J379">
        <v>0</v>
      </c>
      <c r="K379">
        <v>0</v>
      </c>
      <c r="L379">
        <v>0</v>
      </c>
      <c r="M379">
        <v>0</v>
      </c>
      <c r="N379">
        <v>0</v>
      </c>
      <c r="O379">
        <v>0</v>
      </c>
      <c r="P379">
        <v>0</v>
      </c>
      <c r="Q379">
        <v>0</v>
      </c>
      <c r="R379">
        <v>0</v>
      </c>
      <c r="S379">
        <v>0</v>
      </c>
      <c r="T379">
        <v>0</v>
      </c>
      <c r="U379">
        <v>0</v>
      </c>
      <c r="V379">
        <v>0</v>
      </c>
      <c r="W379">
        <v>0</v>
      </c>
      <c r="X379">
        <v>0</v>
      </c>
      <c r="Y379">
        <v>0</v>
      </c>
      <c r="Z379">
        <v>0</v>
      </c>
      <c r="AA379">
        <v>0</v>
      </c>
      <c r="AB379">
        <v>0</v>
      </c>
    </row>
    <row r="380" spans="1:28">
      <c r="A380">
        <v>0</v>
      </c>
      <c r="B380">
        <v>0</v>
      </c>
      <c r="C380">
        <v>0</v>
      </c>
      <c r="D380">
        <v>0</v>
      </c>
      <c r="E380">
        <v>0</v>
      </c>
      <c r="F380">
        <v>0</v>
      </c>
      <c r="G380">
        <v>0</v>
      </c>
      <c r="H380">
        <v>0</v>
      </c>
      <c r="I380">
        <v>0</v>
      </c>
      <c r="J380">
        <v>0</v>
      </c>
      <c r="K380">
        <v>0</v>
      </c>
      <c r="L380">
        <v>0</v>
      </c>
      <c r="M380">
        <v>0</v>
      </c>
      <c r="N380">
        <v>0</v>
      </c>
      <c r="O380">
        <v>0</v>
      </c>
      <c r="P380">
        <v>0</v>
      </c>
      <c r="Q380">
        <v>0</v>
      </c>
      <c r="R380">
        <v>0</v>
      </c>
      <c r="S380">
        <v>0</v>
      </c>
      <c r="T380">
        <v>0</v>
      </c>
      <c r="U380">
        <v>0</v>
      </c>
      <c r="V380">
        <v>0</v>
      </c>
      <c r="W380">
        <v>0</v>
      </c>
      <c r="X380">
        <v>0</v>
      </c>
      <c r="Y380">
        <v>0</v>
      </c>
      <c r="Z380">
        <v>0</v>
      </c>
      <c r="AA380">
        <v>0</v>
      </c>
      <c r="AB380">
        <v>0</v>
      </c>
    </row>
    <row r="381" spans="1:28">
      <c r="A381">
        <v>0</v>
      </c>
      <c r="B381">
        <v>0</v>
      </c>
      <c r="C381">
        <v>0</v>
      </c>
      <c r="D381">
        <v>0</v>
      </c>
      <c r="E381">
        <v>0</v>
      </c>
      <c r="F381">
        <v>0</v>
      </c>
      <c r="G381">
        <v>0</v>
      </c>
      <c r="H381">
        <v>0</v>
      </c>
      <c r="I381">
        <v>0</v>
      </c>
      <c r="J381">
        <v>0</v>
      </c>
      <c r="K381">
        <v>0</v>
      </c>
      <c r="L381">
        <v>0</v>
      </c>
      <c r="M381">
        <v>0</v>
      </c>
      <c r="N381">
        <v>0</v>
      </c>
      <c r="O381">
        <v>0</v>
      </c>
      <c r="P381">
        <v>0</v>
      </c>
      <c r="Q381">
        <v>0</v>
      </c>
      <c r="R381">
        <v>0</v>
      </c>
      <c r="S381">
        <v>0</v>
      </c>
      <c r="T381">
        <v>0</v>
      </c>
      <c r="U381">
        <v>0</v>
      </c>
      <c r="V381">
        <v>0</v>
      </c>
      <c r="W381">
        <v>0</v>
      </c>
      <c r="X381">
        <v>0</v>
      </c>
      <c r="Y381">
        <v>0</v>
      </c>
      <c r="Z381">
        <v>0</v>
      </c>
      <c r="AA381">
        <v>0</v>
      </c>
      <c r="AB381">
        <v>0</v>
      </c>
    </row>
    <row r="382" spans="1:28">
      <c r="A382">
        <v>0</v>
      </c>
      <c r="B382">
        <v>0</v>
      </c>
      <c r="C382">
        <v>0</v>
      </c>
      <c r="D382">
        <v>0</v>
      </c>
      <c r="E382">
        <v>0</v>
      </c>
      <c r="F382">
        <v>0</v>
      </c>
      <c r="G382">
        <v>0</v>
      </c>
      <c r="H382">
        <v>0</v>
      </c>
      <c r="I382">
        <v>0</v>
      </c>
      <c r="J382">
        <v>0</v>
      </c>
      <c r="K382">
        <v>0</v>
      </c>
      <c r="L382">
        <v>0</v>
      </c>
      <c r="M382">
        <v>0</v>
      </c>
      <c r="N382">
        <v>0</v>
      </c>
      <c r="O382">
        <v>0</v>
      </c>
      <c r="P382">
        <v>0</v>
      </c>
      <c r="Q382">
        <v>0</v>
      </c>
      <c r="R382">
        <v>0</v>
      </c>
      <c r="S382">
        <v>0</v>
      </c>
      <c r="T382">
        <v>0</v>
      </c>
      <c r="U382">
        <v>0</v>
      </c>
      <c r="V382">
        <v>0</v>
      </c>
      <c r="W382">
        <v>0</v>
      </c>
      <c r="X382">
        <v>0</v>
      </c>
      <c r="Y382">
        <v>0</v>
      </c>
      <c r="Z382">
        <v>0</v>
      </c>
      <c r="AA382">
        <v>0</v>
      </c>
      <c r="AB382">
        <v>0</v>
      </c>
    </row>
    <row r="383" spans="1:28">
      <c r="A383">
        <v>0</v>
      </c>
      <c r="B383">
        <v>0</v>
      </c>
      <c r="C383">
        <v>0</v>
      </c>
      <c r="D383">
        <v>0</v>
      </c>
      <c r="E383">
        <v>0</v>
      </c>
      <c r="F383">
        <v>0</v>
      </c>
      <c r="G383">
        <v>0</v>
      </c>
      <c r="H383">
        <v>0</v>
      </c>
      <c r="I383">
        <v>0</v>
      </c>
      <c r="J383">
        <v>0</v>
      </c>
      <c r="K383">
        <v>0</v>
      </c>
      <c r="L383">
        <v>0</v>
      </c>
      <c r="M383">
        <v>0</v>
      </c>
      <c r="N383">
        <v>0</v>
      </c>
      <c r="O383">
        <v>0</v>
      </c>
      <c r="P383">
        <v>0</v>
      </c>
      <c r="Q383">
        <v>0</v>
      </c>
      <c r="R383">
        <v>0</v>
      </c>
      <c r="S383">
        <v>0</v>
      </c>
      <c r="T383">
        <v>0</v>
      </c>
      <c r="U383">
        <v>0</v>
      </c>
      <c r="V383">
        <v>0</v>
      </c>
      <c r="W383">
        <v>0</v>
      </c>
      <c r="X383">
        <v>0</v>
      </c>
      <c r="Y383">
        <v>0</v>
      </c>
      <c r="Z383">
        <v>0</v>
      </c>
      <c r="AA383">
        <v>0</v>
      </c>
      <c r="AB383">
        <v>0</v>
      </c>
    </row>
    <row r="384" spans="1:28">
      <c r="A384">
        <v>0</v>
      </c>
      <c r="B384">
        <v>0</v>
      </c>
      <c r="C384">
        <v>0</v>
      </c>
      <c r="D384">
        <v>0</v>
      </c>
      <c r="E384">
        <v>0</v>
      </c>
      <c r="F384">
        <v>0</v>
      </c>
      <c r="G384">
        <v>0</v>
      </c>
      <c r="H384">
        <v>0</v>
      </c>
      <c r="I384">
        <v>0</v>
      </c>
      <c r="J384">
        <v>0</v>
      </c>
      <c r="K384">
        <v>0</v>
      </c>
      <c r="L384">
        <v>0</v>
      </c>
      <c r="M384">
        <v>0</v>
      </c>
      <c r="N384">
        <v>0</v>
      </c>
      <c r="O384">
        <v>0</v>
      </c>
      <c r="P384">
        <v>0</v>
      </c>
      <c r="Q384">
        <v>0</v>
      </c>
      <c r="R384">
        <v>0</v>
      </c>
      <c r="S384">
        <v>0</v>
      </c>
      <c r="T384">
        <v>0</v>
      </c>
      <c r="U384">
        <v>0</v>
      </c>
      <c r="V384">
        <v>0</v>
      </c>
      <c r="W384">
        <v>0</v>
      </c>
      <c r="X384">
        <v>0</v>
      </c>
      <c r="Y384">
        <v>0</v>
      </c>
      <c r="Z384">
        <v>0</v>
      </c>
      <c r="AA384">
        <v>0</v>
      </c>
      <c r="AB384">
        <v>0</v>
      </c>
    </row>
    <row r="385" spans="1:28">
      <c r="A385">
        <v>0</v>
      </c>
      <c r="B385">
        <v>0</v>
      </c>
      <c r="C385">
        <v>0</v>
      </c>
      <c r="D385">
        <v>0</v>
      </c>
      <c r="E385">
        <v>0</v>
      </c>
      <c r="F385">
        <v>0</v>
      </c>
      <c r="G385">
        <v>0</v>
      </c>
      <c r="H385">
        <v>0</v>
      </c>
      <c r="I385">
        <v>0</v>
      </c>
      <c r="J385">
        <v>0</v>
      </c>
      <c r="K385">
        <v>0</v>
      </c>
      <c r="L385">
        <v>0</v>
      </c>
      <c r="M385">
        <v>0</v>
      </c>
      <c r="N385">
        <v>0</v>
      </c>
      <c r="O385">
        <v>0</v>
      </c>
      <c r="P385">
        <v>0</v>
      </c>
      <c r="Q385">
        <v>0</v>
      </c>
      <c r="R385">
        <v>0</v>
      </c>
      <c r="S385">
        <v>0</v>
      </c>
      <c r="T385">
        <v>0</v>
      </c>
      <c r="U385">
        <v>0</v>
      </c>
      <c r="V385">
        <v>0</v>
      </c>
      <c r="W385">
        <v>0</v>
      </c>
      <c r="X385">
        <v>0</v>
      </c>
      <c r="Y385">
        <v>0</v>
      </c>
      <c r="Z385">
        <v>0</v>
      </c>
      <c r="AA385">
        <v>0</v>
      </c>
      <c r="AB385">
        <v>0</v>
      </c>
    </row>
    <row r="386" spans="1:28">
      <c r="A386">
        <v>0</v>
      </c>
      <c r="B386">
        <v>0</v>
      </c>
      <c r="C386">
        <v>0</v>
      </c>
      <c r="D386">
        <v>0</v>
      </c>
      <c r="E386">
        <v>0</v>
      </c>
      <c r="F386">
        <v>0</v>
      </c>
      <c r="G386">
        <v>0</v>
      </c>
      <c r="H386">
        <v>0</v>
      </c>
      <c r="I386">
        <v>0</v>
      </c>
      <c r="J386">
        <v>0</v>
      </c>
      <c r="K386">
        <v>0</v>
      </c>
      <c r="L386">
        <v>0</v>
      </c>
      <c r="M386">
        <v>0</v>
      </c>
      <c r="N386">
        <v>0</v>
      </c>
      <c r="O386">
        <v>0</v>
      </c>
      <c r="P386">
        <v>0</v>
      </c>
      <c r="Q386">
        <v>0</v>
      </c>
      <c r="R386">
        <v>0</v>
      </c>
      <c r="S386">
        <v>0</v>
      </c>
      <c r="T386">
        <v>0</v>
      </c>
      <c r="U386">
        <v>0</v>
      </c>
      <c r="V386">
        <v>0</v>
      </c>
      <c r="W386">
        <v>0</v>
      </c>
      <c r="X386">
        <v>0</v>
      </c>
      <c r="Y386">
        <v>0</v>
      </c>
      <c r="Z386">
        <v>0</v>
      </c>
      <c r="AA386">
        <v>0</v>
      </c>
      <c r="AB386">
        <v>0</v>
      </c>
    </row>
    <row r="387" spans="1:28">
      <c r="A387">
        <v>0</v>
      </c>
      <c r="B387">
        <v>0</v>
      </c>
      <c r="C387">
        <v>0</v>
      </c>
      <c r="D387">
        <v>0</v>
      </c>
      <c r="E387">
        <v>0</v>
      </c>
      <c r="F387">
        <v>0</v>
      </c>
      <c r="G387">
        <v>0</v>
      </c>
      <c r="H387">
        <v>0</v>
      </c>
      <c r="I387">
        <v>0</v>
      </c>
      <c r="J387">
        <v>0</v>
      </c>
      <c r="K387">
        <v>0</v>
      </c>
      <c r="L387">
        <v>0</v>
      </c>
      <c r="M387">
        <v>0</v>
      </c>
      <c r="N387">
        <v>0</v>
      </c>
      <c r="O387">
        <v>0</v>
      </c>
      <c r="P387">
        <v>0</v>
      </c>
      <c r="Q387">
        <v>0</v>
      </c>
      <c r="R387">
        <v>0</v>
      </c>
      <c r="S387">
        <v>0</v>
      </c>
      <c r="T387">
        <v>0</v>
      </c>
      <c r="U387">
        <v>0</v>
      </c>
      <c r="V387">
        <v>0</v>
      </c>
      <c r="W387">
        <v>0</v>
      </c>
      <c r="X387">
        <v>0</v>
      </c>
      <c r="Y387">
        <v>0</v>
      </c>
      <c r="Z387">
        <v>0</v>
      </c>
      <c r="AA387">
        <v>0</v>
      </c>
      <c r="AB387">
        <v>0</v>
      </c>
    </row>
    <row r="388" spans="1:28">
      <c r="A388">
        <v>0</v>
      </c>
      <c r="B388">
        <v>0</v>
      </c>
      <c r="C388">
        <v>0</v>
      </c>
      <c r="D388">
        <v>0</v>
      </c>
      <c r="E388">
        <v>0</v>
      </c>
      <c r="F388">
        <v>0</v>
      </c>
      <c r="G388">
        <v>0</v>
      </c>
      <c r="H388">
        <v>0</v>
      </c>
      <c r="I388">
        <v>0</v>
      </c>
      <c r="J388">
        <v>0</v>
      </c>
      <c r="K388">
        <v>0</v>
      </c>
      <c r="L388">
        <v>0</v>
      </c>
      <c r="M388">
        <v>0</v>
      </c>
      <c r="N388">
        <v>0</v>
      </c>
      <c r="O388">
        <v>0</v>
      </c>
      <c r="P388">
        <v>0</v>
      </c>
      <c r="Q388">
        <v>0</v>
      </c>
      <c r="R388">
        <v>0</v>
      </c>
      <c r="S388">
        <v>0</v>
      </c>
      <c r="T388">
        <v>0</v>
      </c>
      <c r="U388">
        <v>0</v>
      </c>
      <c r="V388">
        <v>0</v>
      </c>
      <c r="W388">
        <v>0</v>
      </c>
      <c r="X388">
        <v>0</v>
      </c>
      <c r="Y388">
        <v>0</v>
      </c>
      <c r="Z388">
        <v>0</v>
      </c>
      <c r="AA388">
        <v>0</v>
      </c>
      <c r="AB388">
        <v>0</v>
      </c>
    </row>
    <row r="389" spans="1:28">
      <c r="A389">
        <v>0</v>
      </c>
      <c r="B389">
        <v>0</v>
      </c>
      <c r="C389">
        <v>0</v>
      </c>
      <c r="D389">
        <v>0</v>
      </c>
      <c r="E389">
        <v>0</v>
      </c>
      <c r="F389">
        <v>0</v>
      </c>
      <c r="G389">
        <v>0</v>
      </c>
      <c r="H389">
        <v>0</v>
      </c>
      <c r="I389">
        <v>0</v>
      </c>
      <c r="J389">
        <v>0</v>
      </c>
      <c r="K389">
        <v>0</v>
      </c>
      <c r="L389">
        <v>0</v>
      </c>
      <c r="M389">
        <v>0</v>
      </c>
      <c r="N389">
        <v>0</v>
      </c>
      <c r="O389">
        <v>0</v>
      </c>
      <c r="P389">
        <v>0</v>
      </c>
      <c r="Q389">
        <v>0</v>
      </c>
      <c r="R389">
        <v>0</v>
      </c>
      <c r="S389">
        <v>0</v>
      </c>
      <c r="T389">
        <v>0</v>
      </c>
      <c r="U389">
        <v>0</v>
      </c>
      <c r="V389">
        <v>0</v>
      </c>
      <c r="W389">
        <v>0</v>
      </c>
      <c r="X389">
        <v>0</v>
      </c>
      <c r="Y389">
        <v>0</v>
      </c>
      <c r="Z389">
        <v>0</v>
      </c>
      <c r="AA389">
        <v>0</v>
      </c>
      <c r="AB389">
        <v>0</v>
      </c>
    </row>
    <row r="390" spans="1:28">
      <c r="A390">
        <v>0</v>
      </c>
      <c r="B390">
        <v>0</v>
      </c>
      <c r="C390">
        <v>0</v>
      </c>
      <c r="D390">
        <v>0</v>
      </c>
      <c r="E390">
        <v>0</v>
      </c>
      <c r="F390">
        <v>0</v>
      </c>
      <c r="G390">
        <v>0</v>
      </c>
      <c r="H390">
        <v>0</v>
      </c>
      <c r="I390">
        <v>0</v>
      </c>
      <c r="J390">
        <v>0</v>
      </c>
      <c r="K390">
        <v>0</v>
      </c>
      <c r="L390">
        <v>0</v>
      </c>
      <c r="M390">
        <v>0</v>
      </c>
      <c r="N390">
        <v>0</v>
      </c>
      <c r="O390">
        <v>0</v>
      </c>
      <c r="P390">
        <v>0</v>
      </c>
      <c r="Q390">
        <v>0</v>
      </c>
      <c r="R390">
        <v>0</v>
      </c>
      <c r="S390">
        <v>0</v>
      </c>
      <c r="T390">
        <v>0</v>
      </c>
      <c r="U390">
        <v>0</v>
      </c>
      <c r="V390">
        <v>0</v>
      </c>
      <c r="W390">
        <v>0</v>
      </c>
      <c r="X390">
        <v>0</v>
      </c>
      <c r="Y390">
        <v>0</v>
      </c>
      <c r="Z390">
        <v>0</v>
      </c>
      <c r="AA390">
        <v>0</v>
      </c>
      <c r="AB390">
        <v>0</v>
      </c>
    </row>
    <row r="391" spans="1:28">
      <c r="A391">
        <v>0</v>
      </c>
      <c r="B391">
        <v>0</v>
      </c>
      <c r="C391">
        <v>0</v>
      </c>
      <c r="D391">
        <v>0</v>
      </c>
      <c r="E391">
        <v>0</v>
      </c>
      <c r="F391">
        <v>0</v>
      </c>
      <c r="G391">
        <v>0</v>
      </c>
      <c r="H391">
        <v>0</v>
      </c>
      <c r="I391">
        <v>0</v>
      </c>
      <c r="J391">
        <v>0</v>
      </c>
      <c r="K391">
        <v>0</v>
      </c>
      <c r="L391">
        <v>0</v>
      </c>
      <c r="M391">
        <v>0</v>
      </c>
      <c r="N391">
        <v>0</v>
      </c>
      <c r="O391">
        <v>0</v>
      </c>
      <c r="P391">
        <v>0</v>
      </c>
      <c r="Q391">
        <v>0</v>
      </c>
      <c r="R391">
        <v>0</v>
      </c>
      <c r="S391">
        <v>0</v>
      </c>
      <c r="T391">
        <v>0</v>
      </c>
      <c r="U391">
        <v>0</v>
      </c>
      <c r="V391">
        <v>0</v>
      </c>
      <c r="W391">
        <v>0</v>
      </c>
      <c r="X391">
        <v>0</v>
      </c>
      <c r="Y391">
        <v>0</v>
      </c>
      <c r="Z391">
        <v>0</v>
      </c>
      <c r="AA391">
        <v>0</v>
      </c>
      <c r="AB391">
        <v>0</v>
      </c>
    </row>
    <row r="392" spans="1:28">
      <c r="A392">
        <v>0</v>
      </c>
      <c r="B392">
        <v>0</v>
      </c>
      <c r="C392">
        <v>0</v>
      </c>
      <c r="D392">
        <v>0</v>
      </c>
      <c r="E392">
        <v>0</v>
      </c>
      <c r="F392">
        <v>0</v>
      </c>
      <c r="G392">
        <v>0</v>
      </c>
      <c r="H392">
        <v>0</v>
      </c>
      <c r="I392">
        <v>0</v>
      </c>
      <c r="J392">
        <v>0</v>
      </c>
      <c r="K392">
        <v>0</v>
      </c>
      <c r="L392">
        <v>0</v>
      </c>
      <c r="M392">
        <v>0</v>
      </c>
      <c r="N392">
        <v>0</v>
      </c>
      <c r="O392">
        <v>0</v>
      </c>
      <c r="P392">
        <v>0</v>
      </c>
      <c r="Q392">
        <v>0</v>
      </c>
      <c r="R392">
        <v>0</v>
      </c>
      <c r="S392">
        <v>0</v>
      </c>
      <c r="T392">
        <v>0</v>
      </c>
      <c r="U392">
        <v>0</v>
      </c>
      <c r="V392">
        <v>0</v>
      </c>
      <c r="W392">
        <v>0</v>
      </c>
      <c r="X392">
        <v>0</v>
      </c>
      <c r="Y392">
        <v>0</v>
      </c>
      <c r="Z392">
        <v>0</v>
      </c>
      <c r="AA392">
        <v>0</v>
      </c>
      <c r="AB392">
        <v>0</v>
      </c>
    </row>
    <row r="393" spans="1:28">
      <c r="A393">
        <v>0</v>
      </c>
      <c r="B393">
        <v>0</v>
      </c>
      <c r="C393">
        <v>0</v>
      </c>
      <c r="D393">
        <v>0</v>
      </c>
      <c r="E393">
        <v>0</v>
      </c>
      <c r="F393">
        <v>0</v>
      </c>
      <c r="G393">
        <v>0</v>
      </c>
      <c r="H393">
        <v>0</v>
      </c>
      <c r="I393">
        <v>0</v>
      </c>
      <c r="J393">
        <v>0</v>
      </c>
      <c r="K393">
        <v>0</v>
      </c>
      <c r="L393">
        <v>0</v>
      </c>
      <c r="M393">
        <v>0</v>
      </c>
      <c r="N393">
        <v>0</v>
      </c>
      <c r="O393">
        <v>0</v>
      </c>
      <c r="P393">
        <v>0</v>
      </c>
      <c r="Q393">
        <v>0</v>
      </c>
      <c r="R393">
        <v>0</v>
      </c>
      <c r="S393">
        <v>0</v>
      </c>
      <c r="T393">
        <v>0</v>
      </c>
      <c r="U393">
        <v>0</v>
      </c>
      <c r="V393">
        <v>0</v>
      </c>
      <c r="W393">
        <v>0</v>
      </c>
      <c r="X393">
        <v>0</v>
      </c>
      <c r="Y393">
        <v>0</v>
      </c>
      <c r="Z393">
        <v>0</v>
      </c>
      <c r="AA393">
        <v>0</v>
      </c>
      <c r="AB393">
        <v>0</v>
      </c>
    </row>
    <row r="394" spans="1:28">
      <c r="A394">
        <v>0</v>
      </c>
      <c r="B394">
        <v>0</v>
      </c>
      <c r="C394">
        <v>0</v>
      </c>
      <c r="D394">
        <v>0</v>
      </c>
      <c r="E394">
        <v>0</v>
      </c>
      <c r="F394">
        <v>0</v>
      </c>
      <c r="G394">
        <v>0</v>
      </c>
      <c r="H394">
        <v>0</v>
      </c>
      <c r="I394">
        <v>0</v>
      </c>
      <c r="J394">
        <v>0</v>
      </c>
      <c r="K394">
        <v>0</v>
      </c>
      <c r="L394">
        <v>0</v>
      </c>
      <c r="M394">
        <v>0</v>
      </c>
      <c r="N394">
        <v>0</v>
      </c>
      <c r="O394">
        <v>0</v>
      </c>
      <c r="P394">
        <v>0</v>
      </c>
      <c r="Q394">
        <v>0</v>
      </c>
      <c r="R394">
        <v>0</v>
      </c>
      <c r="S394">
        <v>0</v>
      </c>
      <c r="T394">
        <v>0</v>
      </c>
      <c r="U394">
        <v>0</v>
      </c>
      <c r="V394">
        <v>0</v>
      </c>
      <c r="W394">
        <v>0</v>
      </c>
      <c r="X394">
        <v>0</v>
      </c>
      <c r="Y394">
        <v>0</v>
      </c>
      <c r="Z394">
        <v>0</v>
      </c>
      <c r="AA394">
        <v>0</v>
      </c>
      <c r="AB394">
        <v>0</v>
      </c>
    </row>
    <row r="395" spans="1:28">
      <c r="A395">
        <v>0</v>
      </c>
      <c r="B395">
        <v>0</v>
      </c>
      <c r="C395">
        <v>0</v>
      </c>
      <c r="D395">
        <v>0</v>
      </c>
      <c r="E395">
        <v>0</v>
      </c>
      <c r="F395">
        <v>0</v>
      </c>
      <c r="G395">
        <v>0</v>
      </c>
      <c r="H395">
        <v>0</v>
      </c>
      <c r="I395">
        <v>0</v>
      </c>
      <c r="J395">
        <v>0</v>
      </c>
      <c r="K395">
        <v>0</v>
      </c>
      <c r="L395">
        <v>0</v>
      </c>
      <c r="M395">
        <v>0</v>
      </c>
      <c r="N395">
        <v>0</v>
      </c>
      <c r="O395">
        <v>0</v>
      </c>
      <c r="P395">
        <v>0</v>
      </c>
      <c r="Q395">
        <v>0</v>
      </c>
      <c r="R395">
        <v>0</v>
      </c>
      <c r="S395">
        <v>0</v>
      </c>
      <c r="T395">
        <v>0</v>
      </c>
      <c r="U395">
        <v>0</v>
      </c>
      <c r="V395">
        <v>0</v>
      </c>
      <c r="W395">
        <v>0</v>
      </c>
      <c r="X395">
        <v>0</v>
      </c>
      <c r="Y395">
        <v>0</v>
      </c>
      <c r="Z395">
        <v>0</v>
      </c>
      <c r="AA395">
        <v>0</v>
      </c>
      <c r="AB395">
        <v>0</v>
      </c>
    </row>
    <row r="396" spans="1:28">
      <c r="A396">
        <v>0</v>
      </c>
      <c r="B396">
        <v>0</v>
      </c>
      <c r="C396">
        <v>0</v>
      </c>
      <c r="D396">
        <v>0</v>
      </c>
      <c r="E396">
        <v>0</v>
      </c>
      <c r="F396">
        <v>0</v>
      </c>
      <c r="G396">
        <v>0</v>
      </c>
      <c r="H396">
        <v>0</v>
      </c>
      <c r="I396">
        <v>0</v>
      </c>
      <c r="J396">
        <v>0</v>
      </c>
      <c r="K396">
        <v>0</v>
      </c>
      <c r="L396">
        <v>0</v>
      </c>
      <c r="M396">
        <v>0</v>
      </c>
      <c r="N396">
        <v>0</v>
      </c>
      <c r="O396">
        <v>0</v>
      </c>
      <c r="P396">
        <v>0</v>
      </c>
      <c r="Q396">
        <v>0</v>
      </c>
      <c r="R396">
        <v>0</v>
      </c>
      <c r="S396">
        <v>0</v>
      </c>
      <c r="T396">
        <v>0</v>
      </c>
      <c r="U396">
        <v>0</v>
      </c>
      <c r="V396">
        <v>0</v>
      </c>
      <c r="W396">
        <v>0</v>
      </c>
      <c r="X396">
        <v>0</v>
      </c>
      <c r="Y396">
        <v>0</v>
      </c>
      <c r="Z396">
        <v>0</v>
      </c>
      <c r="AA396">
        <v>0</v>
      </c>
      <c r="AB396">
        <v>0</v>
      </c>
    </row>
    <row r="397" spans="1:28">
      <c r="A397">
        <v>0</v>
      </c>
      <c r="B397">
        <v>0</v>
      </c>
      <c r="C397">
        <v>0</v>
      </c>
      <c r="D397">
        <v>0</v>
      </c>
      <c r="E397">
        <v>0</v>
      </c>
      <c r="F397">
        <v>0</v>
      </c>
      <c r="G397">
        <v>0</v>
      </c>
      <c r="H397">
        <v>0</v>
      </c>
      <c r="I397">
        <v>0</v>
      </c>
      <c r="J397">
        <v>0</v>
      </c>
      <c r="K397">
        <v>0</v>
      </c>
      <c r="L397">
        <v>0</v>
      </c>
      <c r="M397">
        <v>0</v>
      </c>
      <c r="N397">
        <v>0</v>
      </c>
      <c r="O397">
        <v>0</v>
      </c>
      <c r="P397">
        <v>0</v>
      </c>
      <c r="Q397">
        <v>0</v>
      </c>
      <c r="R397">
        <v>0</v>
      </c>
      <c r="S397">
        <v>0</v>
      </c>
      <c r="T397">
        <v>0</v>
      </c>
      <c r="U397">
        <v>0</v>
      </c>
      <c r="V397">
        <v>0</v>
      </c>
      <c r="W397">
        <v>0</v>
      </c>
      <c r="X397">
        <v>0</v>
      </c>
      <c r="Y397">
        <v>0</v>
      </c>
      <c r="Z397">
        <v>0</v>
      </c>
      <c r="AA397">
        <v>0</v>
      </c>
      <c r="AB397">
        <v>0</v>
      </c>
    </row>
    <row r="398" spans="1:28">
      <c r="A398">
        <v>0</v>
      </c>
      <c r="B398">
        <v>0</v>
      </c>
      <c r="C398">
        <v>0</v>
      </c>
      <c r="D398">
        <v>0</v>
      </c>
      <c r="E398">
        <v>0</v>
      </c>
      <c r="F398">
        <v>0</v>
      </c>
      <c r="G398">
        <v>0</v>
      </c>
      <c r="H398">
        <v>0</v>
      </c>
      <c r="I398">
        <v>0</v>
      </c>
      <c r="J398">
        <v>0</v>
      </c>
      <c r="K398">
        <v>0</v>
      </c>
      <c r="L398">
        <v>0</v>
      </c>
      <c r="M398">
        <v>0</v>
      </c>
      <c r="N398">
        <v>0</v>
      </c>
      <c r="O398">
        <v>0</v>
      </c>
      <c r="P398">
        <v>0</v>
      </c>
      <c r="Q398">
        <v>0</v>
      </c>
      <c r="R398">
        <v>0</v>
      </c>
      <c r="S398">
        <v>0</v>
      </c>
      <c r="T398">
        <v>0</v>
      </c>
      <c r="U398">
        <v>0</v>
      </c>
      <c r="V398">
        <v>0</v>
      </c>
      <c r="W398">
        <v>0</v>
      </c>
      <c r="X398">
        <v>0</v>
      </c>
      <c r="Y398">
        <v>0</v>
      </c>
      <c r="Z398">
        <v>0</v>
      </c>
      <c r="AA398">
        <v>0</v>
      </c>
      <c r="AB398">
        <v>0</v>
      </c>
    </row>
    <row r="399" spans="1:28">
      <c r="A399">
        <v>0</v>
      </c>
      <c r="B399">
        <v>0</v>
      </c>
      <c r="C399">
        <v>0</v>
      </c>
      <c r="D399">
        <v>0</v>
      </c>
      <c r="E399">
        <v>0</v>
      </c>
      <c r="F399">
        <v>0</v>
      </c>
      <c r="G399">
        <v>0</v>
      </c>
      <c r="H399">
        <v>0</v>
      </c>
      <c r="I399">
        <v>0</v>
      </c>
      <c r="J399">
        <v>0</v>
      </c>
      <c r="K399">
        <v>0</v>
      </c>
      <c r="L399">
        <v>0</v>
      </c>
      <c r="M399">
        <v>0</v>
      </c>
      <c r="N399">
        <v>0</v>
      </c>
      <c r="O399">
        <v>0</v>
      </c>
      <c r="P399">
        <v>0</v>
      </c>
      <c r="Q399">
        <v>0</v>
      </c>
      <c r="R399">
        <v>0</v>
      </c>
      <c r="S399">
        <v>0</v>
      </c>
      <c r="T399">
        <v>0</v>
      </c>
      <c r="U399">
        <v>0</v>
      </c>
      <c r="V399">
        <v>0</v>
      </c>
      <c r="W399">
        <v>0</v>
      </c>
      <c r="X399">
        <v>0</v>
      </c>
      <c r="Y399">
        <v>0</v>
      </c>
      <c r="Z399">
        <v>0</v>
      </c>
      <c r="AA399">
        <v>0</v>
      </c>
      <c r="AB399">
        <v>0</v>
      </c>
    </row>
    <row r="400" spans="1:28">
      <c r="A400">
        <v>0</v>
      </c>
      <c r="B400">
        <v>0</v>
      </c>
      <c r="C400">
        <v>0</v>
      </c>
      <c r="D400">
        <v>0</v>
      </c>
      <c r="E400">
        <v>0</v>
      </c>
      <c r="F400">
        <v>0</v>
      </c>
      <c r="G400">
        <v>0</v>
      </c>
      <c r="H400">
        <v>0</v>
      </c>
      <c r="I400">
        <v>0</v>
      </c>
      <c r="J400">
        <v>0</v>
      </c>
      <c r="K400">
        <v>0</v>
      </c>
      <c r="L400">
        <v>0</v>
      </c>
      <c r="M400">
        <v>0</v>
      </c>
      <c r="N400">
        <v>0</v>
      </c>
      <c r="O400">
        <v>0</v>
      </c>
      <c r="P400">
        <v>0</v>
      </c>
      <c r="Q400">
        <v>0</v>
      </c>
      <c r="R400">
        <v>0</v>
      </c>
      <c r="S400">
        <v>0</v>
      </c>
      <c r="T400">
        <v>0</v>
      </c>
      <c r="U400">
        <v>0</v>
      </c>
      <c r="V400">
        <v>0</v>
      </c>
      <c r="W400">
        <v>0</v>
      </c>
      <c r="X400">
        <v>0</v>
      </c>
      <c r="Y400">
        <v>0</v>
      </c>
      <c r="Z400">
        <v>0</v>
      </c>
      <c r="AA400">
        <v>0</v>
      </c>
      <c r="AB400">
        <v>0</v>
      </c>
    </row>
    <row r="401" spans="1:28">
      <c r="A401">
        <v>0</v>
      </c>
      <c r="B401">
        <v>0</v>
      </c>
      <c r="C401">
        <v>0</v>
      </c>
      <c r="D401">
        <v>0</v>
      </c>
      <c r="E401">
        <v>0</v>
      </c>
      <c r="F401">
        <v>0</v>
      </c>
      <c r="G401">
        <v>0</v>
      </c>
      <c r="H401">
        <v>0</v>
      </c>
      <c r="I401">
        <v>0</v>
      </c>
      <c r="J401">
        <v>0</v>
      </c>
      <c r="K401">
        <v>0</v>
      </c>
      <c r="L401">
        <v>0</v>
      </c>
      <c r="M401">
        <v>0</v>
      </c>
      <c r="N401">
        <v>0</v>
      </c>
      <c r="O401">
        <v>0</v>
      </c>
      <c r="P401">
        <v>0</v>
      </c>
      <c r="Q401">
        <v>0</v>
      </c>
      <c r="R401">
        <v>0</v>
      </c>
      <c r="S401">
        <v>0</v>
      </c>
      <c r="T401">
        <v>0</v>
      </c>
      <c r="U401">
        <v>0</v>
      </c>
      <c r="V401">
        <v>0</v>
      </c>
      <c r="W401">
        <v>0</v>
      </c>
      <c r="X401">
        <v>0</v>
      </c>
      <c r="Y401">
        <v>0</v>
      </c>
      <c r="Z401">
        <v>0</v>
      </c>
      <c r="AA401">
        <v>0</v>
      </c>
      <c r="AB401">
        <v>0</v>
      </c>
    </row>
    <row r="402" spans="1:28">
      <c r="A402">
        <v>0</v>
      </c>
      <c r="B402">
        <v>0</v>
      </c>
      <c r="C402">
        <v>0</v>
      </c>
      <c r="D402">
        <v>0</v>
      </c>
      <c r="E402">
        <v>0</v>
      </c>
      <c r="F402">
        <v>0</v>
      </c>
      <c r="G402">
        <v>0</v>
      </c>
      <c r="H402">
        <v>0</v>
      </c>
      <c r="I402">
        <v>0</v>
      </c>
      <c r="J402">
        <v>0</v>
      </c>
      <c r="K402">
        <v>0</v>
      </c>
      <c r="L402">
        <v>0</v>
      </c>
      <c r="M402">
        <v>0</v>
      </c>
      <c r="N402">
        <v>0</v>
      </c>
      <c r="O402">
        <v>0</v>
      </c>
      <c r="P402">
        <v>0</v>
      </c>
      <c r="Q402">
        <v>0</v>
      </c>
      <c r="R402">
        <v>0</v>
      </c>
      <c r="S402">
        <v>0</v>
      </c>
      <c r="T402">
        <v>0</v>
      </c>
      <c r="U402">
        <v>0</v>
      </c>
      <c r="V402">
        <v>0</v>
      </c>
      <c r="W402">
        <v>0</v>
      </c>
      <c r="X402">
        <v>0</v>
      </c>
      <c r="Y402">
        <v>0</v>
      </c>
      <c r="Z402">
        <v>0</v>
      </c>
      <c r="AA402">
        <v>0</v>
      </c>
      <c r="AB402">
        <v>0</v>
      </c>
    </row>
    <row r="403" spans="1:28">
      <c r="A403">
        <v>0</v>
      </c>
      <c r="B403">
        <v>0</v>
      </c>
      <c r="C403">
        <v>0</v>
      </c>
      <c r="D403">
        <v>0</v>
      </c>
      <c r="E403">
        <v>0</v>
      </c>
      <c r="F403">
        <v>0</v>
      </c>
      <c r="G403">
        <v>0</v>
      </c>
      <c r="H403">
        <v>0</v>
      </c>
      <c r="I403">
        <v>0</v>
      </c>
      <c r="J403">
        <v>0</v>
      </c>
      <c r="K403">
        <v>0</v>
      </c>
      <c r="L403">
        <v>0</v>
      </c>
      <c r="M403">
        <v>0</v>
      </c>
      <c r="N403">
        <v>0</v>
      </c>
      <c r="O403">
        <v>0</v>
      </c>
      <c r="P403">
        <v>0</v>
      </c>
      <c r="Q403">
        <v>0</v>
      </c>
      <c r="R403">
        <v>0</v>
      </c>
      <c r="S403">
        <v>0</v>
      </c>
      <c r="T403">
        <v>0</v>
      </c>
      <c r="U403">
        <v>0</v>
      </c>
      <c r="V403">
        <v>0</v>
      </c>
      <c r="W403">
        <v>0</v>
      </c>
      <c r="X403">
        <v>0</v>
      </c>
      <c r="Y403">
        <v>0</v>
      </c>
      <c r="Z403">
        <v>0</v>
      </c>
      <c r="AA403">
        <v>0</v>
      </c>
      <c r="AB403">
        <v>0</v>
      </c>
    </row>
    <row r="404" spans="1:28">
      <c r="A404">
        <v>0</v>
      </c>
      <c r="B404">
        <v>0</v>
      </c>
      <c r="C404">
        <v>0</v>
      </c>
      <c r="D404">
        <v>0</v>
      </c>
      <c r="E404">
        <v>0</v>
      </c>
      <c r="F404">
        <v>0</v>
      </c>
      <c r="G404">
        <v>0</v>
      </c>
      <c r="H404">
        <v>0</v>
      </c>
      <c r="I404">
        <v>0</v>
      </c>
      <c r="J404">
        <v>0</v>
      </c>
      <c r="K404">
        <v>0</v>
      </c>
      <c r="L404">
        <v>0</v>
      </c>
      <c r="M404">
        <v>0</v>
      </c>
      <c r="N404">
        <v>0</v>
      </c>
      <c r="O404">
        <v>0</v>
      </c>
      <c r="P404">
        <v>0</v>
      </c>
      <c r="Q404">
        <v>0</v>
      </c>
      <c r="R404">
        <v>0</v>
      </c>
      <c r="S404">
        <v>0</v>
      </c>
      <c r="T404">
        <v>0</v>
      </c>
      <c r="U404">
        <v>0</v>
      </c>
      <c r="V404">
        <v>0</v>
      </c>
      <c r="W404">
        <v>0</v>
      </c>
      <c r="X404">
        <v>0</v>
      </c>
      <c r="Y404">
        <v>0</v>
      </c>
      <c r="Z404">
        <v>0</v>
      </c>
      <c r="AA404">
        <v>0</v>
      </c>
      <c r="AB404">
        <v>0</v>
      </c>
    </row>
    <row r="405" spans="1:28">
      <c r="A405">
        <v>0</v>
      </c>
      <c r="B405">
        <v>0</v>
      </c>
      <c r="C405">
        <v>0</v>
      </c>
      <c r="D405">
        <v>0</v>
      </c>
      <c r="E405">
        <v>0</v>
      </c>
      <c r="F405">
        <v>0</v>
      </c>
      <c r="G405">
        <v>0</v>
      </c>
      <c r="H405">
        <v>0</v>
      </c>
      <c r="I405">
        <v>0</v>
      </c>
      <c r="J405">
        <v>0</v>
      </c>
      <c r="K405">
        <v>0</v>
      </c>
      <c r="L405">
        <v>0</v>
      </c>
      <c r="M405">
        <v>0</v>
      </c>
      <c r="N405">
        <v>0</v>
      </c>
      <c r="O405">
        <v>0</v>
      </c>
      <c r="P405">
        <v>0</v>
      </c>
      <c r="Q405">
        <v>0</v>
      </c>
      <c r="R405">
        <v>0</v>
      </c>
      <c r="S405">
        <v>0</v>
      </c>
      <c r="T405">
        <v>0</v>
      </c>
      <c r="U405">
        <v>0</v>
      </c>
      <c r="V405">
        <v>0</v>
      </c>
      <c r="W405">
        <v>0</v>
      </c>
      <c r="X405">
        <v>0</v>
      </c>
      <c r="Y405">
        <v>0</v>
      </c>
      <c r="Z405">
        <v>0</v>
      </c>
      <c r="AA405">
        <v>0</v>
      </c>
      <c r="AB405">
        <v>0</v>
      </c>
    </row>
    <row r="406" spans="1:28">
      <c r="A406">
        <v>0</v>
      </c>
      <c r="B406">
        <v>0</v>
      </c>
      <c r="C406">
        <v>0</v>
      </c>
      <c r="D406">
        <v>0</v>
      </c>
      <c r="E406">
        <v>0</v>
      </c>
      <c r="F406">
        <v>0</v>
      </c>
      <c r="G406">
        <v>0</v>
      </c>
      <c r="H406">
        <v>0</v>
      </c>
      <c r="I406">
        <v>0</v>
      </c>
      <c r="J406">
        <v>0</v>
      </c>
      <c r="K406">
        <v>0</v>
      </c>
      <c r="L406">
        <v>0</v>
      </c>
      <c r="M406">
        <v>0</v>
      </c>
      <c r="N406">
        <v>0</v>
      </c>
      <c r="O406">
        <v>0</v>
      </c>
      <c r="P406">
        <v>0</v>
      </c>
      <c r="Q406">
        <v>0</v>
      </c>
      <c r="R406">
        <v>0</v>
      </c>
      <c r="S406">
        <v>0</v>
      </c>
      <c r="T406">
        <v>0</v>
      </c>
      <c r="U406">
        <v>0</v>
      </c>
      <c r="V406">
        <v>0</v>
      </c>
      <c r="W406">
        <v>0</v>
      </c>
      <c r="X406">
        <v>0</v>
      </c>
      <c r="Y406">
        <v>0</v>
      </c>
      <c r="Z406">
        <v>0</v>
      </c>
      <c r="AA406">
        <v>0</v>
      </c>
      <c r="AB406">
        <v>0</v>
      </c>
    </row>
    <row r="407" spans="1:28">
      <c r="A407">
        <v>0</v>
      </c>
      <c r="B407">
        <v>0</v>
      </c>
      <c r="C407">
        <v>0</v>
      </c>
      <c r="D407">
        <v>0</v>
      </c>
      <c r="E407">
        <v>0</v>
      </c>
      <c r="F407">
        <v>0</v>
      </c>
      <c r="G407">
        <v>0</v>
      </c>
      <c r="H407">
        <v>0</v>
      </c>
      <c r="I407">
        <v>0</v>
      </c>
      <c r="J407">
        <v>0</v>
      </c>
      <c r="K407">
        <v>0</v>
      </c>
      <c r="L407">
        <v>0</v>
      </c>
      <c r="M407">
        <v>0</v>
      </c>
      <c r="N407">
        <v>0</v>
      </c>
      <c r="O407">
        <v>0</v>
      </c>
      <c r="P407">
        <v>0</v>
      </c>
      <c r="Q407">
        <v>0</v>
      </c>
      <c r="R407">
        <v>0</v>
      </c>
      <c r="S407">
        <v>0</v>
      </c>
      <c r="T407">
        <v>0</v>
      </c>
      <c r="U407">
        <v>0</v>
      </c>
      <c r="V407">
        <v>0</v>
      </c>
      <c r="W407">
        <v>0</v>
      </c>
      <c r="X407">
        <v>0</v>
      </c>
      <c r="Y407">
        <v>0</v>
      </c>
      <c r="Z407">
        <v>0</v>
      </c>
      <c r="AA407">
        <v>0</v>
      </c>
      <c r="AB407">
        <v>0</v>
      </c>
    </row>
    <row r="408" spans="1:28">
      <c r="A408">
        <v>0</v>
      </c>
      <c r="B408">
        <v>0</v>
      </c>
      <c r="C408">
        <v>0</v>
      </c>
      <c r="D408">
        <v>0</v>
      </c>
      <c r="E408">
        <v>0</v>
      </c>
      <c r="F408">
        <v>0</v>
      </c>
      <c r="G408">
        <v>0</v>
      </c>
      <c r="H408">
        <v>0</v>
      </c>
      <c r="I408">
        <v>0</v>
      </c>
      <c r="J408">
        <v>0</v>
      </c>
      <c r="K408">
        <v>0</v>
      </c>
      <c r="L408">
        <v>0</v>
      </c>
      <c r="M408">
        <v>0</v>
      </c>
      <c r="N408">
        <v>0</v>
      </c>
      <c r="O408">
        <v>0</v>
      </c>
      <c r="P408">
        <v>0</v>
      </c>
      <c r="Q408">
        <v>0</v>
      </c>
      <c r="R408">
        <v>0</v>
      </c>
      <c r="S408">
        <v>0</v>
      </c>
      <c r="T408">
        <v>0</v>
      </c>
      <c r="U408">
        <v>0</v>
      </c>
      <c r="V408">
        <v>0</v>
      </c>
      <c r="W408">
        <v>0</v>
      </c>
      <c r="X408">
        <v>0</v>
      </c>
      <c r="Y408">
        <v>0</v>
      </c>
      <c r="Z408">
        <v>0</v>
      </c>
      <c r="AA408">
        <v>0</v>
      </c>
      <c r="AB408">
        <v>0</v>
      </c>
    </row>
    <row r="409" spans="1:28">
      <c r="A409">
        <v>0</v>
      </c>
      <c r="B409">
        <v>0</v>
      </c>
      <c r="C409">
        <v>0</v>
      </c>
      <c r="D409">
        <v>0</v>
      </c>
      <c r="E409">
        <v>0</v>
      </c>
      <c r="F409">
        <v>0</v>
      </c>
      <c r="G409">
        <v>0</v>
      </c>
      <c r="H409">
        <v>0</v>
      </c>
      <c r="I409">
        <v>0</v>
      </c>
      <c r="J409">
        <v>0</v>
      </c>
      <c r="K409">
        <v>0</v>
      </c>
      <c r="L409">
        <v>0</v>
      </c>
      <c r="M409">
        <v>0</v>
      </c>
      <c r="N409">
        <v>0</v>
      </c>
      <c r="O409">
        <v>0</v>
      </c>
      <c r="P409">
        <v>0</v>
      </c>
      <c r="Q409">
        <v>0</v>
      </c>
      <c r="R409">
        <v>0</v>
      </c>
      <c r="S409">
        <v>0</v>
      </c>
      <c r="T409">
        <v>0</v>
      </c>
      <c r="U409">
        <v>0</v>
      </c>
      <c r="V409">
        <v>0</v>
      </c>
      <c r="W409">
        <v>0</v>
      </c>
      <c r="X409">
        <v>0</v>
      </c>
      <c r="Y409">
        <v>0</v>
      </c>
      <c r="Z409">
        <v>0</v>
      </c>
      <c r="AA409">
        <v>0</v>
      </c>
      <c r="AB409">
        <v>0</v>
      </c>
    </row>
    <row r="410" spans="1:28">
      <c r="A410">
        <v>0</v>
      </c>
      <c r="B410">
        <v>0</v>
      </c>
      <c r="C410">
        <v>0</v>
      </c>
      <c r="D410">
        <v>0</v>
      </c>
      <c r="E410">
        <v>0</v>
      </c>
      <c r="F410">
        <v>0</v>
      </c>
      <c r="G410">
        <v>0</v>
      </c>
      <c r="H410">
        <v>0</v>
      </c>
      <c r="I410">
        <v>0</v>
      </c>
      <c r="J410">
        <v>0</v>
      </c>
      <c r="K410">
        <v>0</v>
      </c>
      <c r="L410">
        <v>0</v>
      </c>
      <c r="M410">
        <v>0</v>
      </c>
      <c r="N410">
        <v>0</v>
      </c>
      <c r="O410">
        <v>0</v>
      </c>
      <c r="P410">
        <v>0</v>
      </c>
      <c r="Q410">
        <v>0</v>
      </c>
      <c r="R410">
        <v>0</v>
      </c>
      <c r="S410">
        <v>0</v>
      </c>
      <c r="T410">
        <v>0</v>
      </c>
      <c r="U410">
        <v>0</v>
      </c>
      <c r="V410">
        <v>0</v>
      </c>
      <c r="W410">
        <v>0</v>
      </c>
      <c r="X410">
        <v>0</v>
      </c>
      <c r="Y410">
        <v>0</v>
      </c>
      <c r="Z410">
        <v>0</v>
      </c>
      <c r="AA410">
        <v>0</v>
      </c>
      <c r="AB410">
        <v>0</v>
      </c>
    </row>
    <row r="411" spans="1:28">
      <c r="A411">
        <v>0</v>
      </c>
      <c r="B411">
        <v>0</v>
      </c>
      <c r="C411">
        <v>0</v>
      </c>
      <c r="D411">
        <v>0</v>
      </c>
      <c r="E411">
        <v>0</v>
      </c>
      <c r="F411">
        <v>0</v>
      </c>
      <c r="G411">
        <v>0</v>
      </c>
      <c r="H411">
        <v>0</v>
      </c>
      <c r="I411">
        <v>0</v>
      </c>
      <c r="J411">
        <v>0</v>
      </c>
      <c r="K411">
        <v>0</v>
      </c>
      <c r="L411">
        <v>0</v>
      </c>
      <c r="M411">
        <v>0</v>
      </c>
      <c r="N411">
        <v>0</v>
      </c>
      <c r="O411">
        <v>0</v>
      </c>
      <c r="P411">
        <v>0</v>
      </c>
      <c r="Q411">
        <v>0</v>
      </c>
      <c r="R411">
        <v>0</v>
      </c>
      <c r="S411">
        <v>0</v>
      </c>
      <c r="T411">
        <v>0</v>
      </c>
      <c r="U411">
        <v>0</v>
      </c>
      <c r="V411">
        <v>0</v>
      </c>
      <c r="W411">
        <v>0</v>
      </c>
      <c r="X411">
        <v>0</v>
      </c>
      <c r="Y411">
        <v>0</v>
      </c>
      <c r="Z411">
        <v>0</v>
      </c>
      <c r="AA411">
        <v>0</v>
      </c>
      <c r="AB411">
        <v>0</v>
      </c>
    </row>
    <row r="412" spans="1:28">
      <c r="A412">
        <v>0</v>
      </c>
      <c r="B412">
        <v>0</v>
      </c>
      <c r="C412">
        <v>0</v>
      </c>
      <c r="D412">
        <v>0</v>
      </c>
      <c r="E412">
        <v>0</v>
      </c>
      <c r="F412">
        <v>0</v>
      </c>
      <c r="G412">
        <v>0</v>
      </c>
      <c r="H412">
        <v>0</v>
      </c>
      <c r="I412">
        <v>0</v>
      </c>
      <c r="J412">
        <v>0</v>
      </c>
      <c r="K412">
        <v>0</v>
      </c>
      <c r="L412">
        <v>0</v>
      </c>
      <c r="M412">
        <v>0</v>
      </c>
      <c r="N412">
        <v>0</v>
      </c>
      <c r="O412">
        <v>0</v>
      </c>
      <c r="P412">
        <v>0</v>
      </c>
      <c r="Q412">
        <v>0</v>
      </c>
      <c r="R412">
        <v>0</v>
      </c>
      <c r="S412">
        <v>0</v>
      </c>
      <c r="T412">
        <v>0</v>
      </c>
      <c r="U412">
        <v>0</v>
      </c>
      <c r="V412">
        <v>0</v>
      </c>
      <c r="W412">
        <v>0</v>
      </c>
      <c r="X412">
        <v>0</v>
      </c>
      <c r="Y412">
        <v>0</v>
      </c>
      <c r="Z412">
        <v>0</v>
      </c>
      <c r="AA412">
        <v>0</v>
      </c>
      <c r="AB412">
        <v>0</v>
      </c>
    </row>
    <row r="413" spans="1:28">
      <c r="A413">
        <v>0</v>
      </c>
      <c r="B413">
        <v>0</v>
      </c>
      <c r="C413">
        <v>0</v>
      </c>
      <c r="D413">
        <v>0</v>
      </c>
      <c r="E413">
        <v>0</v>
      </c>
      <c r="F413">
        <v>0</v>
      </c>
      <c r="G413">
        <v>0</v>
      </c>
      <c r="H413">
        <v>0</v>
      </c>
      <c r="I413">
        <v>0</v>
      </c>
      <c r="J413">
        <v>0</v>
      </c>
      <c r="K413">
        <v>0</v>
      </c>
      <c r="L413">
        <v>0</v>
      </c>
      <c r="M413">
        <v>0</v>
      </c>
      <c r="N413">
        <v>0</v>
      </c>
      <c r="O413">
        <v>0</v>
      </c>
      <c r="P413">
        <v>0</v>
      </c>
      <c r="Q413">
        <v>0</v>
      </c>
      <c r="R413">
        <v>0</v>
      </c>
      <c r="S413">
        <v>0</v>
      </c>
      <c r="T413">
        <v>0</v>
      </c>
      <c r="U413">
        <v>0</v>
      </c>
      <c r="V413">
        <v>0</v>
      </c>
      <c r="W413">
        <v>0</v>
      </c>
      <c r="X413">
        <v>0</v>
      </c>
      <c r="Y413">
        <v>0</v>
      </c>
      <c r="Z413">
        <v>0</v>
      </c>
      <c r="AA413">
        <v>0</v>
      </c>
      <c r="AB413">
        <v>0</v>
      </c>
    </row>
    <row r="414" spans="1:28">
      <c r="A414">
        <v>0</v>
      </c>
      <c r="B414">
        <v>0</v>
      </c>
      <c r="C414">
        <v>0</v>
      </c>
      <c r="D414">
        <v>0</v>
      </c>
      <c r="E414">
        <v>0</v>
      </c>
      <c r="F414">
        <v>0</v>
      </c>
      <c r="G414">
        <v>0</v>
      </c>
      <c r="H414">
        <v>0</v>
      </c>
      <c r="I414">
        <v>0</v>
      </c>
      <c r="J414">
        <v>0</v>
      </c>
      <c r="K414">
        <v>0</v>
      </c>
      <c r="L414">
        <v>0</v>
      </c>
      <c r="M414">
        <v>0</v>
      </c>
      <c r="N414">
        <v>0</v>
      </c>
      <c r="O414">
        <v>0</v>
      </c>
      <c r="P414">
        <v>0</v>
      </c>
      <c r="Q414">
        <v>0</v>
      </c>
      <c r="R414">
        <v>0</v>
      </c>
      <c r="S414">
        <v>0</v>
      </c>
      <c r="T414">
        <v>0</v>
      </c>
      <c r="U414">
        <v>0</v>
      </c>
      <c r="V414">
        <v>0</v>
      </c>
      <c r="W414">
        <v>0</v>
      </c>
      <c r="X414">
        <v>0</v>
      </c>
      <c r="Y414">
        <v>0</v>
      </c>
      <c r="Z414">
        <v>0</v>
      </c>
      <c r="AA414">
        <v>0</v>
      </c>
      <c r="AB414">
        <v>0</v>
      </c>
    </row>
    <row r="415" spans="1:28">
      <c r="A415">
        <v>0</v>
      </c>
      <c r="B415">
        <v>0</v>
      </c>
      <c r="C415">
        <v>0</v>
      </c>
      <c r="D415">
        <v>0</v>
      </c>
      <c r="E415">
        <v>0</v>
      </c>
      <c r="F415">
        <v>0</v>
      </c>
      <c r="G415">
        <v>0</v>
      </c>
      <c r="H415">
        <v>0</v>
      </c>
      <c r="I415">
        <v>0</v>
      </c>
      <c r="J415">
        <v>0</v>
      </c>
      <c r="K415">
        <v>0</v>
      </c>
      <c r="L415">
        <v>0</v>
      </c>
      <c r="M415">
        <v>0</v>
      </c>
      <c r="N415">
        <v>0</v>
      </c>
      <c r="O415">
        <v>0</v>
      </c>
      <c r="P415">
        <v>0</v>
      </c>
      <c r="Q415">
        <v>0</v>
      </c>
      <c r="R415">
        <v>0</v>
      </c>
      <c r="S415">
        <v>0</v>
      </c>
      <c r="T415">
        <v>0</v>
      </c>
      <c r="U415">
        <v>0</v>
      </c>
      <c r="V415">
        <v>0</v>
      </c>
      <c r="W415">
        <v>0</v>
      </c>
      <c r="X415">
        <v>0</v>
      </c>
      <c r="Y415">
        <v>0</v>
      </c>
      <c r="Z415">
        <v>0</v>
      </c>
      <c r="AA415">
        <v>0</v>
      </c>
      <c r="AB415">
        <v>0</v>
      </c>
    </row>
    <row r="416" spans="1:28">
      <c r="A416">
        <v>0</v>
      </c>
      <c r="B416">
        <v>0</v>
      </c>
      <c r="C416">
        <v>0</v>
      </c>
      <c r="D416">
        <v>0</v>
      </c>
      <c r="E416">
        <v>0</v>
      </c>
      <c r="F416">
        <v>0</v>
      </c>
      <c r="G416">
        <v>0</v>
      </c>
      <c r="H416">
        <v>0</v>
      </c>
      <c r="I416">
        <v>0</v>
      </c>
      <c r="J416">
        <v>0</v>
      </c>
      <c r="K416">
        <v>0</v>
      </c>
      <c r="L416">
        <v>0</v>
      </c>
      <c r="M416">
        <v>0</v>
      </c>
      <c r="N416">
        <v>0</v>
      </c>
      <c r="O416">
        <v>0</v>
      </c>
      <c r="P416">
        <v>0</v>
      </c>
      <c r="Q416">
        <v>0</v>
      </c>
      <c r="R416">
        <v>0</v>
      </c>
      <c r="S416">
        <v>0</v>
      </c>
      <c r="T416">
        <v>0</v>
      </c>
      <c r="U416">
        <v>0</v>
      </c>
      <c r="V416">
        <v>0</v>
      </c>
      <c r="W416">
        <v>0</v>
      </c>
      <c r="X416">
        <v>0</v>
      </c>
      <c r="Y416">
        <v>0</v>
      </c>
      <c r="Z416">
        <v>0</v>
      </c>
      <c r="AA416">
        <v>0</v>
      </c>
      <c r="AB416">
        <v>0</v>
      </c>
    </row>
    <row r="417" spans="1:28">
      <c r="A417">
        <v>0</v>
      </c>
      <c r="B417">
        <v>0</v>
      </c>
      <c r="C417">
        <v>0</v>
      </c>
      <c r="D417">
        <v>0</v>
      </c>
      <c r="E417">
        <v>0</v>
      </c>
      <c r="F417">
        <v>0</v>
      </c>
      <c r="G417">
        <v>0</v>
      </c>
      <c r="H417">
        <v>0</v>
      </c>
      <c r="I417">
        <v>0</v>
      </c>
      <c r="J417">
        <v>0</v>
      </c>
      <c r="K417">
        <v>0</v>
      </c>
      <c r="L417">
        <v>0</v>
      </c>
      <c r="M417">
        <v>0</v>
      </c>
      <c r="N417">
        <v>0</v>
      </c>
      <c r="O417">
        <v>0</v>
      </c>
      <c r="P417">
        <v>0</v>
      </c>
      <c r="Q417">
        <v>0</v>
      </c>
      <c r="R417">
        <v>0</v>
      </c>
      <c r="S417">
        <v>0</v>
      </c>
      <c r="T417">
        <v>0</v>
      </c>
      <c r="U417">
        <v>0</v>
      </c>
      <c r="V417">
        <v>0</v>
      </c>
      <c r="W417">
        <v>0</v>
      </c>
      <c r="X417">
        <v>0</v>
      </c>
      <c r="Y417">
        <v>0</v>
      </c>
      <c r="Z417">
        <v>0</v>
      </c>
      <c r="AA417">
        <v>0</v>
      </c>
      <c r="AB417">
        <v>0</v>
      </c>
    </row>
    <row r="418" spans="1:28">
      <c r="A418">
        <v>0</v>
      </c>
      <c r="B418">
        <v>0</v>
      </c>
      <c r="C418">
        <v>0</v>
      </c>
      <c r="D418">
        <v>0</v>
      </c>
      <c r="E418">
        <v>0</v>
      </c>
      <c r="F418">
        <v>0</v>
      </c>
      <c r="G418">
        <v>0</v>
      </c>
      <c r="H418">
        <v>0</v>
      </c>
      <c r="I418">
        <v>0</v>
      </c>
      <c r="J418">
        <v>0</v>
      </c>
      <c r="K418">
        <v>0</v>
      </c>
      <c r="L418">
        <v>0</v>
      </c>
      <c r="M418">
        <v>0</v>
      </c>
      <c r="N418">
        <v>0</v>
      </c>
      <c r="O418">
        <v>0</v>
      </c>
      <c r="P418">
        <v>0</v>
      </c>
      <c r="Q418">
        <v>0</v>
      </c>
      <c r="R418">
        <v>0</v>
      </c>
      <c r="S418">
        <v>0</v>
      </c>
      <c r="T418">
        <v>0</v>
      </c>
      <c r="U418">
        <v>0</v>
      </c>
      <c r="V418">
        <v>0</v>
      </c>
      <c r="W418">
        <v>0</v>
      </c>
      <c r="X418">
        <v>0</v>
      </c>
      <c r="Y418">
        <v>0</v>
      </c>
      <c r="Z418">
        <v>0</v>
      </c>
      <c r="AA418">
        <v>0</v>
      </c>
      <c r="AB418">
        <v>0</v>
      </c>
    </row>
    <row r="419" spans="1:28">
      <c r="A419">
        <v>0</v>
      </c>
      <c r="B419">
        <v>0</v>
      </c>
      <c r="C419">
        <v>0</v>
      </c>
      <c r="D419">
        <v>0</v>
      </c>
      <c r="E419">
        <v>0</v>
      </c>
      <c r="F419">
        <v>0</v>
      </c>
      <c r="G419">
        <v>0</v>
      </c>
      <c r="H419">
        <v>0</v>
      </c>
      <c r="I419">
        <v>0</v>
      </c>
      <c r="J419">
        <v>0</v>
      </c>
      <c r="K419">
        <v>0</v>
      </c>
      <c r="L419">
        <v>0</v>
      </c>
      <c r="M419">
        <v>0</v>
      </c>
      <c r="N419">
        <v>0</v>
      </c>
      <c r="O419">
        <v>0</v>
      </c>
      <c r="P419">
        <v>0</v>
      </c>
      <c r="Q419">
        <v>0</v>
      </c>
      <c r="R419">
        <v>0</v>
      </c>
      <c r="S419">
        <v>0</v>
      </c>
      <c r="T419">
        <v>0</v>
      </c>
      <c r="U419">
        <v>0</v>
      </c>
      <c r="V419">
        <v>0</v>
      </c>
      <c r="W419">
        <v>0</v>
      </c>
      <c r="X419">
        <v>0</v>
      </c>
      <c r="Y419">
        <v>0</v>
      </c>
      <c r="Z419">
        <v>0</v>
      </c>
      <c r="AA419">
        <v>0</v>
      </c>
      <c r="AB419">
        <v>0</v>
      </c>
    </row>
    <row r="420" spans="1:28">
      <c r="A420">
        <v>0</v>
      </c>
      <c r="B420">
        <v>0</v>
      </c>
      <c r="C420">
        <v>0</v>
      </c>
      <c r="D420">
        <v>0</v>
      </c>
      <c r="E420">
        <v>0</v>
      </c>
      <c r="F420">
        <v>0</v>
      </c>
      <c r="G420">
        <v>0</v>
      </c>
      <c r="H420">
        <v>0</v>
      </c>
      <c r="I420">
        <v>0</v>
      </c>
      <c r="J420">
        <v>0</v>
      </c>
      <c r="K420">
        <v>0</v>
      </c>
      <c r="L420">
        <v>0</v>
      </c>
      <c r="M420">
        <v>0</v>
      </c>
      <c r="N420">
        <v>0</v>
      </c>
      <c r="O420">
        <v>0</v>
      </c>
      <c r="P420">
        <v>0</v>
      </c>
      <c r="Q420">
        <v>0</v>
      </c>
      <c r="R420">
        <v>0</v>
      </c>
      <c r="S420">
        <v>0</v>
      </c>
      <c r="T420">
        <v>0</v>
      </c>
      <c r="U420">
        <v>0</v>
      </c>
      <c r="V420">
        <v>0</v>
      </c>
      <c r="W420">
        <v>0</v>
      </c>
      <c r="X420">
        <v>0</v>
      </c>
      <c r="Y420">
        <v>0</v>
      </c>
      <c r="Z420">
        <v>0</v>
      </c>
      <c r="AA420">
        <v>0</v>
      </c>
      <c r="AB420">
        <v>0</v>
      </c>
    </row>
    <row r="421" spans="1:28">
      <c r="A421">
        <v>0</v>
      </c>
      <c r="B421">
        <v>0</v>
      </c>
      <c r="C421">
        <v>0</v>
      </c>
      <c r="D421">
        <v>0</v>
      </c>
      <c r="E421">
        <v>0</v>
      </c>
      <c r="F421">
        <v>0</v>
      </c>
      <c r="G421">
        <v>0</v>
      </c>
      <c r="H421">
        <v>0</v>
      </c>
      <c r="I421">
        <v>0</v>
      </c>
      <c r="J421">
        <v>0</v>
      </c>
      <c r="K421">
        <v>0</v>
      </c>
      <c r="L421">
        <v>0</v>
      </c>
      <c r="M421">
        <v>0</v>
      </c>
      <c r="N421">
        <v>0</v>
      </c>
      <c r="O421">
        <v>0</v>
      </c>
      <c r="P421">
        <v>0</v>
      </c>
      <c r="Q421">
        <v>0</v>
      </c>
      <c r="R421">
        <v>0</v>
      </c>
      <c r="S421">
        <v>0</v>
      </c>
      <c r="T421">
        <v>0</v>
      </c>
      <c r="U421">
        <v>0</v>
      </c>
      <c r="V421">
        <v>0</v>
      </c>
      <c r="W421">
        <v>0</v>
      </c>
      <c r="X421">
        <v>0</v>
      </c>
      <c r="Y421">
        <v>0</v>
      </c>
      <c r="Z421">
        <v>0</v>
      </c>
      <c r="AA421">
        <v>0</v>
      </c>
      <c r="AB421">
        <v>0</v>
      </c>
    </row>
    <row r="422" spans="1:28">
      <c r="A422">
        <v>0</v>
      </c>
      <c r="B422">
        <v>0</v>
      </c>
      <c r="C422">
        <v>0</v>
      </c>
      <c r="D422">
        <v>0</v>
      </c>
      <c r="E422">
        <v>0</v>
      </c>
      <c r="F422">
        <v>0</v>
      </c>
      <c r="G422">
        <v>0</v>
      </c>
      <c r="H422">
        <v>0</v>
      </c>
      <c r="I422">
        <v>0</v>
      </c>
      <c r="J422">
        <v>0</v>
      </c>
      <c r="K422">
        <v>0</v>
      </c>
      <c r="L422">
        <v>0</v>
      </c>
      <c r="M422">
        <v>0</v>
      </c>
      <c r="N422">
        <v>0</v>
      </c>
      <c r="O422">
        <v>0</v>
      </c>
      <c r="P422">
        <v>0</v>
      </c>
      <c r="Q422">
        <v>0</v>
      </c>
      <c r="R422">
        <v>0</v>
      </c>
      <c r="S422">
        <v>0</v>
      </c>
      <c r="T422">
        <v>0</v>
      </c>
      <c r="U422">
        <v>0</v>
      </c>
      <c r="V422">
        <v>0</v>
      </c>
      <c r="W422">
        <v>0</v>
      </c>
      <c r="X422">
        <v>0</v>
      </c>
      <c r="Y422">
        <v>0</v>
      </c>
      <c r="Z422">
        <v>0</v>
      </c>
      <c r="AA422">
        <v>0</v>
      </c>
      <c r="AB422">
        <v>0</v>
      </c>
    </row>
    <row r="423" spans="1:28">
      <c r="A423">
        <v>0</v>
      </c>
      <c r="B423">
        <v>0</v>
      </c>
      <c r="C423">
        <v>0</v>
      </c>
      <c r="D423">
        <v>0</v>
      </c>
      <c r="E423">
        <v>0</v>
      </c>
      <c r="F423">
        <v>0</v>
      </c>
      <c r="G423">
        <v>0</v>
      </c>
      <c r="H423">
        <v>0</v>
      </c>
      <c r="I423">
        <v>0</v>
      </c>
      <c r="J423">
        <v>0</v>
      </c>
      <c r="K423">
        <v>0</v>
      </c>
      <c r="L423">
        <v>0</v>
      </c>
      <c r="M423">
        <v>0</v>
      </c>
      <c r="N423">
        <v>0</v>
      </c>
      <c r="O423">
        <v>0</v>
      </c>
      <c r="P423">
        <v>0</v>
      </c>
      <c r="Q423">
        <v>0</v>
      </c>
      <c r="R423">
        <v>0</v>
      </c>
      <c r="S423">
        <v>0</v>
      </c>
      <c r="T423">
        <v>0</v>
      </c>
      <c r="U423">
        <v>0</v>
      </c>
      <c r="V423">
        <v>0</v>
      </c>
      <c r="W423">
        <v>0</v>
      </c>
      <c r="X423">
        <v>0</v>
      </c>
      <c r="Y423">
        <v>0</v>
      </c>
      <c r="Z423">
        <v>0</v>
      </c>
      <c r="AA423">
        <v>0</v>
      </c>
      <c r="AB423">
        <v>0</v>
      </c>
    </row>
    <row r="424" spans="1:28">
      <c r="A424">
        <v>0</v>
      </c>
      <c r="B424">
        <v>0</v>
      </c>
      <c r="C424">
        <v>0</v>
      </c>
      <c r="D424">
        <v>0</v>
      </c>
      <c r="E424">
        <v>0</v>
      </c>
      <c r="F424">
        <v>0</v>
      </c>
      <c r="G424">
        <v>0</v>
      </c>
      <c r="H424">
        <v>0</v>
      </c>
      <c r="I424">
        <v>0</v>
      </c>
      <c r="J424">
        <v>0</v>
      </c>
      <c r="K424">
        <v>0</v>
      </c>
      <c r="L424">
        <v>0</v>
      </c>
      <c r="M424">
        <v>0</v>
      </c>
      <c r="N424">
        <v>0</v>
      </c>
      <c r="O424">
        <v>0</v>
      </c>
      <c r="P424">
        <v>0</v>
      </c>
      <c r="Q424">
        <v>0</v>
      </c>
      <c r="R424">
        <v>0</v>
      </c>
      <c r="S424">
        <v>0</v>
      </c>
      <c r="T424">
        <v>0</v>
      </c>
      <c r="U424">
        <v>0</v>
      </c>
      <c r="V424">
        <v>0</v>
      </c>
      <c r="W424">
        <v>0</v>
      </c>
      <c r="X424">
        <v>0</v>
      </c>
      <c r="Y424">
        <v>0</v>
      </c>
      <c r="Z424">
        <v>0</v>
      </c>
      <c r="AA424">
        <v>0</v>
      </c>
      <c r="AB424">
        <v>0</v>
      </c>
    </row>
    <row r="425" spans="1:28">
      <c r="A425">
        <v>0</v>
      </c>
      <c r="B425">
        <v>0</v>
      </c>
      <c r="C425">
        <v>0</v>
      </c>
      <c r="D425">
        <v>0</v>
      </c>
      <c r="E425">
        <v>0</v>
      </c>
      <c r="F425">
        <v>0</v>
      </c>
      <c r="G425">
        <v>0</v>
      </c>
      <c r="H425">
        <v>0</v>
      </c>
      <c r="I425">
        <v>0</v>
      </c>
      <c r="J425">
        <v>0</v>
      </c>
      <c r="K425">
        <v>0</v>
      </c>
      <c r="L425">
        <v>0</v>
      </c>
      <c r="M425">
        <v>0</v>
      </c>
      <c r="N425">
        <v>0</v>
      </c>
      <c r="O425">
        <v>0</v>
      </c>
      <c r="P425">
        <v>0</v>
      </c>
      <c r="Q425">
        <v>0</v>
      </c>
      <c r="R425">
        <v>0</v>
      </c>
      <c r="S425">
        <v>0</v>
      </c>
      <c r="T425">
        <v>0</v>
      </c>
      <c r="U425">
        <v>0</v>
      </c>
      <c r="V425">
        <v>0</v>
      </c>
      <c r="W425">
        <v>0</v>
      </c>
      <c r="X425">
        <v>0</v>
      </c>
      <c r="Y425">
        <v>0</v>
      </c>
      <c r="Z425">
        <v>0</v>
      </c>
      <c r="AA425">
        <v>0</v>
      </c>
      <c r="AB425">
        <v>0</v>
      </c>
    </row>
    <row r="426" spans="1:28">
      <c r="A426">
        <v>0</v>
      </c>
      <c r="B426">
        <v>0</v>
      </c>
      <c r="C426">
        <v>0</v>
      </c>
      <c r="D426">
        <v>0</v>
      </c>
      <c r="E426">
        <v>0</v>
      </c>
      <c r="F426">
        <v>0</v>
      </c>
      <c r="G426">
        <v>0</v>
      </c>
      <c r="H426">
        <v>0</v>
      </c>
      <c r="I426">
        <v>0</v>
      </c>
      <c r="J426">
        <v>0</v>
      </c>
      <c r="K426">
        <v>0</v>
      </c>
      <c r="L426">
        <v>0</v>
      </c>
      <c r="M426">
        <v>0</v>
      </c>
      <c r="N426">
        <v>0</v>
      </c>
      <c r="O426">
        <v>0</v>
      </c>
      <c r="P426">
        <v>0</v>
      </c>
      <c r="Q426">
        <v>0</v>
      </c>
      <c r="R426">
        <v>0</v>
      </c>
      <c r="S426">
        <v>0</v>
      </c>
      <c r="T426">
        <v>0</v>
      </c>
      <c r="U426">
        <v>0</v>
      </c>
      <c r="V426">
        <v>0</v>
      </c>
      <c r="W426">
        <v>0</v>
      </c>
      <c r="X426">
        <v>0</v>
      </c>
      <c r="Y426">
        <v>0</v>
      </c>
      <c r="Z426">
        <v>0</v>
      </c>
      <c r="AA426">
        <v>0</v>
      </c>
      <c r="AB426">
        <v>0</v>
      </c>
    </row>
    <row r="427" spans="1:28">
      <c r="A427">
        <v>0</v>
      </c>
      <c r="B427">
        <v>0</v>
      </c>
      <c r="C427">
        <v>0</v>
      </c>
      <c r="D427">
        <v>0</v>
      </c>
      <c r="E427">
        <v>0</v>
      </c>
      <c r="F427">
        <v>0</v>
      </c>
      <c r="G427">
        <v>0</v>
      </c>
      <c r="H427">
        <v>0</v>
      </c>
      <c r="I427">
        <v>0</v>
      </c>
      <c r="J427">
        <v>0</v>
      </c>
      <c r="K427">
        <v>0</v>
      </c>
      <c r="L427">
        <v>0</v>
      </c>
      <c r="M427">
        <v>0</v>
      </c>
      <c r="N427">
        <v>0</v>
      </c>
      <c r="O427">
        <v>0</v>
      </c>
      <c r="P427">
        <v>0</v>
      </c>
      <c r="Q427">
        <v>0</v>
      </c>
      <c r="R427">
        <v>0</v>
      </c>
      <c r="S427">
        <v>0</v>
      </c>
      <c r="T427">
        <v>0</v>
      </c>
      <c r="U427">
        <v>0</v>
      </c>
      <c r="V427">
        <v>0</v>
      </c>
      <c r="W427">
        <v>0</v>
      </c>
      <c r="X427">
        <v>0</v>
      </c>
      <c r="Y427">
        <v>0</v>
      </c>
      <c r="Z427">
        <v>0</v>
      </c>
      <c r="AA427">
        <v>0</v>
      </c>
      <c r="AB427">
        <v>0</v>
      </c>
    </row>
    <row r="428" spans="1:28">
      <c r="A428">
        <v>0</v>
      </c>
      <c r="B428">
        <v>0</v>
      </c>
      <c r="C428">
        <v>0</v>
      </c>
      <c r="D428">
        <v>0</v>
      </c>
      <c r="E428">
        <v>0</v>
      </c>
      <c r="F428">
        <v>0</v>
      </c>
      <c r="G428">
        <v>0</v>
      </c>
      <c r="H428">
        <v>0</v>
      </c>
      <c r="I428">
        <v>0</v>
      </c>
      <c r="J428">
        <v>0</v>
      </c>
      <c r="K428">
        <v>0</v>
      </c>
      <c r="L428">
        <v>0</v>
      </c>
      <c r="M428">
        <v>0</v>
      </c>
      <c r="N428">
        <v>0</v>
      </c>
      <c r="O428">
        <v>0</v>
      </c>
      <c r="P428">
        <v>0</v>
      </c>
      <c r="Q428">
        <v>0</v>
      </c>
      <c r="R428">
        <v>0</v>
      </c>
      <c r="S428">
        <v>0</v>
      </c>
      <c r="T428">
        <v>0</v>
      </c>
      <c r="U428">
        <v>0</v>
      </c>
      <c r="V428">
        <v>0</v>
      </c>
      <c r="W428">
        <v>0</v>
      </c>
      <c r="X428">
        <v>0</v>
      </c>
      <c r="Y428">
        <v>0</v>
      </c>
      <c r="Z428">
        <v>0</v>
      </c>
      <c r="AA428">
        <v>0</v>
      </c>
      <c r="AB428">
        <v>0</v>
      </c>
    </row>
    <row r="429" spans="1:28">
      <c r="A429">
        <v>0</v>
      </c>
      <c r="B429">
        <v>0</v>
      </c>
      <c r="C429">
        <v>0</v>
      </c>
      <c r="D429">
        <v>0</v>
      </c>
      <c r="E429">
        <v>0</v>
      </c>
      <c r="F429">
        <v>0</v>
      </c>
      <c r="G429">
        <v>0</v>
      </c>
      <c r="H429">
        <v>0</v>
      </c>
      <c r="I429">
        <v>0</v>
      </c>
      <c r="J429">
        <v>0</v>
      </c>
      <c r="K429">
        <v>0</v>
      </c>
      <c r="L429">
        <v>0</v>
      </c>
      <c r="M429">
        <v>0</v>
      </c>
      <c r="N429">
        <v>0</v>
      </c>
      <c r="O429">
        <v>0</v>
      </c>
      <c r="P429">
        <v>0</v>
      </c>
      <c r="Q429">
        <v>0</v>
      </c>
      <c r="R429">
        <v>0</v>
      </c>
      <c r="S429">
        <v>0</v>
      </c>
      <c r="T429">
        <v>0</v>
      </c>
      <c r="U429">
        <v>0</v>
      </c>
      <c r="V429">
        <v>0</v>
      </c>
      <c r="W429">
        <v>0</v>
      </c>
      <c r="X429">
        <v>0</v>
      </c>
      <c r="Y429">
        <v>0</v>
      </c>
      <c r="Z429">
        <v>0</v>
      </c>
      <c r="AA429">
        <v>0</v>
      </c>
      <c r="AB429">
        <v>0</v>
      </c>
    </row>
    <row r="430" spans="1:28">
      <c r="A430">
        <v>0</v>
      </c>
      <c r="B430">
        <v>0</v>
      </c>
      <c r="C430">
        <v>0</v>
      </c>
      <c r="D430">
        <v>0</v>
      </c>
      <c r="E430">
        <v>0</v>
      </c>
      <c r="F430">
        <v>0</v>
      </c>
      <c r="G430">
        <v>0</v>
      </c>
      <c r="H430">
        <v>0</v>
      </c>
      <c r="I430">
        <v>0</v>
      </c>
      <c r="J430">
        <v>0</v>
      </c>
      <c r="K430">
        <v>0</v>
      </c>
      <c r="L430">
        <v>0</v>
      </c>
      <c r="M430">
        <v>0</v>
      </c>
      <c r="N430">
        <v>0</v>
      </c>
      <c r="O430">
        <v>0</v>
      </c>
      <c r="P430">
        <v>0</v>
      </c>
      <c r="Q430">
        <v>0</v>
      </c>
      <c r="R430">
        <v>0</v>
      </c>
      <c r="S430">
        <v>0</v>
      </c>
      <c r="T430">
        <v>0</v>
      </c>
      <c r="U430">
        <v>0</v>
      </c>
      <c r="V430">
        <v>0</v>
      </c>
      <c r="W430">
        <v>0</v>
      </c>
      <c r="X430">
        <v>0</v>
      </c>
      <c r="Y430">
        <v>0</v>
      </c>
      <c r="Z430">
        <v>0</v>
      </c>
      <c r="AA430">
        <v>0</v>
      </c>
      <c r="AB430">
        <v>0</v>
      </c>
    </row>
    <row r="431" spans="1:28">
      <c r="A431">
        <v>0</v>
      </c>
      <c r="B431">
        <v>0</v>
      </c>
      <c r="C431">
        <v>0</v>
      </c>
      <c r="D431">
        <v>0</v>
      </c>
      <c r="E431">
        <v>0</v>
      </c>
      <c r="F431">
        <v>0</v>
      </c>
      <c r="G431">
        <v>0</v>
      </c>
      <c r="H431">
        <v>0</v>
      </c>
      <c r="I431">
        <v>0</v>
      </c>
      <c r="J431">
        <v>0</v>
      </c>
      <c r="K431">
        <v>0</v>
      </c>
      <c r="L431">
        <v>0</v>
      </c>
      <c r="M431">
        <v>0</v>
      </c>
      <c r="N431">
        <v>0</v>
      </c>
      <c r="O431">
        <v>0</v>
      </c>
      <c r="P431">
        <v>0</v>
      </c>
      <c r="Q431">
        <v>0</v>
      </c>
      <c r="R431">
        <v>0</v>
      </c>
      <c r="S431">
        <v>0</v>
      </c>
      <c r="T431">
        <v>0</v>
      </c>
      <c r="U431">
        <v>0</v>
      </c>
      <c r="V431">
        <v>0</v>
      </c>
      <c r="W431">
        <v>0</v>
      </c>
      <c r="X431">
        <v>0</v>
      </c>
      <c r="Y431">
        <v>0</v>
      </c>
      <c r="Z431">
        <v>0</v>
      </c>
      <c r="AA431">
        <v>0</v>
      </c>
      <c r="AB431">
        <v>0</v>
      </c>
    </row>
    <row r="432" spans="1:28">
      <c r="A432">
        <v>0</v>
      </c>
      <c r="B432">
        <v>0</v>
      </c>
      <c r="C432">
        <v>0</v>
      </c>
      <c r="D432">
        <v>0</v>
      </c>
      <c r="E432">
        <v>0</v>
      </c>
      <c r="F432">
        <v>0</v>
      </c>
      <c r="G432">
        <v>0</v>
      </c>
      <c r="H432">
        <v>0</v>
      </c>
      <c r="I432">
        <v>0</v>
      </c>
      <c r="J432">
        <v>0</v>
      </c>
      <c r="K432">
        <v>0</v>
      </c>
      <c r="L432">
        <v>0</v>
      </c>
      <c r="M432">
        <v>0</v>
      </c>
      <c r="N432">
        <v>0</v>
      </c>
      <c r="O432">
        <v>0</v>
      </c>
      <c r="P432">
        <v>0</v>
      </c>
      <c r="Q432">
        <v>0</v>
      </c>
      <c r="R432">
        <v>0</v>
      </c>
      <c r="S432">
        <v>0</v>
      </c>
      <c r="T432">
        <v>0</v>
      </c>
      <c r="U432">
        <v>0</v>
      </c>
      <c r="V432">
        <v>0</v>
      </c>
      <c r="W432">
        <v>0</v>
      </c>
      <c r="X432">
        <v>0</v>
      </c>
      <c r="Y432">
        <v>0</v>
      </c>
      <c r="Z432">
        <v>0</v>
      </c>
      <c r="AA432">
        <v>0</v>
      </c>
      <c r="AB432">
        <v>0</v>
      </c>
    </row>
    <row r="433" spans="1:28">
      <c r="A433">
        <v>0</v>
      </c>
      <c r="B433">
        <v>0</v>
      </c>
      <c r="C433">
        <v>0</v>
      </c>
      <c r="D433">
        <v>0</v>
      </c>
      <c r="E433">
        <v>0</v>
      </c>
      <c r="F433">
        <v>0</v>
      </c>
      <c r="G433">
        <v>0</v>
      </c>
      <c r="H433">
        <v>0</v>
      </c>
      <c r="I433">
        <v>0</v>
      </c>
      <c r="J433">
        <v>0</v>
      </c>
      <c r="K433">
        <v>0</v>
      </c>
      <c r="L433">
        <v>0</v>
      </c>
      <c r="M433">
        <v>0</v>
      </c>
      <c r="N433">
        <v>0</v>
      </c>
      <c r="O433">
        <v>0</v>
      </c>
      <c r="P433">
        <v>0</v>
      </c>
      <c r="Q433">
        <v>0</v>
      </c>
      <c r="R433">
        <v>0</v>
      </c>
      <c r="S433">
        <v>0</v>
      </c>
      <c r="T433">
        <v>0</v>
      </c>
      <c r="U433">
        <v>0</v>
      </c>
      <c r="V433">
        <v>0</v>
      </c>
      <c r="W433">
        <v>0</v>
      </c>
      <c r="X433">
        <v>0</v>
      </c>
      <c r="Y433">
        <v>0</v>
      </c>
      <c r="Z433">
        <v>0</v>
      </c>
      <c r="AA433">
        <v>0</v>
      </c>
      <c r="AB433">
        <v>0</v>
      </c>
    </row>
    <row r="434" spans="1:28">
      <c r="A434">
        <v>0</v>
      </c>
      <c r="B434">
        <v>0</v>
      </c>
      <c r="C434">
        <v>0</v>
      </c>
      <c r="D434">
        <v>0</v>
      </c>
      <c r="E434">
        <v>0</v>
      </c>
      <c r="F434">
        <v>0</v>
      </c>
      <c r="G434">
        <v>0</v>
      </c>
      <c r="H434">
        <v>0</v>
      </c>
      <c r="I434">
        <v>0</v>
      </c>
      <c r="J434">
        <v>0</v>
      </c>
      <c r="K434">
        <v>0</v>
      </c>
      <c r="L434">
        <v>0</v>
      </c>
      <c r="M434">
        <v>0</v>
      </c>
      <c r="N434">
        <v>0</v>
      </c>
      <c r="O434">
        <v>0</v>
      </c>
      <c r="P434">
        <v>0</v>
      </c>
      <c r="Q434">
        <v>0</v>
      </c>
      <c r="R434">
        <v>0</v>
      </c>
      <c r="S434">
        <v>0</v>
      </c>
      <c r="T434">
        <v>0</v>
      </c>
      <c r="U434">
        <v>0</v>
      </c>
      <c r="V434">
        <v>0</v>
      </c>
      <c r="W434">
        <v>0</v>
      </c>
      <c r="X434">
        <v>0</v>
      </c>
      <c r="Y434">
        <v>0</v>
      </c>
      <c r="Z434">
        <v>0</v>
      </c>
      <c r="AA434">
        <v>0</v>
      </c>
      <c r="AB434">
        <v>0</v>
      </c>
    </row>
    <row r="435" spans="1:28">
      <c r="A435">
        <v>0</v>
      </c>
      <c r="B435">
        <v>0</v>
      </c>
      <c r="C435">
        <v>0</v>
      </c>
      <c r="D435">
        <v>0</v>
      </c>
      <c r="E435">
        <v>0</v>
      </c>
      <c r="F435">
        <v>0</v>
      </c>
      <c r="G435">
        <v>0</v>
      </c>
      <c r="H435">
        <v>0</v>
      </c>
      <c r="I435">
        <v>0</v>
      </c>
      <c r="J435">
        <v>0</v>
      </c>
      <c r="K435">
        <v>0</v>
      </c>
      <c r="L435">
        <v>0</v>
      </c>
      <c r="M435">
        <v>0</v>
      </c>
      <c r="N435">
        <v>0</v>
      </c>
      <c r="O435">
        <v>0</v>
      </c>
      <c r="P435">
        <v>0</v>
      </c>
      <c r="Q435">
        <v>0</v>
      </c>
      <c r="R435">
        <v>0</v>
      </c>
      <c r="S435">
        <v>0</v>
      </c>
      <c r="T435">
        <v>0</v>
      </c>
      <c r="U435">
        <v>0</v>
      </c>
      <c r="V435">
        <v>0</v>
      </c>
      <c r="W435">
        <v>0</v>
      </c>
      <c r="X435">
        <v>0</v>
      </c>
      <c r="Y435">
        <v>0</v>
      </c>
      <c r="Z435">
        <v>0</v>
      </c>
      <c r="AA435">
        <v>0</v>
      </c>
      <c r="AB435">
        <v>0</v>
      </c>
    </row>
    <row r="436" spans="1:28">
      <c r="A436">
        <v>0</v>
      </c>
      <c r="B436">
        <v>0</v>
      </c>
      <c r="C436">
        <v>0</v>
      </c>
      <c r="D436">
        <v>0</v>
      </c>
      <c r="E436">
        <v>0</v>
      </c>
      <c r="F436">
        <v>0</v>
      </c>
      <c r="G436">
        <v>0</v>
      </c>
      <c r="H436">
        <v>0</v>
      </c>
      <c r="I436">
        <v>0</v>
      </c>
      <c r="J436">
        <v>0</v>
      </c>
      <c r="K436">
        <v>0</v>
      </c>
      <c r="L436">
        <v>0</v>
      </c>
      <c r="M436">
        <v>0</v>
      </c>
      <c r="N436">
        <v>0</v>
      </c>
      <c r="O436">
        <v>0</v>
      </c>
      <c r="P436">
        <v>0</v>
      </c>
      <c r="Q436">
        <v>0</v>
      </c>
      <c r="R436">
        <v>0</v>
      </c>
      <c r="S436">
        <v>0</v>
      </c>
      <c r="T436">
        <v>0</v>
      </c>
      <c r="U436">
        <v>0</v>
      </c>
      <c r="V436">
        <v>0</v>
      </c>
      <c r="W436">
        <v>0</v>
      </c>
      <c r="X436">
        <v>0</v>
      </c>
      <c r="Y436">
        <v>0</v>
      </c>
      <c r="Z436">
        <v>0</v>
      </c>
      <c r="AA436">
        <v>0</v>
      </c>
      <c r="AB436">
        <v>0</v>
      </c>
    </row>
    <row r="437" spans="1:28">
      <c r="A437">
        <v>0</v>
      </c>
      <c r="B437">
        <v>0</v>
      </c>
      <c r="C437">
        <v>0</v>
      </c>
      <c r="D437">
        <v>0</v>
      </c>
      <c r="E437">
        <v>0</v>
      </c>
      <c r="F437">
        <v>0</v>
      </c>
      <c r="G437">
        <v>0</v>
      </c>
      <c r="H437">
        <v>0</v>
      </c>
      <c r="I437">
        <v>0</v>
      </c>
      <c r="J437">
        <v>0</v>
      </c>
      <c r="K437">
        <v>0</v>
      </c>
      <c r="L437">
        <v>0</v>
      </c>
      <c r="M437">
        <v>0</v>
      </c>
      <c r="N437">
        <v>0</v>
      </c>
      <c r="O437">
        <v>0</v>
      </c>
      <c r="P437">
        <v>0</v>
      </c>
      <c r="Q437">
        <v>0</v>
      </c>
      <c r="R437">
        <v>0</v>
      </c>
      <c r="S437">
        <v>0</v>
      </c>
      <c r="T437">
        <v>0</v>
      </c>
      <c r="U437">
        <v>0</v>
      </c>
      <c r="V437">
        <v>0</v>
      </c>
      <c r="W437">
        <v>0</v>
      </c>
      <c r="X437">
        <v>0</v>
      </c>
      <c r="Y437">
        <v>0</v>
      </c>
      <c r="Z437">
        <v>0</v>
      </c>
      <c r="AA437">
        <v>0</v>
      </c>
      <c r="AB437">
        <v>0</v>
      </c>
    </row>
    <row r="438" spans="1:28">
      <c r="A438">
        <v>0</v>
      </c>
      <c r="B438">
        <v>0</v>
      </c>
      <c r="C438">
        <v>0</v>
      </c>
      <c r="D438">
        <v>0</v>
      </c>
      <c r="E438">
        <v>0</v>
      </c>
      <c r="F438">
        <v>0</v>
      </c>
      <c r="G438">
        <v>0</v>
      </c>
      <c r="H438">
        <v>0</v>
      </c>
      <c r="I438">
        <v>0</v>
      </c>
      <c r="J438">
        <v>0</v>
      </c>
      <c r="K438">
        <v>0</v>
      </c>
      <c r="L438">
        <v>0</v>
      </c>
      <c r="M438">
        <v>0</v>
      </c>
      <c r="N438">
        <v>0</v>
      </c>
      <c r="O438">
        <v>0</v>
      </c>
      <c r="P438">
        <v>0</v>
      </c>
      <c r="Q438">
        <v>0</v>
      </c>
      <c r="R438">
        <v>0</v>
      </c>
      <c r="S438">
        <v>0</v>
      </c>
      <c r="T438">
        <v>0</v>
      </c>
      <c r="U438">
        <v>0</v>
      </c>
      <c r="V438">
        <v>0</v>
      </c>
      <c r="W438">
        <v>0</v>
      </c>
      <c r="X438">
        <v>0</v>
      </c>
      <c r="Y438">
        <v>0</v>
      </c>
      <c r="Z438">
        <v>0</v>
      </c>
      <c r="AA438">
        <v>0</v>
      </c>
      <c r="AB438">
        <v>0</v>
      </c>
    </row>
    <row r="439" spans="1:28">
      <c r="A439">
        <v>0</v>
      </c>
      <c r="B439">
        <v>0</v>
      </c>
      <c r="C439">
        <v>0</v>
      </c>
      <c r="D439">
        <v>0</v>
      </c>
      <c r="E439">
        <v>0</v>
      </c>
      <c r="F439">
        <v>0</v>
      </c>
      <c r="G439">
        <v>0</v>
      </c>
      <c r="H439">
        <v>0</v>
      </c>
      <c r="I439">
        <v>0</v>
      </c>
      <c r="J439">
        <v>0</v>
      </c>
      <c r="K439">
        <v>0</v>
      </c>
      <c r="L439">
        <v>0</v>
      </c>
      <c r="M439">
        <v>0</v>
      </c>
      <c r="N439">
        <v>0</v>
      </c>
      <c r="O439">
        <v>0</v>
      </c>
      <c r="P439">
        <v>0</v>
      </c>
      <c r="Q439">
        <v>0</v>
      </c>
      <c r="R439">
        <v>0</v>
      </c>
      <c r="S439">
        <v>0</v>
      </c>
      <c r="T439">
        <v>0</v>
      </c>
      <c r="U439">
        <v>0</v>
      </c>
      <c r="V439">
        <v>0</v>
      </c>
      <c r="W439">
        <v>0</v>
      </c>
      <c r="X439">
        <v>0</v>
      </c>
      <c r="Y439">
        <v>0</v>
      </c>
      <c r="Z439">
        <v>0</v>
      </c>
      <c r="AA439">
        <v>0</v>
      </c>
      <c r="AB439">
        <v>0</v>
      </c>
    </row>
    <row r="440" spans="1:28">
      <c r="A440">
        <v>0</v>
      </c>
      <c r="B440">
        <v>0</v>
      </c>
      <c r="C440">
        <v>0</v>
      </c>
      <c r="D440">
        <v>0</v>
      </c>
      <c r="E440">
        <v>0</v>
      </c>
      <c r="F440">
        <v>0</v>
      </c>
      <c r="G440">
        <v>0</v>
      </c>
      <c r="H440">
        <v>0</v>
      </c>
      <c r="I440">
        <v>0</v>
      </c>
      <c r="J440">
        <v>0</v>
      </c>
      <c r="K440">
        <v>0</v>
      </c>
      <c r="L440">
        <v>0</v>
      </c>
      <c r="M440">
        <v>0</v>
      </c>
      <c r="N440">
        <v>0</v>
      </c>
      <c r="O440">
        <v>0</v>
      </c>
      <c r="P440">
        <v>0</v>
      </c>
      <c r="Q440">
        <v>0</v>
      </c>
      <c r="R440">
        <v>0</v>
      </c>
      <c r="S440">
        <v>0</v>
      </c>
      <c r="T440">
        <v>0</v>
      </c>
      <c r="U440">
        <v>0</v>
      </c>
      <c r="V440">
        <v>0</v>
      </c>
      <c r="W440">
        <v>0</v>
      </c>
      <c r="X440">
        <v>0</v>
      </c>
      <c r="Y440">
        <v>0</v>
      </c>
      <c r="Z440">
        <v>0</v>
      </c>
      <c r="AA440">
        <v>0</v>
      </c>
      <c r="AB440">
        <v>0</v>
      </c>
    </row>
    <row r="441" spans="1:28">
      <c r="A441">
        <v>0</v>
      </c>
      <c r="B441">
        <v>0</v>
      </c>
      <c r="C441">
        <v>0</v>
      </c>
      <c r="D441">
        <v>0</v>
      </c>
      <c r="E441">
        <v>0</v>
      </c>
      <c r="F441">
        <v>0</v>
      </c>
      <c r="G441">
        <v>0</v>
      </c>
      <c r="H441">
        <v>0</v>
      </c>
      <c r="I441">
        <v>0</v>
      </c>
      <c r="J441">
        <v>0</v>
      </c>
      <c r="K441">
        <v>0</v>
      </c>
      <c r="L441">
        <v>0</v>
      </c>
      <c r="M441">
        <v>0</v>
      </c>
      <c r="N441">
        <v>0</v>
      </c>
      <c r="O441">
        <v>0</v>
      </c>
      <c r="P441">
        <v>0</v>
      </c>
      <c r="Q441">
        <v>0</v>
      </c>
      <c r="R441">
        <v>0</v>
      </c>
      <c r="S441">
        <v>0</v>
      </c>
      <c r="T441">
        <v>0</v>
      </c>
      <c r="U441">
        <v>0</v>
      </c>
      <c r="V441">
        <v>0</v>
      </c>
      <c r="W441">
        <v>0</v>
      </c>
      <c r="X441">
        <v>0</v>
      </c>
      <c r="Y441">
        <v>0</v>
      </c>
      <c r="Z441">
        <v>0</v>
      </c>
      <c r="AA441">
        <v>0</v>
      </c>
      <c r="AB441">
        <v>0</v>
      </c>
    </row>
    <row r="442" spans="1:28">
      <c r="A442">
        <v>0</v>
      </c>
      <c r="B442">
        <v>0</v>
      </c>
      <c r="C442">
        <v>0</v>
      </c>
      <c r="D442">
        <v>0</v>
      </c>
      <c r="E442">
        <v>0</v>
      </c>
      <c r="F442">
        <v>0</v>
      </c>
      <c r="G442">
        <v>0</v>
      </c>
      <c r="H442">
        <v>0</v>
      </c>
      <c r="I442">
        <v>0</v>
      </c>
      <c r="J442">
        <v>0</v>
      </c>
      <c r="K442">
        <v>0</v>
      </c>
      <c r="L442">
        <v>0</v>
      </c>
      <c r="M442">
        <v>0</v>
      </c>
      <c r="N442">
        <v>0</v>
      </c>
      <c r="O442">
        <v>0</v>
      </c>
      <c r="P442">
        <v>0</v>
      </c>
      <c r="Q442">
        <v>0</v>
      </c>
      <c r="R442">
        <v>0</v>
      </c>
      <c r="S442">
        <v>0</v>
      </c>
      <c r="T442">
        <v>0</v>
      </c>
      <c r="U442">
        <v>0</v>
      </c>
      <c r="V442">
        <v>0</v>
      </c>
      <c r="W442">
        <v>0</v>
      </c>
      <c r="X442">
        <v>0</v>
      </c>
      <c r="Y442">
        <v>0</v>
      </c>
      <c r="Z442">
        <v>0</v>
      </c>
      <c r="AA442">
        <v>0</v>
      </c>
      <c r="AB442">
        <v>0</v>
      </c>
    </row>
    <row r="443" spans="1:28">
      <c r="A443">
        <v>0</v>
      </c>
      <c r="B443">
        <v>0</v>
      </c>
      <c r="C443">
        <v>0</v>
      </c>
      <c r="D443">
        <v>0</v>
      </c>
      <c r="E443">
        <v>0</v>
      </c>
      <c r="F443">
        <v>0</v>
      </c>
      <c r="G443">
        <v>0</v>
      </c>
      <c r="H443">
        <v>0</v>
      </c>
      <c r="I443">
        <v>0</v>
      </c>
      <c r="J443">
        <v>0</v>
      </c>
      <c r="K443">
        <v>0</v>
      </c>
      <c r="L443">
        <v>0</v>
      </c>
      <c r="M443">
        <v>0</v>
      </c>
      <c r="N443">
        <v>0</v>
      </c>
      <c r="O443">
        <v>0</v>
      </c>
      <c r="P443">
        <v>0</v>
      </c>
      <c r="Q443">
        <v>0</v>
      </c>
      <c r="R443">
        <v>0</v>
      </c>
      <c r="S443">
        <v>0</v>
      </c>
      <c r="T443">
        <v>0</v>
      </c>
      <c r="U443">
        <v>0</v>
      </c>
      <c r="V443">
        <v>0</v>
      </c>
      <c r="W443">
        <v>0</v>
      </c>
      <c r="X443">
        <v>0</v>
      </c>
      <c r="Y443">
        <v>0</v>
      </c>
      <c r="Z443">
        <v>0</v>
      </c>
      <c r="AA443">
        <v>0</v>
      </c>
      <c r="AB443">
        <v>0</v>
      </c>
    </row>
    <row r="444" spans="1:28">
      <c r="A444">
        <v>0</v>
      </c>
      <c r="B444">
        <v>0</v>
      </c>
      <c r="C444">
        <v>0</v>
      </c>
      <c r="D444">
        <v>0</v>
      </c>
      <c r="E444">
        <v>0</v>
      </c>
      <c r="F444">
        <v>0</v>
      </c>
      <c r="G444">
        <v>0</v>
      </c>
      <c r="H444">
        <v>0</v>
      </c>
      <c r="I444">
        <v>0</v>
      </c>
      <c r="J444">
        <v>0</v>
      </c>
      <c r="K444">
        <v>0</v>
      </c>
      <c r="L444">
        <v>0</v>
      </c>
      <c r="M444">
        <v>0</v>
      </c>
      <c r="N444">
        <v>0</v>
      </c>
      <c r="O444">
        <v>0</v>
      </c>
      <c r="P444">
        <v>0</v>
      </c>
      <c r="Q444">
        <v>0</v>
      </c>
      <c r="R444">
        <v>0</v>
      </c>
      <c r="S444">
        <v>0</v>
      </c>
      <c r="T444">
        <v>0</v>
      </c>
      <c r="U444">
        <v>0</v>
      </c>
      <c r="V444">
        <v>0</v>
      </c>
      <c r="W444">
        <v>0</v>
      </c>
      <c r="X444">
        <v>0</v>
      </c>
      <c r="Y444">
        <v>0</v>
      </c>
      <c r="Z444">
        <v>0</v>
      </c>
      <c r="AA444">
        <v>0</v>
      </c>
      <c r="AB444">
        <v>0</v>
      </c>
    </row>
    <row r="445" spans="1:28">
      <c r="A445">
        <v>0</v>
      </c>
      <c r="B445">
        <v>0</v>
      </c>
      <c r="C445">
        <v>0</v>
      </c>
      <c r="D445">
        <v>0</v>
      </c>
      <c r="E445">
        <v>0</v>
      </c>
      <c r="F445">
        <v>0</v>
      </c>
      <c r="G445">
        <v>0</v>
      </c>
      <c r="H445">
        <v>0</v>
      </c>
      <c r="I445">
        <v>0</v>
      </c>
      <c r="J445">
        <v>0</v>
      </c>
      <c r="K445">
        <v>0</v>
      </c>
      <c r="L445">
        <v>0</v>
      </c>
      <c r="M445">
        <v>0</v>
      </c>
      <c r="N445">
        <v>0</v>
      </c>
      <c r="O445">
        <v>0</v>
      </c>
      <c r="P445">
        <v>0</v>
      </c>
      <c r="Q445">
        <v>0</v>
      </c>
      <c r="R445">
        <v>0</v>
      </c>
      <c r="S445">
        <v>0</v>
      </c>
      <c r="T445">
        <v>0</v>
      </c>
      <c r="U445">
        <v>0</v>
      </c>
      <c r="V445">
        <v>0</v>
      </c>
      <c r="W445">
        <v>0</v>
      </c>
      <c r="X445">
        <v>0</v>
      </c>
      <c r="Y445">
        <v>0</v>
      </c>
      <c r="Z445">
        <v>0</v>
      </c>
      <c r="AA445">
        <v>0</v>
      </c>
      <c r="AB445">
        <v>0</v>
      </c>
    </row>
    <row r="446" spans="1:28">
      <c r="A446">
        <v>0</v>
      </c>
      <c r="B446">
        <v>0</v>
      </c>
      <c r="C446">
        <v>0</v>
      </c>
      <c r="D446">
        <v>0</v>
      </c>
      <c r="E446">
        <v>0</v>
      </c>
      <c r="F446">
        <v>0</v>
      </c>
      <c r="G446">
        <v>0</v>
      </c>
      <c r="H446">
        <v>0</v>
      </c>
      <c r="I446">
        <v>0</v>
      </c>
      <c r="J446">
        <v>0</v>
      </c>
      <c r="K446">
        <v>0</v>
      </c>
      <c r="L446">
        <v>0</v>
      </c>
      <c r="M446">
        <v>0</v>
      </c>
      <c r="N446">
        <v>0</v>
      </c>
      <c r="O446">
        <v>0</v>
      </c>
      <c r="P446">
        <v>0</v>
      </c>
      <c r="Q446">
        <v>0</v>
      </c>
      <c r="R446">
        <v>0</v>
      </c>
      <c r="S446">
        <v>0</v>
      </c>
      <c r="T446">
        <v>0</v>
      </c>
      <c r="U446">
        <v>0</v>
      </c>
      <c r="V446">
        <v>0</v>
      </c>
      <c r="W446">
        <v>0</v>
      </c>
      <c r="X446">
        <v>0</v>
      </c>
      <c r="Y446">
        <v>0</v>
      </c>
      <c r="Z446">
        <v>0</v>
      </c>
      <c r="AA446">
        <v>0</v>
      </c>
      <c r="AB446">
        <v>0</v>
      </c>
    </row>
    <row r="447" spans="1:28">
      <c r="A447">
        <v>0</v>
      </c>
      <c r="B447">
        <v>0</v>
      </c>
      <c r="C447">
        <v>0</v>
      </c>
      <c r="D447">
        <v>0</v>
      </c>
      <c r="E447">
        <v>0</v>
      </c>
      <c r="F447">
        <v>0</v>
      </c>
      <c r="G447">
        <v>0</v>
      </c>
      <c r="H447">
        <v>0</v>
      </c>
      <c r="I447">
        <v>0</v>
      </c>
      <c r="J447">
        <v>0</v>
      </c>
      <c r="K447">
        <v>0</v>
      </c>
      <c r="L447">
        <v>0</v>
      </c>
      <c r="M447">
        <v>0</v>
      </c>
      <c r="N447">
        <v>0</v>
      </c>
      <c r="O447">
        <v>0</v>
      </c>
      <c r="P447">
        <v>0</v>
      </c>
      <c r="Q447">
        <v>0</v>
      </c>
      <c r="R447">
        <v>0</v>
      </c>
      <c r="S447">
        <v>0</v>
      </c>
      <c r="T447">
        <v>0</v>
      </c>
      <c r="U447">
        <v>0</v>
      </c>
      <c r="V447">
        <v>0</v>
      </c>
      <c r="W447">
        <v>0</v>
      </c>
      <c r="X447">
        <v>0</v>
      </c>
      <c r="Y447">
        <v>0</v>
      </c>
      <c r="Z447">
        <v>0</v>
      </c>
      <c r="AA447">
        <v>0</v>
      </c>
      <c r="AB447">
        <v>0</v>
      </c>
    </row>
    <row r="448" spans="1:28">
      <c r="A448">
        <v>0</v>
      </c>
      <c r="B448">
        <v>0</v>
      </c>
      <c r="C448">
        <v>0</v>
      </c>
      <c r="D448">
        <v>0</v>
      </c>
      <c r="E448">
        <v>0</v>
      </c>
      <c r="F448">
        <v>0</v>
      </c>
      <c r="G448">
        <v>0</v>
      </c>
      <c r="H448">
        <v>0</v>
      </c>
      <c r="I448">
        <v>0</v>
      </c>
      <c r="J448">
        <v>0</v>
      </c>
      <c r="K448">
        <v>0</v>
      </c>
      <c r="L448">
        <v>0</v>
      </c>
      <c r="M448">
        <v>0</v>
      </c>
      <c r="N448">
        <v>0</v>
      </c>
      <c r="O448">
        <v>0</v>
      </c>
      <c r="P448">
        <v>0</v>
      </c>
      <c r="Q448">
        <v>0</v>
      </c>
      <c r="R448">
        <v>0</v>
      </c>
      <c r="S448">
        <v>0</v>
      </c>
      <c r="T448">
        <v>0</v>
      </c>
      <c r="U448">
        <v>0</v>
      </c>
      <c r="V448">
        <v>0</v>
      </c>
      <c r="W448">
        <v>0</v>
      </c>
      <c r="X448">
        <v>0</v>
      </c>
      <c r="Y448">
        <v>0</v>
      </c>
      <c r="Z448">
        <v>0</v>
      </c>
      <c r="AA448">
        <v>0</v>
      </c>
      <c r="AB448">
        <v>0</v>
      </c>
    </row>
    <row r="449" spans="1:28">
      <c r="A449">
        <v>0</v>
      </c>
      <c r="B449">
        <v>0</v>
      </c>
      <c r="C449">
        <v>0</v>
      </c>
      <c r="D449">
        <v>0</v>
      </c>
      <c r="E449">
        <v>0</v>
      </c>
      <c r="F449">
        <v>0</v>
      </c>
      <c r="G449">
        <v>0</v>
      </c>
      <c r="H449">
        <v>0</v>
      </c>
      <c r="I449">
        <v>0</v>
      </c>
      <c r="J449">
        <v>0</v>
      </c>
      <c r="K449">
        <v>0</v>
      </c>
      <c r="L449">
        <v>0</v>
      </c>
      <c r="M449">
        <v>0</v>
      </c>
      <c r="N449">
        <v>0</v>
      </c>
      <c r="O449">
        <v>0</v>
      </c>
      <c r="P449">
        <v>0</v>
      </c>
      <c r="Q449">
        <v>0</v>
      </c>
      <c r="R449">
        <v>0</v>
      </c>
      <c r="S449">
        <v>0</v>
      </c>
      <c r="T449">
        <v>0</v>
      </c>
      <c r="U449">
        <v>0</v>
      </c>
      <c r="V449">
        <v>0</v>
      </c>
      <c r="W449">
        <v>0</v>
      </c>
      <c r="X449">
        <v>0</v>
      </c>
      <c r="Y449">
        <v>0</v>
      </c>
      <c r="Z449">
        <v>0</v>
      </c>
      <c r="AA449">
        <v>0</v>
      </c>
      <c r="AB449">
        <v>0</v>
      </c>
    </row>
    <row r="450" spans="1:28">
      <c r="A450">
        <v>0</v>
      </c>
      <c r="B450">
        <v>0</v>
      </c>
      <c r="C450">
        <v>0</v>
      </c>
      <c r="D450">
        <v>0</v>
      </c>
      <c r="E450">
        <v>0</v>
      </c>
      <c r="F450">
        <v>0</v>
      </c>
      <c r="G450">
        <v>0</v>
      </c>
      <c r="H450">
        <v>0</v>
      </c>
      <c r="I450">
        <v>0</v>
      </c>
      <c r="J450">
        <v>0</v>
      </c>
      <c r="K450">
        <v>0</v>
      </c>
      <c r="L450">
        <v>0</v>
      </c>
      <c r="M450">
        <v>0</v>
      </c>
      <c r="N450">
        <v>0</v>
      </c>
      <c r="O450">
        <v>0</v>
      </c>
      <c r="P450">
        <v>0</v>
      </c>
      <c r="Q450">
        <v>0</v>
      </c>
      <c r="R450">
        <v>0</v>
      </c>
      <c r="S450">
        <v>0</v>
      </c>
      <c r="T450">
        <v>0</v>
      </c>
      <c r="U450">
        <v>0</v>
      </c>
      <c r="V450">
        <v>0</v>
      </c>
      <c r="W450">
        <v>0</v>
      </c>
      <c r="X450">
        <v>0</v>
      </c>
      <c r="Y450">
        <v>0</v>
      </c>
      <c r="Z450">
        <v>0</v>
      </c>
      <c r="AA450">
        <v>0</v>
      </c>
      <c r="AB450">
        <v>0</v>
      </c>
    </row>
    <row r="451" spans="1:28">
      <c r="A451">
        <v>0</v>
      </c>
      <c r="B451">
        <v>0</v>
      </c>
      <c r="C451">
        <v>0</v>
      </c>
      <c r="D451">
        <v>0</v>
      </c>
      <c r="E451">
        <v>0</v>
      </c>
      <c r="F451">
        <v>0</v>
      </c>
      <c r="G451">
        <v>0</v>
      </c>
      <c r="H451">
        <v>0</v>
      </c>
      <c r="I451">
        <v>0</v>
      </c>
      <c r="J451">
        <v>0</v>
      </c>
      <c r="K451">
        <v>0</v>
      </c>
      <c r="L451">
        <v>0</v>
      </c>
      <c r="M451">
        <v>0</v>
      </c>
      <c r="N451">
        <v>0</v>
      </c>
      <c r="O451">
        <v>0</v>
      </c>
      <c r="P451">
        <v>0</v>
      </c>
      <c r="Q451">
        <v>0</v>
      </c>
      <c r="R451">
        <v>0</v>
      </c>
      <c r="S451">
        <v>0</v>
      </c>
      <c r="T451">
        <v>0</v>
      </c>
      <c r="U451">
        <v>0</v>
      </c>
      <c r="V451">
        <v>0</v>
      </c>
      <c r="W451">
        <v>0</v>
      </c>
      <c r="X451">
        <v>0</v>
      </c>
      <c r="Y451">
        <v>0</v>
      </c>
      <c r="Z451">
        <v>0</v>
      </c>
      <c r="AA451">
        <v>0</v>
      </c>
      <c r="AB451">
        <v>0</v>
      </c>
    </row>
    <row r="452" spans="1:28">
      <c r="A452">
        <v>0</v>
      </c>
      <c r="B452">
        <v>0</v>
      </c>
      <c r="C452">
        <v>0</v>
      </c>
      <c r="D452">
        <v>0</v>
      </c>
      <c r="E452">
        <v>0</v>
      </c>
      <c r="F452">
        <v>0</v>
      </c>
      <c r="G452">
        <v>0</v>
      </c>
      <c r="H452">
        <v>0</v>
      </c>
      <c r="I452">
        <v>0</v>
      </c>
      <c r="J452">
        <v>0</v>
      </c>
      <c r="K452">
        <v>0</v>
      </c>
      <c r="L452">
        <v>0</v>
      </c>
      <c r="M452">
        <v>0</v>
      </c>
      <c r="N452">
        <v>0</v>
      </c>
      <c r="O452">
        <v>0</v>
      </c>
      <c r="P452">
        <v>0</v>
      </c>
      <c r="Q452">
        <v>0</v>
      </c>
      <c r="R452">
        <v>0</v>
      </c>
      <c r="S452">
        <v>0</v>
      </c>
      <c r="T452">
        <v>0</v>
      </c>
      <c r="U452">
        <v>0</v>
      </c>
      <c r="V452">
        <v>0</v>
      </c>
      <c r="W452">
        <v>0</v>
      </c>
      <c r="X452">
        <v>0</v>
      </c>
      <c r="Y452">
        <v>0</v>
      </c>
      <c r="Z452">
        <v>0</v>
      </c>
      <c r="AA452">
        <v>0</v>
      </c>
      <c r="AB452">
        <v>0</v>
      </c>
    </row>
    <row r="453" spans="1:28">
      <c r="A453">
        <v>0</v>
      </c>
      <c r="B453">
        <v>0</v>
      </c>
      <c r="C453">
        <v>0</v>
      </c>
      <c r="D453">
        <v>0</v>
      </c>
      <c r="E453">
        <v>0</v>
      </c>
      <c r="F453">
        <v>0</v>
      </c>
      <c r="G453">
        <v>0</v>
      </c>
      <c r="H453">
        <v>0</v>
      </c>
      <c r="I453">
        <v>0</v>
      </c>
      <c r="J453">
        <v>0</v>
      </c>
      <c r="K453">
        <v>0</v>
      </c>
      <c r="L453">
        <v>0</v>
      </c>
      <c r="M453">
        <v>0</v>
      </c>
      <c r="N453">
        <v>0</v>
      </c>
      <c r="O453">
        <v>0</v>
      </c>
      <c r="P453">
        <v>0</v>
      </c>
      <c r="Q453">
        <v>0</v>
      </c>
      <c r="R453">
        <v>0</v>
      </c>
      <c r="S453">
        <v>0</v>
      </c>
      <c r="T453">
        <v>0</v>
      </c>
      <c r="U453">
        <v>0</v>
      </c>
      <c r="V453">
        <v>0</v>
      </c>
      <c r="W453">
        <v>0</v>
      </c>
      <c r="X453">
        <v>0</v>
      </c>
      <c r="Y453">
        <v>0</v>
      </c>
      <c r="Z453">
        <v>0</v>
      </c>
      <c r="AA453">
        <v>0</v>
      </c>
      <c r="AB453">
        <v>0</v>
      </c>
    </row>
    <row r="454" spans="1:28">
      <c r="A454">
        <v>0</v>
      </c>
      <c r="B454">
        <v>0</v>
      </c>
      <c r="C454">
        <v>0</v>
      </c>
      <c r="D454">
        <v>0</v>
      </c>
      <c r="E454">
        <v>0</v>
      </c>
      <c r="F454">
        <v>0</v>
      </c>
      <c r="G454">
        <v>0</v>
      </c>
      <c r="H454">
        <v>0</v>
      </c>
      <c r="I454">
        <v>0</v>
      </c>
      <c r="J454">
        <v>0</v>
      </c>
      <c r="K454">
        <v>0</v>
      </c>
      <c r="L454">
        <v>0</v>
      </c>
      <c r="M454">
        <v>0</v>
      </c>
      <c r="N454">
        <v>0</v>
      </c>
      <c r="O454">
        <v>0</v>
      </c>
      <c r="P454">
        <v>0</v>
      </c>
      <c r="Q454">
        <v>0</v>
      </c>
      <c r="R454">
        <v>0</v>
      </c>
      <c r="S454">
        <v>0</v>
      </c>
      <c r="T454">
        <v>0</v>
      </c>
      <c r="U454">
        <v>0</v>
      </c>
      <c r="V454">
        <v>0</v>
      </c>
      <c r="W454">
        <v>0</v>
      </c>
      <c r="X454">
        <v>0</v>
      </c>
      <c r="Y454">
        <v>0</v>
      </c>
      <c r="Z454">
        <v>0</v>
      </c>
      <c r="AA454">
        <v>0</v>
      </c>
      <c r="AB454">
        <v>0</v>
      </c>
    </row>
    <row r="455" spans="1:28">
      <c r="A455">
        <v>0</v>
      </c>
      <c r="B455">
        <v>0</v>
      </c>
      <c r="C455">
        <v>0</v>
      </c>
      <c r="D455">
        <v>0</v>
      </c>
      <c r="E455">
        <v>0</v>
      </c>
      <c r="F455">
        <v>0</v>
      </c>
      <c r="G455">
        <v>0</v>
      </c>
      <c r="H455">
        <v>0</v>
      </c>
      <c r="I455">
        <v>0</v>
      </c>
      <c r="J455">
        <v>0</v>
      </c>
      <c r="K455">
        <v>0</v>
      </c>
      <c r="L455">
        <v>0</v>
      </c>
      <c r="M455">
        <v>0</v>
      </c>
      <c r="N455">
        <v>0</v>
      </c>
      <c r="O455">
        <v>0</v>
      </c>
      <c r="P455">
        <v>0</v>
      </c>
      <c r="Q455">
        <v>0</v>
      </c>
      <c r="R455">
        <v>0</v>
      </c>
      <c r="S455">
        <v>0</v>
      </c>
      <c r="T455">
        <v>0</v>
      </c>
      <c r="U455">
        <v>0</v>
      </c>
      <c r="V455">
        <v>0</v>
      </c>
      <c r="W455">
        <v>0</v>
      </c>
      <c r="X455">
        <v>0</v>
      </c>
      <c r="Y455">
        <v>0</v>
      </c>
      <c r="Z455">
        <v>0</v>
      </c>
      <c r="AA455">
        <v>0</v>
      </c>
      <c r="AB455">
        <v>0</v>
      </c>
    </row>
    <row r="456" spans="1:28">
      <c r="A456">
        <v>0</v>
      </c>
      <c r="B456">
        <v>0</v>
      </c>
      <c r="C456">
        <v>0</v>
      </c>
      <c r="D456">
        <v>0</v>
      </c>
      <c r="E456">
        <v>0</v>
      </c>
      <c r="F456">
        <v>0</v>
      </c>
      <c r="G456">
        <v>0</v>
      </c>
      <c r="H456">
        <v>0</v>
      </c>
      <c r="I456">
        <v>0</v>
      </c>
      <c r="J456">
        <v>0</v>
      </c>
      <c r="K456">
        <v>0</v>
      </c>
      <c r="L456">
        <v>0</v>
      </c>
      <c r="M456">
        <v>0</v>
      </c>
      <c r="N456">
        <v>0</v>
      </c>
      <c r="O456">
        <v>0</v>
      </c>
      <c r="P456">
        <v>0</v>
      </c>
      <c r="Q456">
        <v>0</v>
      </c>
      <c r="R456">
        <v>0</v>
      </c>
      <c r="S456">
        <v>0</v>
      </c>
      <c r="T456">
        <v>0</v>
      </c>
      <c r="U456">
        <v>0</v>
      </c>
      <c r="V456">
        <v>0</v>
      </c>
      <c r="W456">
        <v>0</v>
      </c>
      <c r="X456">
        <v>0</v>
      </c>
      <c r="Y456">
        <v>0</v>
      </c>
      <c r="Z456">
        <v>0</v>
      </c>
      <c r="AA456">
        <v>0</v>
      </c>
      <c r="AB456">
        <v>0</v>
      </c>
    </row>
    <row r="457" spans="1:28">
      <c r="A457">
        <v>0</v>
      </c>
      <c r="B457">
        <v>0</v>
      </c>
      <c r="C457">
        <v>0</v>
      </c>
      <c r="D457">
        <v>0</v>
      </c>
      <c r="E457">
        <v>0</v>
      </c>
      <c r="F457">
        <v>0</v>
      </c>
      <c r="G457">
        <v>0</v>
      </c>
      <c r="H457">
        <v>0</v>
      </c>
      <c r="I457">
        <v>0</v>
      </c>
      <c r="J457">
        <v>0</v>
      </c>
      <c r="K457">
        <v>0</v>
      </c>
      <c r="L457">
        <v>0</v>
      </c>
      <c r="M457">
        <v>0</v>
      </c>
      <c r="N457">
        <v>0</v>
      </c>
      <c r="O457">
        <v>0</v>
      </c>
      <c r="P457">
        <v>0</v>
      </c>
      <c r="Q457">
        <v>0</v>
      </c>
      <c r="R457">
        <v>0</v>
      </c>
      <c r="S457">
        <v>0</v>
      </c>
      <c r="T457">
        <v>0</v>
      </c>
      <c r="U457">
        <v>0</v>
      </c>
      <c r="V457">
        <v>0</v>
      </c>
      <c r="W457">
        <v>0</v>
      </c>
      <c r="X457">
        <v>0</v>
      </c>
      <c r="Y457">
        <v>0</v>
      </c>
      <c r="Z457">
        <v>0</v>
      </c>
      <c r="AA457">
        <v>0</v>
      </c>
      <c r="AB457">
        <v>0</v>
      </c>
    </row>
    <row r="458" spans="1:28">
      <c r="A458">
        <v>0</v>
      </c>
      <c r="B458">
        <v>0</v>
      </c>
      <c r="C458">
        <v>0</v>
      </c>
      <c r="D458">
        <v>0</v>
      </c>
      <c r="E458">
        <v>0</v>
      </c>
      <c r="F458">
        <v>0</v>
      </c>
      <c r="G458">
        <v>0</v>
      </c>
      <c r="H458">
        <v>0</v>
      </c>
      <c r="I458">
        <v>0</v>
      </c>
      <c r="J458">
        <v>0</v>
      </c>
      <c r="K458">
        <v>0</v>
      </c>
      <c r="L458">
        <v>0</v>
      </c>
      <c r="M458">
        <v>0</v>
      </c>
      <c r="N458">
        <v>0</v>
      </c>
      <c r="O458">
        <v>0</v>
      </c>
      <c r="P458">
        <v>0</v>
      </c>
      <c r="Q458">
        <v>0</v>
      </c>
      <c r="R458">
        <v>0</v>
      </c>
      <c r="S458">
        <v>0</v>
      </c>
      <c r="T458">
        <v>0</v>
      </c>
      <c r="U458">
        <v>0</v>
      </c>
      <c r="V458">
        <v>0</v>
      </c>
      <c r="W458">
        <v>0</v>
      </c>
      <c r="X458">
        <v>0</v>
      </c>
      <c r="Y458">
        <v>0</v>
      </c>
      <c r="Z458">
        <v>0</v>
      </c>
      <c r="AA458">
        <v>0</v>
      </c>
      <c r="AB458">
        <v>0</v>
      </c>
    </row>
    <row r="459" spans="1:28">
      <c r="A459">
        <v>0</v>
      </c>
      <c r="B459">
        <v>0</v>
      </c>
      <c r="C459">
        <v>0</v>
      </c>
      <c r="D459">
        <v>0</v>
      </c>
      <c r="E459">
        <v>0</v>
      </c>
      <c r="F459">
        <v>0</v>
      </c>
      <c r="G459">
        <v>0</v>
      </c>
      <c r="H459">
        <v>0</v>
      </c>
      <c r="I459">
        <v>0</v>
      </c>
      <c r="J459">
        <v>0</v>
      </c>
      <c r="K459">
        <v>0</v>
      </c>
      <c r="L459">
        <v>0</v>
      </c>
      <c r="M459">
        <v>0</v>
      </c>
      <c r="N459">
        <v>0</v>
      </c>
      <c r="O459">
        <v>0</v>
      </c>
      <c r="P459">
        <v>0</v>
      </c>
      <c r="Q459">
        <v>0</v>
      </c>
      <c r="R459">
        <v>0</v>
      </c>
      <c r="S459">
        <v>0</v>
      </c>
      <c r="T459">
        <v>0</v>
      </c>
      <c r="U459">
        <v>0</v>
      </c>
      <c r="V459">
        <v>0</v>
      </c>
      <c r="W459">
        <v>0</v>
      </c>
      <c r="X459">
        <v>0</v>
      </c>
      <c r="Y459">
        <v>0</v>
      </c>
      <c r="Z459">
        <v>0</v>
      </c>
      <c r="AA459">
        <v>0</v>
      </c>
      <c r="AB459">
        <v>0</v>
      </c>
    </row>
    <row r="460" spans="1:28">
      <c r="A460">
        <v>0</v>
      </c>
      <c r="B460">
        <v>0</v>
      </c>
      <c r="C460">
        <v>0</v>
      </c>
      <c r="D460">
        <v>0</v>
      </c>
      <c r="E460">
        <v>0</v>
      </c>
      <c r="F460">
        <v>0</v>
      </c>
      <c r="G460">
        <v>0</v>
      </c>
      <c r="H460">
        <v>0</v>
      </c>
      <c r="I460">
        <v>0</v>
      </c>
      <c r="J460">
        <v>0</v>
      </c>
      <c r="K460">
        <v>0</v>
      </c>
      <c r="L460">
        <v>0</v>
      </c>
      <c r="M460">
        <v>0</v>
      </c>
      <c r="N460">
        <v>0</v>
      </c>
      <c r="O460">
        <v>0</v>
      </c>
      <c r="P460">
        <v>0</v>
      </c>
      <c r="Q460">
        <v>0</v>
      </c>
      <c r="R460">
        <v>0</v>
      </c>
      <c r="S460">
        <v>0</v>
      </c>
      <c r="T460">
        <v>0</v>
      </c>
      <c r="U460">
        <v>0</v>
      </c>
      <c r="V460">
        <v>0</v>
      </c>
      <c r="W460">
        <v>0</v>
      </c>
      <c r="X460">
        <v>0</v>
      </c>
      <c r="Y460">
        <v>0</v>
      </c>
      <c r="Z460">
        <v>0</v>
      </c>
      <c r="AA460">
        <v>0</v>
      </c>
      <c r="AB460">
        <v>0</v>
      </c>
    </row>
    <row r="461" spans="1:28">
      <c r="A461">
        <v>0</v>
      </c>
      <c r="B461">
        <v>0</v>
      </c>
      <c r="C461">
        <v>0</v>
      </c>
      <c r="D461">
        <v>0</v>
      </c>
      <c r="E461">
        <v>0</v>
      </c>
      <c r="F461">
        <v>0</v>
      </c>
      <c r="G461">
        <v>0</v>
      </c>
      <c r="H461">
        <v>0</v>
      </c>
      <c r="I461">
        <v>0</v>
      </c>
      <c r="J461">
        <v>0</v>
      </c>
      <c r="K461">
        <v>0</v>
      </c>
      <c r="L461">
        <v>0</v>
      </c>
      <c r="M461">
        <v>0</v>
      </c>
      <c r="N461">
        <v>0</v>
      </c>
      <c r="O461">
        <v>0</v>
      </c>
      <c r="P461">
        <v>0</v>
      </c>
      <c r="Q461">
        <v>0</v>
      </c>
      <c r="R461">
        <v>0</v>
      </c>
      <c r="S461">
        <v>0</v>
      </c>
      <c r="T461">
        <v>0</v>
      </c>
      <c r="U461">
        <v>0</v>
      </c>
      <c r="V461">
        <v>0</v>
      </c>
      <c r="W461">
        <v>0</v>
      </c>
      <c r="X461">
        <v>0</v>
      </c>
      <c r="Y461">
        <v>0</v>
      </c>
      <c r="Z461">
        <v>0</v>
      </c>
      <c r="AA461">
        <v>0</v>
      </c>
      <c r="AB461">
        <v>0</v>
      </c>
    </row>
    <row r="462" spans="1:28">
      <c r="A462">
        <v>0</v>
      </c>
      <c r="B462">
        <v>0</v>
      </c>
      <c r="C462">
        <v>0</v>
      </c>
      <c r="D462">
        <v>0</v>
      </c>
      <c r="E462">
        <v>0</v>
      </c>
      <c r="F462">
        <v>0</v>
      </c>
      <c r="G462">
        <v>0</v>
      </c>
      <c r="H462">
        <v>0</v>
      </c>
      <c r="I462">
        <v>0</v>
      </c>
      <c r="J462">
        <v>0</v>
      </c>
      <c r="K462">
        <v>0</v>
      </c>
      <c r="L462">
        <v>0</v>
      </c>
      <c r="M462">
        <v>0</v>
      </c>
      <c r="N462">
        <v>0</v>
      </c>
      <c r="O462">
        <v>0</v>
      </c>
      <c r="P462">
        <v>0</v>
      </c>
      <c r="Q462">
        <v>0</v>
      </c>
      <c r="R462">
        <v>0</v>
      </c>
      <c r="S462">
        <v>0</v>
      </c>
      <c r="T462">
        <v>0</v>
      </c>
      <c r="U462">
        <v>0</v>
      </c>
      <c r="V462">
        <v>0</v>
      </c>
      <c r="W462">
        <v>0</v>
      </c>
      <c r="X462">
        <v>0</v>
      </c>
      <c r="Y462">
        <v>0</v>
      </c>
      <c r="Z462">
        <v>0</v>
      </c>
      <c r="AA462">
        <v>0</v>
      </c>
      <c r="AB462">
        <v>0</v>
      </c>
    </row>
    <row r="463" spans="1:28">
      <c r="A463">
        <v>0</v>
      </c>
      <c r="B463">
        <v>0</v>
      </c>
      <c r="C463">
        <v>0</v>
      </c>
      <c r="D463">
        <v>0</v>
      </c>
      <c r="E463">
        <v>0</v>
      </c>
      <c r="F463">
        <v>0</v>
      </c>
      <c r="G463">
        <v>0</v>
      </c>
      <c r="H463">
        <v>0</v>
      </c>
      <c r="I463">
        <v>0</v>
      </c>
      <c r="J463">
        <v>0</v>
      </c>
      <c r="K463">
        <v>0</v>
      </c>
      <c r="L463">
        <v>0</v>
      </c>
      <c r="M463">
        <v>0</v>
      </c>
      <c r="N463">
        <v>0</v>
      </c>
      <c r="O463">
        <v>0</v>
      </c>
      <c r="P463">
        <v>0</v>
      </c>
      <c r="Q463">
        <v>0</v>
      </c>
      <c r="R463">
        <v>0</v>
      </c>
      <c r="S463">
        <v>0</v>
      </c>
      <c r="T463">
        <v>0</v>
      </c>
      <c r="U463">
        <v>0</v>
      </c>
      <c r="V463">
        <v>0</v>
      </c>
      <c r="W463">
        <v>0</v>
      </c>
      <c r="X463">
        <v>0</v>
      </c>
      <c r="Y463">
        <v>0</v>
      </c>
      <c r="Z463">
        <v>0</v>
      </c>
      <c r="AA463">
        <v>0</v>
      </c>
      <c r="AB463">
        <v>0</v>
      </c>
    </row>
    <row r="464" spans="1:28">
      <c r="A464">
        <v>0</v>
      </c>
      <c r="B464">
        <v>0</v>
      </c>
      <c r="C464">
        <v>0</v>
      </c>
      <c r="D464">
        <v>0</v>
      </c>
      <c r="E464">
        <v>0</v>
      </c>
      <c r="F464">
        <v>0</v>
      </c>
      <c r="G464">
        <v>0</v>
      </c>
      <c r="H464">
        <v>0</v>
      </c>
      <c r="I464">
        <v>0</v>
      </c>
      <c r="J464">
        <v>0</v>
      </c>
      <c r="K464">
        <v>0</v>
      </c>
      <c r="L464">
        <v>0</v>
      </c>
      <c r="M464">
        <v>0</v>
      </c>
      <c r="N464">
        <v>0</v>
      </c>
      <c r="O464">
        <v>0</v>
      </c>
      <c r="P464">
        <v>0</v>
      </c>
      <c r="Q464">
        <v>0</v>
      </c>
      <c r="R464">
        <v>0</v>
      </c>
      <c r="S464">
        <v>0</v>
      </c>
      <c r="T464">
        <v>0</v>
      </c>
      <c r="U464">
        <v>0</v>
      </c>
      <c r="V464">
        <v>0</v>
      </c>
      <c r="W464">
        <v>0</v>
      </c>
      <c r="X464">
        <v>0</v>
      </c>
      <c r="Y464">
        <v>0</v>
      </c>
      <c r="Z464">
        <v>0</v>
      </c>
      <c r="AA464">
        <v>0</v>
      </c>
      <c r="AB464">
        <v>0</v>
      </c>
    </row>
    <row r="465" spans="1:28">
      <c r="A465">
        <v>0</v>
      </c>
      <c r="B465">
        <v>0</v>
      </c>
      <c r="C465">
        <v>0</v>
      </c>
      <c r="D465">
        <v>0</v>
      </c>
      <c r="E465">
        <v>0</v>
      </c>
      <c r="F465">
        <v>0</v>
      </c>
      <c r="G465">
        <v>0</v>
      </c>
      <c r="H465">
        <v>0</v>
      </c>
      <c r="I465">
        <v>0</v>
      </c>
      <c r="J465">
        <v>0</v>
      </c>
      <c r="K465">
        <v>0</v>
      </c>
      <c r="L465">
        <v>0</v>
      </c>
      <c r="M465">
        <v>0</v>
      </c>
      <c r="N465">
        <v>0</v>
      </c>
      <c r="O465">
        <v>0</v>
      </c>
      <c r="P465">
        <v>0</v>
      </c>
      <c r="Q465">
        <v>0</v>
      </c>
      <c r="R465">
        <v>0</v>
      </c>
      <c r="S465">
        <v>0</v>
      </c>
      <c r="T465">
        <v>0</v>
      </c>
      <c r="U465">
        <v>0</v>
      </c>
      <c r="V465">
        <v>0</v>
      </c>
      <c r="W465">
        <v>0</v>
      </c>
      <c r="X465">
        <v>0</v>
      </c>
      <c r="Y465">
        <v>0</v>
      </c>
      <c r="Z465">
        <v>0</v>
      </c>
      <c r="AA465">
        <v>0</v>
      </c>
      <c r="AB465">
        <v>0</v>
      </c>
    </row>
    <row r="466" spans="1:28">
      <c r="A466">
        <v>0</v>
      </c>
      <c r="B466">
        <v>0</v>
      </c>
      <c r="C466">
        <v>0</v>
      </c>
      <c r="D466">
        <v>0</v>
      </c>
      <c r="E466">
        <v>0</v>
      </c>
      <c r="F466">
        <v>0</v>
      </c>
      <c r="G466">
        <v>0</v>
      </c>
      <c r="H466">
        <v>0</v>
      </c>
      <c r="I466">
        <v>0</v>
      </c>
      <c r="J466">
        <v>0</v>
      </c>
      <c r="K466">
        <v>0</v>
      </c>
      <c r="L466">
        <v>0</v>
      </c>
      <c r="M466">
        <v>0</v>
      </c>
      <c r="N466">
        <v>0</v>
      </c>
      <c r="O466">
        <v>0</v>
      </c>
      <c r="P466">
        <v>0</v>
      </c>
      <c r="Q466">
        <v>0</v>
      </c>
      <c r="R466">
        <v>0</v>
      </c>
      <c r="S466">
        <v>0</v>
      </c>
      <c r="T466">
        <v>0</v>
      </c>
      <c r="U466">
        <v>0</v>
      </c>
      <c r="V466">
        <v>0</v>
      </c>
      <c r="W466">
        <v>0</v>
      </c>
      <c r="X466">
        <v>0</v>
      </c>
      <c r="Y466">
        <v>0</v>
      </c>
      <c r="Z466">
        <v>0</v>
      </c>
      <c r="AA466">
        <v>0</v>
      </c>
      <c r="AB466">
        <v>0</v>
      </c>
    </row>
    <row r="467" spans="1:28">
      <c r="A467">
        <v>0</v>
      </c>
      <c r="B467">
        <v>0</v>
      </c>
      <c r="C467">
        <v>0</v>
      </c>
      <c r="D467">
        <v>0</v>
      </c>
      <c r="E467">
        <v>0</v>
      </c>
      <c r="F467">
        <v>0</v>
      </c>
      <c r="G467">
        <v>0</v>
      </c>
      <c r="H467">
        <v>0</v>
      </c>
      <c r="I467">
        <v>0</v>
      </c>
      <c r="J467">
        <v>0</v>
      </c>
      <c r="K467">
        <v>0</v>
      </c>
      <c r="L467">
        <v>0</v>
      </c>
      <c r="M467">
        <v>0</v>
      </c>
      <c r="N467">
        <v>0</v>
      </c>
      <c r="O467">
        <v>0</v>
      </c>
      <c r="P467">
        <v>0</v>
      </c>
      <c r="Q467">
        <v>0</v>
      </c>
      <c r="R467">
        <v>0</v>
      </c>
      <c r="S467">
        <v>0</v>
      </c>
      <c r="T467">
        <v>0</v>
      </c>
      <c r="U467">
        <v>0</v>
      </c>
      <c r="V467">
        <v>0</v>
      </c>
      <c r="W467">
        <v>0</v>
      </c>
      <c r="X467">
        <v>0</v>
      </c>
      <c r="Y467">
        <v>0</v>
      </c>
      <c r="Z467">
        <v>0</v>
      </c>
      <c r="AA467">
        <v>0</v>
      </c>
      <c r="AB467">
        <v>0</v>
      </c>
    </row>
    <row r="468" spans="1:28">
      <c r="A468">
        <v>0</v>
      </c>
      <c r="B468">
        <v>0</v>
      </c>
      <c r="C468">
        <v>0</v>
      </c>
      <c r="D468">
        <v>0</v>
      </c>
      <c r="E468">
        <v>0</v>
      </c>
      <c r="F468">
        <v>0</v>
      </c>
      <c r="G468">
        <v>0</v>
      </c>
      <c r="H468">
        <v>0</v>
      </c>
      <c r="I468">
        <v>0</v>
      </c>
      <c r="J468">
        <v>0</v>
      </c>
      <c r="K468">
        <v>0</v>
      </c>
      <c r="L468">
        <v>0</v>
      </c>
      <c r="M468">
        <v>0</v>
      </c>
      <c r="N468">
        <v>0</v>
      </c>
      <c r="O468">
        <v>0</v>
      </c>
      <c r="P468">
        <v>0</v>
      </c>
      <c r="Q468">
        <v>0</v>
      </c>
      <c r="R468">
        <v>0</v>
      </c>
      <c r="S468">
        <v>0</v>
      </c>
      <c r="T468">
        <v>0</v>
      </c>
      <c r="U468">
        <v>0</v>
      </c>
      <c r="V468">
        <v>0</v>
      </c>
      <c r="W468">
        <v>0</v>
      </c>
      <c r="X468">
        <v>0</v>
      </c>
      <c r="Y468">
        <v>0</v>
      </c>
      <c r="Z468">
        <v>0</v>
      </c>
      <c r="AA468">
        <v>0</v>
      </c>
      <c r="AB468">
        <v>0</v>
      </c>
    </row>
    <row r="469" spans="1:28">
      <c r="A469">
        <v>0</v>
      </c>
      <c r="B469">
        <v>0</v>
      </c>
      <c r="C469">
        <v>0</v>
      </c>
      <c r="D469">
        <v>0</v>
      </c>
      <c r="E469">
        <v>0</v>
      </c>
      <c r="F469">
        <v>0</v>
      </c>
      <c r="G469">
        <v>0</v>
      </c>
      <c r="H469">
        <v>0</v>
      </c>
      <c r="I469">
        <v>0</v>
      </c>
      <c r="J469">
        <v>0</v>
      </c>
      <c r="K469">
        <v>0</v>
      </c>
      <c r="L469">
        <v>0</v>
      </c>
      <c r="M469">
        <v>0</v>
      </c>
      <c r="N469">
        <v>0</v>
      </c>
      <c r="O469">
        <v>0</v>
      </c>
      <c r="P469">
        <v>0</v>
      </c>
      <c r="Q469">
        <v>0</v>
      </c>
      <c r="R469">
        <v>0</v>
      </c>
      <c r="S469">
        <v>0</v>
      </c>
      <c r="T469">
        <v>0</v>
      </c>
      <c r="U469">
        <v>0</v>
      </c>
      <c r="V469">
        <v>0</v>
      </c>
      <c r="W469">
        <v>0</v>
      </c>
      <c r="X469">
        <v>0</v>
      </c>
      <c r="Y469">
        <v>0</v>
      </c>
      <c r="Z469">
        <v>0</v>
      </c>
      <c r="AA469">
        <v>0</v>
      </c>
      <c r="AB469">
        <v>0</v>
      </c>
    </row>
    <row r="470" spans="1:28">
      <c r="A470">
        <v>0</v>
      </c>
      <c r="B470">
        <v>0</v>
      </c>
      <c r="C470">
        <v>0</v>
      </c>
      <c r="D470">
        <v>0</v>
      </c>
      <c r="E470">
        <v>0</v>
      </c>
      <c r="F470">
        <v>0</v>
      </c>
      <c r="G470">
        <v>0</v>
      </c>
      <c r="H470">
        <v>0</v>
      </c>
      <c r="I470">
        <v>0</v>
      </c>
      <c r="J470">
        <v>0</v>
      </c>
      <c r="K470">
        <v>0</v>
      </c>
      <c r="L470">
        <v>0</v>
      </c>
      <c r="M470">
        <v>0</v>
      </c>
      <c r="N470">
        <v>0</v>
      </c>
      <c r="O470">
        <v>0</v>
      </c>
      <c r="P470">
        <v>0</v>
      </c>
      <c r="Q470">
        <v>0</v>
      </c>
      <c r="R470">
        <v>0</v>
      </c>
      <c r="S470">
        <v>0</v>
      </c>
      <c r="T470">
        <v>0</v>
      </c>
      <c r="U470">
        <v>0</v>
      </c>
      <c r="V470">
        <v>0</v>
      </c>
      <c r="W470">
        <v>0</v>
      </c>
      <c r="X470">
        <v>0</v>
      </c>
      <c r="Y470">
        <v>0</v>
      </c>
      <c r="Z470">
        <v>0</v>
      </c>
      <c r="AA470">
        <v>0</v>
      </c>
      <c r="AB470">
        <v>0</v>
      </c>
    </row>
    <row r="471" spans="1:28">
      <c r="A471">
        <v>0</v>
      </c>
      <c r="B471">
        <v>0</v>
      </c>
      <c r="C471">
        <v>0</v>
      </c>
      <c r="D471">
        <v>0</v>
      </c>
      <c r="E471">
        <v>0</v>
      </c>
      <c r="F471">
        <v>0</v>
      </c>
      <c r="G471">
        <v>0</v>
      </c>
      <c r="H471">
        <v>0</v>
      </c>
      <c r="I471">
        <v>0</v>
      </c>
      <c r="J471">
        <v>0</v>
      </c>
      <c r="K471">
        <v>0</v>
      </c>
      <c r="L471">
        <v>0</v>
      </c>
      <c r="M471">
        <v>0</v>
      </c>
      <c r="N471">
        <v>0</v>
      </c>
      <c r="O471">
        <v>0</v>
      </c>
      <c r="P471">
        <v>0</v>
      </c>
      <c r="Q471">
        <v>0</v>
      </c>
      <c r="R471">
        <v>0</v>
      </c>
      <c r="S471">
        <v>0</v>
      </c>
      <c r="T471">
        <v>0</v>
      </c>
      <c r="U471">
        <v>0</v>
      </c>
      <c r="V471">
        <v>0</v>
      </c>
      <c r="W471">
        <v>0</v>
      </c>
      <c r="X471">
        <v>0</v>
      </c>
      <c r="Y471">
        <v>0</v>
      </c>
      <c r="Z471">
        <v>0</v>
      </c>
      <c r="AA471">
        <v>0</v>
      </c>
      <c r="AB471">
        <v>0</v>
      </c>
    </row>
    <row r="472" spans="1:28">
      <c r="A472">
        <v>0</v>
      </c>
      <c r="B472">
        <v>0</v>
      </c>
      <c r="C472">
        <v>0</v>
      </c>
      <c r="D472">
        <v>0</v>
      </c>
      <c r="E472">
        <v>0</v>
      </c>
      <c r="F472">
        <v>0</v>
      </c>
      <c r="G472">
        <v>0</v>
      </c>
      <c r="H472">
        <v>0</v>
      </c>
      <c r="I472">
        <v>0</v>
      </c>
      <c r="J472">
        <v>0</v>
      </c>
      <c r="K472">
        <v>0</v>
      </c>
      <c r="L472">
        <v>0</v>
      </c>
      <c r="M472">
        <v>0</v>
      </c>
      <c r="N472">
        <v>0</v>
      </c>
      <c r="O472">
        <v>0</v>
      </c>
      <c r="P472">
        <v>0</v>
      </c>
      <c r="Q472">
        <v>0</v>
      </c>
      <c r="R472">
        <v>0</v>
      </c>
      <c r="S472">
        <v>0</v>
      </c>
      <c r="T472">
        <v>0</v>
      </c>
      <c r="U472">
        <v>0</v>
      </c>
      <c r="V472">
        <v>0</v>
      </c>
      <c r="W472">
        <v>0</v>
      </c>
      <c r="X472">
        <v>0</v>
      </c>
      <c r="Y472">
        <v>0</v>
      </c>
      <c r="Z472">
        <v>0</v>
      </c>
      <c r="AA472">
        <v>0</v>
      </c>
      <c r="AB472">
        <v>0</v>
      </c>
    </row>
    <row r="473" spans="1:28">
      <c r="A473">
        <v>0</v>
      </c>
      <c r="B473">
        <v>0</v>
      </c>
      <c r="C473">
        <v>0</v>
      </c>
      <c r="D473">
        <v>0</v>
      </c>
      <c r="E473">
        <v>0</v>
      </c>
      <c r="F473">
        <v>0</v>
      </c>
      <c r="G473">
        <v>0</v>
      </c>
      <c r="H473">
        <v>0</v>
      </c>
      <c r="I473">
        <v>0</v>
      </c>
      <c r="J473">
        <v>0</v>
      </c>
      <c r="K473">
        <v>0</v>
      </c>
      <c r="L473">
        <v>0</v>
      </c>
      <c r="M473">
        <v>0</v>
      </c>
      <c r="N473">
        <v>0</v>
      </c>
      <c r="O473">
        <v>0</v>
      </c>
      <c r="P473">
        <v>0</v>
      </c>
      <c r="Q473">
        <v>0</v>
      </c>
      <c r="R473">
        <v>0</v>
      </c>
      <c r="S473">
        <v>0</v>
      </c>
      <c r="T473">
        <v>0</v>
      </c>
      <c r="U473">
        <v>0</v>
      </c>
      <c r="V473">
        <v>0</v>
      </c>
      <c r="W473">
        <v>0</v>
      </c>
      <c r="X473">
        <v>0</v>
      </c>
      <c r="Y473">
        <v>0</v>
      </c>
      <c r="Z473">
        <v>0</v>
      </c>
      <c r="AA473">
        <v>0</v>
      </c>
      <c r="AB473">
        <v>0</v>
      </c>
    </row>
    <row r="474" spans="1:28">
      <c r="A474">
        <v>0</v>
      </c>
      <c r="B474">
        <v>0</v>
      </c>
      <c r="C474">
        <v>0</v>
      </c>
      <c r="D474">
        <v>0</v>
      </c>
      <c r="E474">
        <v>0</v>
      </c>
      <c r="F474">
        <v>0</v>
      </c>
      <c r="G474">
        <v>0</v>
      </c>
      <c r="H474">
        <v>0</v>
      </c>
      <c r="I474">
        <v>0</v>
      </c>
      <c r="J474">
        <v>0</v>
      </c>
      <c r="K474">
        <v>0</v>
      </c>
      <c r="L474">
        <v>0</v>
      </c>
      <c r="M474">
        <v>0</v>
      </c>
      <c r="N474">
        <v>0</v>
      </c>
      <c r="O474">
        <v>0</v>
      </c>
      <c r="P474">
        <v>0</v>
      </c>
      <c r="Q474">
        <v>0</v>
      </c>
      <c r="R474">
        <v>0</v>
      </c>
      <c r="S474">
        <v>0</v>
      </c>
      <c r="T474">
        <v>0</v>
      </c>
      <c r="U474">
        <v>0</v>
      </c>
      <c r="V474">
        <v>0</v>
      </c>
      <c r="W474">
        <v>0</v>
      </c>
      <c r="X474">
        <v>0</v>
      </c>
      <c r="Y474">
        <v>0</v>
      </c>
      <c r="Z474">
        <v>0</v>
      </c>
      <c r="AA474">
        <v>0</v>
      </c>
      <c r="AB474">
        <v>0</v>
      </c>
    </row>
    <row r="475" spans="1:28">
      <c r="A475">
        <v>0</v>
      </c>
      <c r="B475">
        <v>0</v>
      </c>
      <c r="C475">
        <v>0</v>
      </c>
      <c r="D475">
        <v>0</v>
      </c>
      <c r="E475">
        <v>0</v>
      </c>
      <c r="F475">
        <v>0</v>
      </c>
      <c r="G475">
        <v>0</v>
      </c>
      <c r="H475">
        <v>0</v>
      </c>
      <c r="I475">
        <v>0</v>
      </c>
      <c r="J475">
        <v>0</v>
      </c>
      <c r="K475">
        <v>0</v>
      </c>
      <c r="L475">
        <v>0</v>
      </c>
      <c r="M475">
        <v>0</v>
      </c>
      <c r="N475">
        <v>0</v>
      </c>
      <c r="O475">
        <v>0</v>
      </c>
      <c r="P475">
        <v>0</v>
      </c>
      <c r="Q475">
        <v>0</v>
      </c>
      <c r="R475">
        <v>0</v>
      </c>
      <c r="S475">
        <v>0</v>
      </c>
      <c r="T475">
        <v>0</v>
      </c>
      <c r="U475">
        <v>0</v>
      </c>
      <c r="V475">
        <v>0</v>
      </c>
      <c r="W475">
        <v>0</v>
      </c>
      <c r="X475">
        <v>0</v>
      </c>
      <c r="Y475">
        <v>0</v>
      </c>
      <c r="Z475">
        <v>0</v>
      </c>
      <c r="AA475">
        <v>0</v>
      </c>
      <c r="AB475">
        <v>0</v>
      </c>
    </row>
    <row r="476" spans="1:28">
      <c r="A476">
        <v>0</v>
      </c>
      <c r="B476">
        <v>0</v>
      </c>
      <c r="C476">
        <v>0</v>
      </c>
      <c r="D476">
        <v>0</v>
      </c>
      <c r="E476">
        <v>0</v>
      </c>
      <c r="F476">
        <v>0</v>
      </c>
      <c r="G476">
        <v>0</v>
      </c>
      <c r="H476">
        <v>0</v>
      </c>
      <c r="I476">
        <v>0</v>
      </c>
      <c r="J476">
        <v>0</v>
      </c>
      <c r="K476">
        <v>0</v>
      </c>
      <c r="L476">
        <v>0</v>
      </c>
      <c r="M476">
        <v>0</v>
      </c>
      <c r="N476">
        <v>0</v>
      </c>
      <c r="O476">
        <v>0</v>
      </c>
      <c r="P476">
        <v>0</v>
      </c>
      <c r="Q476">
        <v>0</v>
      </c>
      <c r="R476">
        <v>0</v>
      </c>
      <c r="S476">
        <v>0</v>
      </c>
      <c r="T476">
        <v>0</v>
      </c>
      <c r="U476">
        <v>0</v>
      </c>
      <c r="V476">
        <v>0</v>
      </c>
      <c r="W476">
        <v>0</v>
      </c>
      <c r="X476">
        <v>0</v>
      </c>
      <c r="Y476">
        <v>0</v>
      </c>
      <c r="Z476">
        <v>0</v>
      </c>
      <c r="AA476">
        <v>0</v>
      </c>
      <c r="AB476">
        <v>0</v>
      </c>
    </row>
    <row r="477" spans="1:28">
      <c r="A477">
        <v>0</v>
      </c>
      <c r="B477">
        <v>0</v>
      </c>
      <c r="C477">
        <v>0</v>
      </c>
      <c r="D477">
        <v>0</v>
      </c>
      <c r="E477">
        <v>0</v>
      </c>
      <c r="F477">
        <v>0</v>
      </c>
      <c r="G477">
        <v>0</v>
      </c>
      <c r="H477">
        <v>0</v>
      </c>
      <c r="I477">
        <v>0</v>
      </c>
      <c r="J477">
        <v>0</v>
      </c>
      <c r="K477">
        <v>0</v>
      </c>
      <c r="L477">
        <v>0</v>
      </c>
      <c r="M477">
        <v>0</v>
      </c>
      <c r="N477">
        <v>0</v>
      </c>
      <c r="O477">
        <v>0</v>
      </c>
      <c r="P477">
        <v>0</v>
      </c>
      <c r="Q477">
        <v>0</v>
      </c>
      <c r="R477">
        <v>0</v>
      </c>
      <c r="S477">
        <v>0</v>
      </c>
      <c r="T477">
        <v>0</v>
      </c>
      <c r="U477">
        <v>0</v>
      </c>
      <c r="V477">
        <v>0</v>
      </c>
      <c r="W477">
        <v>0</v>
      </c>
      <c r="X477">
        <v>0</v>
      </c>
      <c r="Y477">
        <v>0</v>
      </c>
      <c r="Z477">
        <v>0</v>
      </c>
      <c r="AA477">
        <v>0</v>
      </c>
      <c r="AB477">
        <v>0</v>
      </c>
    </row>
    <row r="478" spans="1:28">
      <c r="A478">
        <v>0</v>
      </c>
      <c r="B478">
        <v>0</v>
      </c>
      <c r="C478">
        <v>0</v>
      </c>
      <c r="D478">
        <v>0</v>
      </c>
      <c r="E478">
        <v>0</v>
      </c>
      <c r="F478">
        <v>0</v>
      </c>
      <c r="G478">
        <v>0</v>
      </c>
      <c r="H478">
        <v>0</v>
      </c>
      <c r="I478">
        <v>0</v>
      </c>
      <c r="J478">
        <v>0</v>
      </c>
      <c r="K478">
        <v>0</v>
      </c>
      <c r="L478">
        <v>0</v>
      </c>
      <c r="M478">
        <v>0</v>
      </c>
      <c r="N478">
        <v>0</v>
      </c>
      <c r="O478">
        <v>0</v>
      </c>
      <c r="P478">
        <v>0</v>
      </c>
      <c r="Q478">
        <v>0</v>
      </c>
      <c r="R478">
        <v>0</v>
      </c>
      <c r="S478">
        <v>0</v>
      </c>
      <c r="T478">
        <v>0</v>
      </c>
      <c r="U478">
        <v>0</v>
      </c>
      <c r="V478">
        <v>0</v>
      </c>
      <c r="W478">
        <v>0</v>
      </c>
      <c r="X478">
        <v>0</v>
      </c>
      <c r="Y478">
        <v>0</v>
      </c>
      <c r="Z478">
        <v>0</v>
      </c>
      <c r="AA478">
        <v>0</v>
      </c>
      <c r="AB478">
        <v>0</v>
      </c>
    </row>
    <row r="479" spans="1:28">
      <c r="A479">
        <v>0</v>
      </c>
      <c r="B479">
        <v>0</v>
      </c>
      <c r="C479">
        <v>0</v>
      </c>
      <c r="D479">
        <v>0</v>
      </c>
      <c r="E479">
        <v>0</v>
      </c>
      <c r="F479">
        <v>0</v>
      </c>
      <c r="G479">
        <v>0</v>
      </c>
      <c r="H479">
        <v>0</v>
      </c>
      <c r="I479">
        <v>0</v>
      </c>
      <c r="J479">
        <v>0</v>
      </c>
      <c r="K479">
        <v>0</v>
      </c>
      <c r="L479">
        <v>0</v>
      </c>
      <c r="M479">
        <v>0</v>
      </c>
      <c r="N479">
        <v>0</v>
      </c>
      <c r="O479">
        <v>0</v>
      </c>
      <c r="P479">
        <v>0</v>
      </c>
      <c r="Q479">
        <v>0</v>
      </c>
      <c r="R479">
        <v>0</v>
      </c>
      <c r="S479">
        <v>0</v>
      </c>
      <c r="T479">
        <v>0</v>
      </c>
      <c r="U479">
        <v>0</v>
      </c>
      <c r="V479">
        <v>0</v>
      </c>
      <c r="W479">
        <v>0</v>
      </c>
      <c r="X479">
        <v>0</v>
      </c>
      <c r="Y479">
        <v>0</v>
      </c>
      <c r="Z479">
        <v>0</v>
      </c>
      <c r="AA479">
        <v>0</v>
      </c>
      <c r="AB479">
        <v>0</v>
      </c>
    </row>
    <row r="480" spans="1:28">
      <c r="A480">
        <v>0</v>
      </c>
      <c r="B480">
        <v>0</v>
      </c>
      <c r="C480">
        <v>0</v>
      </c>
      <c r="D480">
        <v>0</v>
      </c>
      <c r="E480">
        <v>0</v>
      </c>
      <c r="F480">
        <v>0</v>
      </c>
      <c r="G480">
        <v>0</v>
      </c>
      <c r="H480">
        <v>0</v>
      </c>
      <c r="I480">
        <v>0</v>
      </c>
      <c r="J480">
        <v>0</v>
      </c>
      <c r="K480">
        <v>0</v>
      </c>
      <c r="L480">
        <v>0</v>
      </c>
      <c r="M480">
        <v>0</v>
      </c>
      <c r="N480">
        <v>0</v>
      </c>
      <c r="O480">
        <v>0</v>
      </c>
      <c r="P480">
        <v>0</v>
      </c>
      <c r="Q480">
        <v>0</v>
      </c>
      <c r="R480">
        <v>0</v>
      </c>
      <c r="S480">
        <v>0</v>
      </c>
      <c r="T480">
        <v>0</v>
      </c>
      <c r="U480">
        <v>0</v>
      </c>
      <c r="V480">
        <v>0</v>
      </c>
      <c r="W480">
        <v>0</v>
      </c>
      <c r="X480">
        <v>0</v>
      </c>
      <c r="Y480">
        <v>0</v>
      </c>
      <c r="Z480">
        <v>0</v>
      </c>
      <c r="AA480">
        <v>0</v>
      </c>
      <c r="AB480">
        <v>0</v>
      </c>
    </row>
    <row r="481" spans="1:28">
      <c r="A481">
        <v>0</v>
      </c>
      <c r="B481">
        <v>0</v>
      </c>
      <c r="C481">
        <v>0</v>
      </c>
      <c r="D481">
        <v>0</v>
      </c>
      <c r="E481">
        <v>0</v>
      </c>
      <c r="F481">
        <v>0</v>
      </c>
      <c r="G481">
        <v>0</v>
      </c>
      <c r="H481">
        <v>0</v>
      </c>
      <c r="I481">
        <v>0</v>
      </c>
      <c r="J481">
        <v>0</v>
      </c>
      <c r="K481">
        <v>0</v>
      </c>
      <c r="L481">
        <v>0</v>
      </c>
      <c r="M481">
        <v>0</v>
      </c>
      <c r="N481">
        <v>0</v>
      </c>
      <c r="O481">
        <v>0</v>
      </c>
      <c r="P481">
        <v>0</v>
      </c>
      <c r="Q481">
        <v>0</v>
      </c>
      <c r="R481">
        <v>0</v>
      </c>
      <c r="S481">
        <v>0</v>
      </c>
      <c r="T481">
        <v>0</v>
      </c>
      <c r="U481">
        <v>0</v>
      </c>
      <c r="V481">
        <v>0</v>
      </c>
      <c r="W481">
        <v>0</v>
      </c>
      <c r="X481">
        <v>0</v>
      </c>
      <c r="Y481">
        <v>0</v>
      </c>
      <c r="Z481">
        <v>0</v>
      </c>
      <c r="AA481">
        <v>0</v>
      </c>
      <c r="AB481">
        <v>0</v>
      </c>
    </row>
    <row r="482" spans="1:28">
      <c r="A482">
        <v>0</v>
      </c>
      <c r="B482">
        <v>0</v>
      </c>
      <c r="C482">
        <v>0</v>
      </c>
      <c r="D482">
        <v>0</v>
      </c>
      <c r="E482">
        <v>0</v>
      </c>
      <c r="F482">
        <v>0</v>
      </c>
      <c r="G482">
        <v>0</v>
      </c>
      <c r="H482">
        <v>0</v>
      </c>
      <c r="I482">
        <v>0</v>
      </c>
      <c r="J482">
        <v>0</v>
      </c>
      <c r="K482">
        <v>0</v>
      </c>
      <c r="L482">
        <v>0</v>
      </c>
      <c r="M482">
        <v>0</v>
      </c>
      <c r="N482">
        <v>0</v>
      </c>
      <c r="O482">
        <v>0</v>
      </c>
      <c r="P482">
        <v>0</v>
      </c>
      <c r="Q482">
        <v>0</v>
      </c>
      <c r="R482">
        <v>0</v>
      </c>
      <c r="S482">
        <v>0</v>
      </c>
      <c r="T482">
        <v>0</v>
      </c>
      <c r="U482">
        <v>0</v>
      </c>
      <c r="V482">
        <v>0</v>
      </c>
      <c r="W482">
        <v>0</v>
      </c>
      <c r="X482">
        <v>0</v>
      </c>
      <c r="Y482">
        <v>0</v>
      </c>
      <c r="Z482">
        <v>0</v>
      </c>
      <c r="AA482">
        <v>0</v>
      </c>
      <c r="AB482">
        <v>0</v>
      </c>
    </row>
    <row r="483" spans="1:28">
      <c r="A483">
        <v>0</v>
      </c>
      <c r="B483">
        <v>0</v>
      </c>
      <c r="C483">
        <v>0</v>
      </c>
      <c r="D483">
        <v>0</v>
      </c>
      <c r="E483">
        <v>0</v>
      </c>
      <c r="F483">
        <v>0</v>
      </c>
      <c r="G483">
        <v>0</v>
      </c>
      <c r="H483">
        <v>0</v>
      </c>
      <c r="I483">
        <v>0</v>
      </c>
      <c r="J483">
        <v>0</v>
      </c>
      <c r="K483">
        <v>0</v>
      </c>
      <c r="L483">
        <v>0</v>
      </c>
      <c r="M483">
        <v>0</v>
      </c>
      <c r="N483">
        <v>0</v>
      </c>
      <c r="O483">
        <v>0</v>
      </c>
      <c r="P483">
        <v>0</v>
      </c>
      <c r="Q483">
        <v>0</v>
      </c>
      <c r="R483">
        <v>0</v>
      </c>
      <c r="S483">
        <v>0</v>
      </c>
      <c r="T483">
        <v>0</v>
      </c>
      <c r="U483">
        <v>0</v>
      </c>
      <c r="V483">
        <v>0</v>
      </c>
      <c r="W483">
        <v>0</v>
      </c>
      <c r="X483">
        <v>0</v>
      </c>
      <c r="Y483">
        <v>0</v>
      </c>
      <c r="Z483">
        <v>0</v>
      </c>
      <c r="AA483">
        <v>0</v>
      </c>
      <c r="AB483">
        <v>0</v>
      </c>
    </row>
    <row r="484" spans="1:28">
      <c r="A484">
        <v>0</v>
      </c>
      <c r="B484">
        <v>0</v>
      </c>
      <c r="C484">
        <v>0</v>
      </c>
      <c r="D484">
        <v>0</v>
      </c>
      <c r="E484">
        <v>0</v>
      </c>
      <c r="F484">
        <v>0</v>
      </c>
      <c r="G484">
        <v>0</v>
      </c>
      <c r="H484">
        <v>0</v>
      </c>
      <c r="I484">
        <v>0</v>
      </c>
      <c r="J484">
        <v>0</v>
      </c>
      <c r="K484">
        <v>0</v>
      </c>
      <c r="L484">
        <v>0</v>
      </c>
      <c r="M484">
        <v>0</v>
      </c>
      <c r="N484">
        <v>0</v>
      </c>
      <c r="O484">
        <v>0</v>
      </c>
      <c r="P484">
        <v>0</v>
      </c>
      <c r="Q484">
        <v>0</v>
      </c>
      <c r="R484">
        <v>0</v>
      </c>
      <c r="S484">
        <v>0</v>
      </c>
      <c r="T484">
        <v>0</v>
      </c>
      <c r="U484">
        <v>0</v>
      </c>
      <c r="V484">
        <v>0</v>
      </c>
      <c r="W484">
        <v>0</v>
      </c>
      <c r="X484">
        <v>0</v>
      </c>
      <c r="Y484">
        <v>0</v>
      </c>
      <c r="Z484">
        <v>0</v>
      </c>
      <c r="AA484">
        <v>0</v>
      </c>
      <c r="AB484">
        <v>0</v>
      </c>
    </row>
    <row r="485" spans="1:28">
      <c r="A485">
        <v>0</v>
      </c>
      <c r="B485">
        <v>0</v>
      </c>
      <c r="C485">
        <v>0</v>
      </c>
      <c r="D485">
        <v>0</v>
      </c>
      <c r="E485">
        <v>0</v>
      </c>
      <c r="F485">
        <v>0</v>
      </c>
      <c r="G485">
        <v>0</v>
      </c>
      <c r="H485">
        <v>0</v>
      </c>
      <c r="I485">
        <v>0</v>
      </c>
      <c r="J485">
        <v>0</v>
      </c>
      <c r="K485">
        <v>0</v>
      </c>
      <c r="L485">
        <v>0</v>
      </c>
      <c r="M485">
        <v>0</v>
      </c>
      <c r="N485">
        <v>0</v>
      </c>
      <c r="O485">
        <v>0</v>
      </c>
      <c r="P485">
        <v>0</v>
      </c>
      <c r="Q485">
        <v>0</v>
      </c>
      <c r="R485">
        <v>0</v>
      </c>
      <c r="S485">
        <v>0</v>
      </c>
      <c r="T485">
        <v>0</v>
      </c>
      <c r="U485">
        <v>0</v>
      </c>
      <c r="V485">
        <v>0</v>
      </c>
      <c r="W485">
        <v>0</v>
      </c>
      <c r="X485">
        <v>0</v>
      </c>
      <c r="Y485">
        <v>0</v>
      </c>
      <c r="Z485">
        <v>0</v>
      </c>
      <c r="AA485">
        <v>0</v>
      </c>
      <c r="AB485">
        <v>0</v>
      </c>
    </row>
    <row r="486" spans="1:28">
      <c r="A486">
        <v>0</v>
      </c>
      <c r="B486">
        <v>0</v>
      </c>
      <c r="C486">
        <v>0</v>
      </c>
      <c r="D486">
        <v>0</v>
      </c>
      <c r="E486">
        <v>0</v>
      </c>
      <c r="F486">
        <v>0</v>
      </c>
      <c r="G486">
        <v>0</v>
      </c>
      <c r="H486">
        <v>0</v>
      </c>
      <c r="I486">
        <v>0</v>
      </c>
      <c r="J486">
        <v>0</v>
      </c>
      <c r="K486">
        <v>0</v>
      </c>
      <c r="L486">
        <v>0</v>
      </c>
      <c r="M486">
        <v>0</v>
      </c>
      <c r="N486">
        <v>0</v>
      </c>
      <c r="O486">
        <v>0</v>
      </c>
      <c r="P486">
        <v>0</v>
      </c>
      <c r="Q486">
        <v>0</v>
      </c>
      <c r="R486">
        <v>0</v>
      </c>
      <c r="S486">
        <v>0</v>
      </c>
      <c r="T486">
        <v>0</v>
      </c>
      <c r="U486">
        <v>0</v>
      </c>
      <c r="V486">
        <v>0</v>
      </c>
      <c r="W486">
        <v>0</v>
      </c>
      <c r="X486">
        <v>0</v>
      </c>
      <c r="Y486">
        <v>0</v>
      </c>
      <c r="Z486">
        <v>0</v>
      </c>
      <c r="AA486">
        <v>0</v>
      </c>
      <c r="AB486">
        <v>0</v>
      </c>
    </row>
    <row r="487" spans="1:28">
      <c r="A487">
        <v>0</v>
      </c>
      <c r="B487">
        <v>0</v>
      </c>
      <c r="C487">
        <v>0</v>
      </c>
      <c r="D487">
        <v>0</v>
      </c>
      <c r="E487">
        <v>0</v>
      </c>
      <c r="F487">
        <v>0</v>
      </c>
      <c r="G487">
        <v>0</v>
      </c>
      <c r="H487">
        <v>0</v>
      </c>
      <c r="I487">
        <v>0</v>
      </c>
      <c r="J487">
        <v>0</v>
      </c>
      <c r="K487">
        <v>0</v>
      </c>
      <c r="L487">
        <v>0</v>
      </c>
      <c r="M487">
        <v>0</v>
      </c>
      <c r="N487">
        <v>0</v>
      </c>
      <c r="O487">
        <v>0</v>
      </c>
      <c r="P487">
        <v>0</v>
      </c>
      <c r="Q487">
        <v>0</v>
      </c>
      <c r="R487">
        <v>0</v>
      </c>
      <c r="S487">
        <v>0</v>
      </c>
      <c r="T487">
        <v>0</v>
      </c>
      <c r="U487">
        <v>0</v>
      </c>
      <c r="V487">
        <v>0</v>
      </c>
      <c r="W487">
        <v>0</v>
      </c>
      <c r="X487">
        <v>0</v>
      </c>
      <c r="Y487">
        <v>0</v>
      </c>
      <c r="Z487">
        <v>0</v>
      </c>
      <c r="AA487">
        <v>0</v>
      </c>
      <c r="AB487">
        <v>0</v>
      </c>
    </row>
    <row r="488" spans="1:28">
      <c r="A488">
        <v>0</v>
      </c>
      <c r="B488">
        <v>0</v>
      </c>
      <c r="C488">
        <v>0</v>
      </c>
      <c r="D488">
        <v>0</v>
      </c>
      <c r="E488">
        <v>0</v>
      </c>
      <c r="F488">
        <v>0</v>
      </c>
      <c r="G488">
        <v>0</v>
      </c>
      <c r="H488">
        <v>0</v>
      </c>
      <c r="I488">
        <v>0</v>
      </c>
      <c r="J488">
        <v>0</v>
      </c>
      <c r="K488">
        <v>0</v>
      </c>
      <c r="L488">
        <v>0</v>
      </c>
      <c r="M488">
        <v>0</v>
      </c>
      <c r="N488">
        <v>0</v>
      </c>
      <c r="O488">
        <v>0</v>
      </c>
      <c r="P488">
        <v>0</v>
      </c>
      <c r="Q488">
        <v>0</v>
      </c>
      <c r="R488">
        <v>0</v>
      </c>
      <c r="S488">
        <v>0</v>
      </c>
      <c r="T488">
        <v>0</v>
      </c>
      <c r="U488">
        <v>0</v>
      </c>
      <c r="V488">
        <v>0</v>
      </c>
      <c r="W488">
        <v>0</v>
      </c>
      <c r="X488">
        <v>0</v>
      </c>
      <c r="Y488">
        <v>0</v>
      </c>
      <c r="Z488">
        <v>0</v>
      </c>
      <c r="AA488">
        <v>0</v>
      </c>
      <c r="AB488">
        <v>0</v>
      </c>
    </row>
    <row r="489" spans="1:28">
      <c r="A489">
        <v>0</v>
      </c>
      <c r="B489">
        <v>0</v>
      </c>
      <c r="C489">
        <v>0</v>
      </c>
      <c r="D489">
        <v>0</v>
      </c>
      <c r="E489">
        <v>0</v>
      </c>
      <c r="F489">
        <v>0</v>
      </c>
      <c r="G489">
        <v>0</v>
      </c>
      <c r="H489">
        <v>0</v>
      </c>
      <c r="I489">
        <v>0</v>
      </c>
      <c r="J489">
        <v>0</v>
      </c>
      <c r="K489">
        <v>0</v>
      </c>
      <c r="L489">
        <v>0</v>
      </c>
      <c r="M489">
        <v>0</v>
      </c>
      <c r="N489">
        <v>0</v>
      </c>
      <c r="O489">
        <v>0</v>
      </c>
      <c r="P489">
        <v>0</v>
      </c>
      <c r="Q489">
        <v>0</v>
      </c>
      <c r="R489">
        <v>0</v>
      </c>
      <c r="S489">
        <v>0</v>
      </c>
      <c r="T489">
        <v>0</v>
      </c>
      <c r="U489">
        <v>0</v>
      </c>
      <c r="V489">
        <v>0</v>
      </c>
      <c r="W489">
        <v>0</v>
      </c>
      <c r="X489">
        <v>0</v>
      </c>
      <c r="Y489">
        <v>0</v>
      </c>
      <c r="Z489">
        <v>0</v>
      </c>
      <c r="AA489">
        <v>0</v>
      </c>
      <c r="AB489">
        <v>0</v>
      </c>
    </row>
    <row r="490" spans="1:28">
      <c r="A490">
        <v>0</v>
      </c>
      <c r="B490">
        <v>0</v>
      </c>
      <c r="C490">
        <v>0</v>
      </c>
      <c r="D490">
        <v>0</v>
      </c>
      <c r="E490">
        <v>0</v>
      </c>
      <c r="F490">
        <v>0</v>
      </c>
      <c r="G490">
        <v>0</v>
      </c>
      <c r="H490">
        <v>0</v>
      </c>
      <c r="I490">
        <v>0</v>
      </c>
      <c r="J490">
        <v>0</v>
      </c>
      <c r="K490">
        <v>0</v>
      </c>
      <c r="L490">
        <v>0</v>
      </c>
      <c r="M490">
        <v>0</v>
      </c>
      <c r="N490">
        <v>0</v>
      </c>
      <c r="O490">
        <v>0</v>
      </c>
      <c r="P490">
        <v>0</v>
      </c>
      <c r="Q490">
        <v>0</v>
      </c>
      <c r="R490">
        <v>0</v>
      </c>
      <c r="S490">
        <v>0</v>
      </c>
      <c r="T490">
        <v>0</v>
      </c>
      <c r="U490">
        <v>0</v>
      </c>
      <c r="V490">
        <v>0</v>
      </c>
      <c r="W490">
        <v>0</v>
      </c>
      <c r="X490">
        <v>0</v>
      </c>
      <c r="Y490">
        <v>0</v>
      </c>
      <c r="Z490">
        <v>0</v>
      </c>
      <c r="AA490">
        <v>0</v>
      </c>
      <c r="AB490">
        <v>0</v>
      </c>
    </row>
    <row r="491" spans="1:28">
      <c r="A491">
        <v>0</v>
      </c>
      <c r="B491">
        <v>0</v>
      </c>
      <c r="C491">
        <v>0</v>
      </c>
      <c r="D491">
        <v>0</v>
      </c>
      <c r="E491">
        <v>0</v>
      </c>
      <c r="F491">
        <v>0</v>
      </c>
      <c r="G491">
        <v>0</v>
      </c>
      <c r="H491">
        <v>0</v>
      </c>
      <c r="I491">
        <v>0</v>
      </c>
      <c r="J491">
        <v>0</v>
      </c>
      <c r="K491">
        <v>0</v>
      </c>
      <c r="L491">
        <v>0</v>
      </c>
      <c r="M491">
        <v>0</v>
      </c>
      <c r="N491">
        <v>0</v>
      </c>
      <c r="O491">
        <v>0</v>
      </c>
      <c r="P491">
        <v>0</v>
      </c>
      <c r="Q491">
        <v>0</v>
      </c>
      <c r="R491">
        <v>0</v>
      </c>
      <c r="S491">
        <v>0</v>
      </c>
      <c r="T491">
        <v>0</v>
      </c>
      <c r="U491">
        <v>0</v>
      </c>
      <c r="V491">
        <v>0</v>
      </c>
      <c r="W491">
        <v>0</v>
      </c>
      <c r="X491">
        <v>0</v>
      </c>
      <c r="Y491">
        <v>0</v>
      </c>
      <c r="Z491">
        <v>0</v>
      </c>
      <c r="AA491">
        <v>0</v>
      </c>
      <c r="AB491">
        <v>0</v>
      </c>
    </row>
    <row r="492" spans="1:28">
      <c r="A492">
        <v>0</v>
      </c>
      <c r="B492">
        <v>0</v>
      </c>
      <c r="C492">
        <v>0</v>
      </c>
      <c r="D492">
        <v>0</v>
      </c>
      <c r="E492">
        <v>0</v>
      </c>
      <c r="F492">
        <v>0</v>
      </c>
      <c r="G492">
        <v>0</v>
      </c>
      <c r="H492">
        <v>0</v>
      </c>
      <c r="I492">
        <v>0</v>
      </c>
      <c r="J492">
        <v>0</v>
      </c>
      <c r="K492">
        <v>0</v>
      </c>
      <c r="L492">
        <v>0</v>
      </c>
      <c r="M492">
        <v>0</v>
      </c>
      <c r="N492">
        <v>0</v>
      </c>
      <c r="O492">
        <v>0</v>
      </c>
      <c r="P492">
        <v>0</v>
      </c>
      <c r="Q492">
        <v>0</v>
      </c>
      <c r="R492">
        <v>0</v>
      </c>
      <c r="S492">
        <v>0</v>
      </c>
      <c r="T492">
        <v>0</v>
      </c>
      <c r="U492">
        <v>0</v>
      </c>
      <c r="V492">
        <v>0</v>
      </c>
      <c r="W492">
        <v>0</v>
      </c>
      <c r="X492">
        <v>0</v>
      </c>
      <c r="Y492">
        <v>0</v>
      </c>
      <c r="Z492">
        <v>0</v>
      </c>
      <c r="AA492">
        <v>0</v>
      </c>
      <c r="AB492">
        <v>0</v>
      </c>
    </row>
    <row r="493" spans="1:28">
      <c r="A493">
        <v>0</v>
      </c>
      <c r="B493">
        <v>0</v>
      </c>
      <c r="C493">
        <v>0</v>
      </c>
      <c r="D493">
        <v>0</v>
      </c>
      <c r="E493">
        <v>0</v>
      </c>
      <c r="F493">
        <v>0</v>
      </c>
      <c r="G493">
        <v>0</v>
      </c>
      <c r="H493">
        <v>0</v>
      </c>
      <c r="I493">
        <v>0</v>
      </c>
      <c r="J493">
        <v>0</v>
      </c>
      <c r="K493">
        <v>0</v>
      </c>
      <c r="L493">
        <v>0</v>
      </c>
      <c r="M493">
        <v>0</v>
      </c>
      <c r="N493">
        <v>0</v>
      </c>
      <c r="O493">
        <v>0</v>
      </c>
      <c r="P493">
        <v>0</v>
      </c>
      <c r="Q493">
        <v>0</v>
      </c>
      <c r="R493">
        <v>0</v>
      </c>
      <c r="S493">
        <v>0</v>
      </c>
      <c r="T493">
        <v>0</v>
      </c>
      <c r="U493">
        <v>0</v>
      </c>
      <c r="V493">
        <v>0</v>
      </c>
      <c r="W493">
        <v>0</v>
      </c>
      <c r="X493">
        <v>0</v>
      </c>
      <c r="Y493">
        <v>0</v>
      </c>
      <c r="Z493">
        <v>0</v>
      </c>
      <c r="AA493">
        <v>0</v>
      </c>
      <c r="AB493">
        <v>0</v>
      </c>
    </row>
    <row r="494" spans="1:28">
      <c r="A494">
        <v>0</v>
      </c>
      <c r="B494">
        <v>0</v>
      </c>
      <c r="C494">
        <v>0</v>
      </c>
      <c r="D494">
        <v>0</v>
      </c>
      <c r="E494">
        <v>0</v>
      </c>
      <c r="F494">
        <v>0</v>
      </c>
      <c r="G494">
        <v>0</v>
      </c>
      <c r="H494">
        <v>0</v>
      </c>
      <c r="I494">
        <v>0</v>
      </c>
      <c r="J494">
        <v>0</v>
      </c>
      <c r="K494">
        <v>0</v>
      </c>
      <c r="L494">
        <v>0</v>
      </c>
      <c r="M494">
        <v>0</v>
      </c>
      <c r="N494">
        <v>0</v>
      </c>
      <c r="O494">
        <v>0</v>
      </c>
      <c r="P494">
        <v>0</v>
      </c>
      <c r="Q494">
        <v>0</v>
      </c>
      <c r="R494">
        <v>0</v>
      </c>
      <c r="S494">
        <v>0</v>
      </c>
      <c r="T494">
        <v>0</v>
      </c>
      <c r="U494">
        <v>0</v>
      </c>
      <c r="V494">
        <v>0</v>
      </c>
      <c r="W494">
        <v>0</v>
      </c>
      <c r="X494">
        <v>0</v>
      </c>
      <c r="Y494">
        <v>0</v>
      </c>
      <c r="Z494">
        <v>0</v>
      </c>
      <c r="AA494">
        <v>0</v>
      </c>
      <c r="AB494">
        <v>0</v>
      </c>
    </row>
    <row r="495" spans="1:28">
      <c r="A495">
        <v>0</v>
      </c>
      <c r="B495">
        <v>0</v>
      </c>
      <c r="C495">
        <v>0</v>
      </c>
      <c r="D495">
        <v>0</v>
      </c>
      <c r="E495">
        <v>0</v>
      </c>
      <c r="F495">
        <v>0</v>
      </c>
      <c r="G495">
        <v>0</v>
      </c>
      <c r="H495">
        <v>0</v>
      </c>
      <c r="I495">
        <v>0</v>
      </c>
      <c r="J495">
        <v>0</v>
      </c>
      <c r="K495">
        <v>0</v>
      </c>
      <c r="L495">
        <v>0</v>
      </c>
      <c r="M495">
        <v>0</v>
      </c>
      <c r="N495">
        <v>0</v>
      </c>
      <c r="O495">
        <v>0</v>
      </c>
      <c r="P495">
        <v>0</v>
      </c>
      <c r="Q495">
        <v>0</v>
      </c>
      <c r="R495">
        <v>0</v>
      </c>
      <c r="S495">
        <v>0</v>
      </c>
      <c r="T495">
        <v>0</v>
      </c>
      <c r="U495">
        <v>0</v>
      </c>
      <c r="V495">
        <v>0</v>
      </c>
      <c r="W495">
        <v>0</v>
      </c>
      <c r="X495">
        <v>0</v>
      </c>
      <c r="Y495">
        <v>0</v>
      </c>
      <c r="Z495">
        <v>0</v>
      </c>
      <c r="AA495">
        <v>0</v>
      </c>
      <c r="AB495">
        <v>0</v>
      </c>
    </row>
    <row r="496" spans="1:28">
      <c r="A496">
        <v>0</v>
      </c>
      <c r="B496">
        <v>0</v>
      </c>
      <c r="C496">
        <v>0</v>
      </c>
      <c r="D496">
        <v>0</v>
      </c>
      <c r="E496">
        <v>0</v>
      </c>
      <c r="F496">
        <v>0</v>
      </c>
      <c r="G496">
        <v>0</v>
      </c>
      <c r="H496">
        <v>0</v>
      </c>
      <c r="I496">
        <v>0</v>
      </c>
      <c r="J496">
        <v>0</v>
      </c>
      <c r="K496">
        <v>0</v>
      </c>
      <c r="L496">
        <v>0</v>
      </c>
      <c r="M496">
        <v>0</v>
      </c>
      <c r="N496">
        <v>0</v>
      </c>
      <c r="O496">
        <v>0</v>
      </c>
      <c r="P496">
        <v>0</v>
      </c>
      <c r="Q496">
        <v>0</v>
      </c>
      <c r="R496">
        <v>0</v>
      </c>
      <c r="S496">
        <v>0</v>
      </c>
      <c r="T496">
        <v>0</v>
      </c>
      <c r="U496">
        <v>0</v>
      </c>
      <c r="V496">
        <v>0</v>
      </c>
      <c r="W496">
        <v>0</v>
      </c>
      <c r="X496">
        <v>0</v>
      </c>
      <c r="Y496">
        <v>0</v>
      </c>
      <c r="Z496">
        <v>0</v>
      </c>
      <c r="AA496">
        <v>0</v>
      </c>
      <c r="AB496">
        <v>0</v>
      </c>
    </row>
    <row r="497" spans="1:28">
      <c r="A497">
        <v>0</v>
      </c>
      <c r="B497">
        <v>0</v>
      </c>
      <c r="C497">
        <v>0</v>
      </c>
      <c r="D497">
        <v>0</v>
      </c>
      <c r="E497">
        <v>0</v>
      </c>
      <c r="F497">
        <v>0</v>
      </c>
      <c r="G497">
        <v>0</v>
      </c>
      <c r="H497">
        <v>0</v>
      </c>
      <c r="I497">
        <v>0</v>
      </c>
      <c r="J497">
        <v>0</v>
      </c>
      <c r="K497">
        <v>0</v>
      </c>
      <c r="L497">
        <v>0</v>
      </c>
      <c r="M497">
        <v>0</v>
      </c>
      <c r="N497">
        <v>0</v>
      </c>
      <c r="O497">
        <v>0</v>
      </c>
      <c r="P497">
        <v>0</v>
      </c>
      <c r="Q497">
        <v>0</v>
      </c>
      <c r="R497">
        <v>0</v>
      </c>
      <c r="S497">
        <v>0</v>
      </c>
      <c r="T497">
        <v>0</v>
      </c>
      <c r="U497">
        <v>0</v>
      </c>
      <c r="V497">
        <v>0</v>
      </c>
      <c r="W497">
        <v>0</v>
      </c>
      <c r="X497">
        <v>0</v>
      </c>
      <c r="Y497">
        <v>0</v>
      </c>
      <c r="Z497">
        <v>0</v>
      </c>
      <c r="AA497">
        <v>0</v>
      </c>
      <c r="AB497">
        <v>0</v>
      </c>
    </row>
    <row r="498" spans="1:28">
      <c r="A498">
        <v>0</v>
      </c>
      <c r="B498">
        <v>0</v>
      </c>
      <c r="C498">
        <v>0</v>
      </c>
      <c r="D498">
        <v>0</v>
      </c>
      <c r="E498">
        <v>0</v>
      </c>
      <c r="F498">
        <v>0</v>
      </c>
      <c r="G498">
        <v>0</v>
      </c>
      <c r="H498">
        <v>0</v>
      </c>
      <c r="I498">
        <v>0</v>
      </c>
      <c r="J498">
        <v>0</v>
      </c>
      <c r="K498">
        <v>0</v>
      </c>
      <c r="L498">
        <v>0</v>
      </c>
      <c r="M498">
        <v>0</v>
      </c>
      <c r="N498">
        <v>0</v>
      </c>
      <c r="O498">
        <v>0</v>
      </c>
      <c r="P498">
        <v>0</v>
      </c>
      <c r="Q498">
        <v>0</v>
      </c>
      <c r="R498">
        <v>0</v>
      </c>
      <c r="S498">
        <v>0</v>
      </c>
      <c r="T498">
        <v>0</v>
      </c>
      <c r="U498">
        <v>0</v>
      </c>
      <c r="V498">
        <v>0</v>
      </c>
      <c r="W498">
        <v>0</v>
      </c>
      <c r="X498">
        <v>0</v>
      </c>
      <c r="Y498">
        <v>0</v>
      </c>
      <c r="Z498">
        <v>0</v>
      </c>
      <c r="AA498">
        <v>0</v>
      </c>
      <c r="AB498">
        <v>0</v>
      </c>
    </row>
    <row r="499" spans="1:28">
      <c r="A499">
        <v>0</v>
      </c>
      <c r="B499">
        <v>0</v>
      </c>
      <c r="C499">
        <v>0</v>
      </c>
      <c r="D499">
        <v>0</v>
      </c>
      <c r="E499">
        <v>0</v>
      </c>
      <c r="F499">
        <v>0</v>
      </c>
      <c r="G499">
        <v>0</v>
      </c>
      <c r="H499">
        <v>0</v>
      </c>
      <c r="I499">
        <v>0</v>
      </c>
      <c r="J499">
        <v>0</v>
      </c>
      <c r="K499">
        <v>0</v>
      </c>
      <c r="L499">
        <v>0</v>
      </c>
      <c r="M499">
        <v>0</v>
      </c>
      <c r="N499">
        <v>0</v>
      </c>
      <c r="O499">
        <v>0</v>
      </c>
      <c r="P499">
        <v>0</v>
      </c>
      <c r="Q499">
        <v>0</v>
      </c>
      <c r="R499">
        <v>0</v>
      </c>
      <c r="S499">
        <v>0</v>
      </c>
      <c r="T499">
        <v>0</v>
      </c>
      <c r="U499">
        <v>0</v>
      </c>
      <c r="V499">
        <v>0</v>
      </c>
      <c r="W499">
        <v>0</v>
      </c>
      <c r="X499">
        <v>0</v>
      </c>
      <c r="Y499">
        <v>0</v>
      </c>
      <c r="Z499">
        <v>0</v>
      </c>
      <c r="AA499">
        <v>0</v>
      </c>
      <c r="AB499">
        <v>0</v>
      </c>
    </row>
    <row r="500" spans="1:28">
      <c r="A500">
        <v>0</v>
      </c>
      <c r="B500">
        <v>0</v>
      </c>
      <c r="C500">
        <v>0</v>
      </c>
      <c r="D500">
        <v>0</v>
      </c>
      <c r="E500">
        <v>0</v>
      </c>
      <c r="F500">
        <v>0</v>
      </c>
      <c r="G500">
        <v>0</v>
      </c>
      <c r="H500">
        <v>0</v>
      </c>
      <c r="I500">
        <v>0</v>
      </c>
      <c r="J500">
        <v>0</v>
      </c>
      <c r="K500">
        <v>0</v>
      </c>
      <c r="L500">
        <v>0</v>
      </c>
      <c r="M500">
        <v>0</v>
      </c>
      <c r="N500">
        <v>0</v>
      </c>
      <c r="O500">
        <v>0</v>
      </c>
      <c r="P500">
        <v>0</v>
      </c>
      <c r="Q500">
        <v>0</v>
      </c>
      <c r="R500">
        <v>0</v>
      </c>
      <c r="S500">
        <v>0</v>
      </c>
      <c r="T500">
        <v>0</v>
      </c>
      <c r="U500">
        <v>0</v>
      </c>
      <c r="V500">
        <v>0</v>
      </c>
      <c r="W500">
        <v>0</v>
      </c>
      <c r="X500">
        <v>0</v>
      </c>
      <c r="Y500">
        <v>0</v>
      </c>
      <c r="Z500">
        <v>0</v>
      </c>
      <c r="AA500">
        <v>0</v>
      </c>
      <c r="AB500">
        <v>0</v>
      </c>
    </row>
    <row r="501" spans="1:28">
      <c r="A501">
        <v>0</v>
      </c>
      <c r="B501">
        <v>0</v>
      </c>
      <c r="C501">
        <v>0</v>
      </c>
      <c r="D501">
        <v>0</v>
      </c>
      <c r="E501">
        <v>0</v>
      </c>
      <c r="F501">
        <v>0</v>
      </c>
      <c r="G501">
        <v>0</v>
      </c>
      <c r="H501">
        <v>0</v>
      </c>
      <c r="I501">
        <v>0</v>
      </c>
      <c r="J501">
        <v>0</v>
      </c>
      <c r="K501">
        <v>0</v>
      </c>
      <c r="L501">
        <v>0</v>
      </c>
      <c r="M501">
        <v>0</v>
      </c>
      <c r="N501">
        <v>0</v>
      </c>
      <c r="O501">
        <v>0</v>
      </c>
      <c r="P501">
        <v>0</v>
      </c>
      <c r="Q501">
        <v>0</v>
      </c>
      <c r="R501">
        <v>0</v>
      </c>
      <c r="S501">
        <v>0</v>
      </c>
      <c r="T501">
        <v>0</v>
      </c>
      <c r="U501">
        <v>0</v>
      </c>
      <c r="V501">
        <v>0</v>
      </c>
      <c r="W501">
        <v>0</v>
      </c>
      <c r="X501">
        <v>0</v>
      </c>
      <c r="Y501">
        <v>0</v>
      </c>
      <c r="Z501">
        <v>0</v>
      </c>
      <c r="AA501">
        <v>0</v>
      </c>
      <c r="AB501">
        <v>0</v>
      </c>
    </row>
    <row r="502" spans="1:28">
      <c r="A502">
        <v>0</v>
      </c>
      <c r="B502">
        <v>0</v>
      </c>
      <c r="C502">
        <v>0</v>
      </c>
      <c r="D502">
        <v>0</v>
      </c>
      <c r="E502">
        <v>0</v>
      </c>
      <c r="F502">
        <v>0</v>
      </c>
      <c r="G502">
        <v>0</v>
      </c>
      <c r="H502">
        <v>0</v>
      </c>
      <c r="I502">
        <v>0</v>
      </c>
      <c r="J502">
        <v>0</v>
      </c>
      <c r="K502">
        <v>0</v>
      </c>
      <c r="L502">
        <v>0</v>
      </c>
      <c r="M502">
        <v>0</v>
      </c>
      <c r="N502">
        <v>0</v>
      </c>
      <c r="O502">
        <v>0</v>
      </c>
      <c r="P502">
        <v>0</v>
      </c>
      <c r="Q502">
        <v>0</v>
      </c>
      <c r="R502">
        <v>0</v>
      </c>
      <c r="S502">
        <v>0</v>
      </c>
      <c r="T502">
        <v>0</v>
      </c>
      <c r="U502">
        <v>0</v>
      </c>
      <c r="V502">
        <v>0</v>
      </c>
      <c r="W502">
        <v>0</v>
      </c>
      <c r="X502">
        <v>0</v>
      </c>
      <c r="Y502">
        <v>0</v>
      </c>
      <c r="Z502">
        <v>0</v>
      </c>
      <c r="AA502">
        <v>0</v>
      </c>
      <c r="AB502">
        <v>0</v>
      </c>
    </row>
    <row r="503" spans="1:28">
      <c r="A503">
        <v>0</v>
      </c>
      <c r="B503">
        <v>0</v>
      </c>
      <c r="C503">
        <v>0</v>
      </c>
      <c r="D503">
        <v>0</v>
      </c>
      <c r="E503">
        <v>0</v>
      </c>
      <c r="F503">
        <v>0</v>
      </c>
      <c r="G503">
        <v>0</v>
      </c>
      <c r="H503">
        <v>0</v>
      </c>
      <c r="I503">
        <v>0</v>
      </c>
      <c r="J503">
        <v>0</v>
      </c>
      <c r="K503">
        <v>0</v>
      </c>
      <c r="L503">
        <v>0</v>
      </c>
      <c r="M503">
        <v>0</v>
      </c>
      <c r="N503">
        <v>0</v>
      </c>
      <c r="O503">
        <v>0</v>
      </c>
      <c r="P503">
        <v>0</v>
      </c>
      <c r="Q503">
        <v>0</v>
      </c>
      <c r="R503">
        <v>0</v>
      </c>
      <c r="S503">
        <v>0</v>
      </c>
      <c r="T503">
        <v>0</v>
      </c>
      <c r="U503">
        <v>0</v>
      </c>
      <c r="V503">
        <v>0</v>
      </c>
      <c r="W503">
        <v>0</v>
      </c>
      <c r="X503">
        <v>0</v>
      </c>
      <c r="Y503">
        <v>0</v>
      </c>
      <c r="Z503">
        <v>0</v>
      </c>
      <c r="AA503">
        <v>0</v>
      </c>
      <c r="AB503">
        <v>0</v>
      </c>
    </row>
    <row r="504" spans="1:28">
      <c r="A504">
        <v>0</v>
      </c>
      <c r="B504">
        <v>0</v>
      </c>
      <c r="C504">
        <v>0</v>
      </c>
      <c r="D504">
        <v>0</v>
      </c>
      <c r="E504">
        <v>0</v>
      </c>
      <c r="F504">
        <v>0</v>
      </c>
      <c r="G504">
        <v>0</v>
      </c>
      <c r="H504">
        <v>0</v>
      </c>
      <c r="I504">
        <v>0</v>
      </c>
      <c r="J504">
        <v>0</v>
      </c>
      <c r="K504">
        <v>0</v>
      </c>
      <c r="L504">
        <v>0</v>
      </c>
      <c r="M504">
        <v>0</v>
      </c>
      <c r="N504">
        <v>0</v>
      </c>
      <c r="O504">
        <v>0</v>
      </c>
      <c r="P504">
        <v>0</v>
      </c>
      <c r="Q504">
        <v>0</v>
      </c>
      <c r="R504">
        <v>0</v>
      </c>
      <c r="S504">
        <v>0</v>
      </c>
      <c r="T504">
        <v>0</v>
      </c>
      <c r="U504">
        <v>0</v>
      </c>
      <c r="V504">
        <v>0</v>
      </c>
      <c r="W504">
        <v>0</v>
      </c>
      <c r="X504">
        <v>0</v>
      </c>
      <c r="Y504">
        <v>0</v>
      </c>
      <c r="Z504">
        <v>0</v>
      </c>
      <c r="AA504">
        <v>0</v>
      </c>
      <c r="AB504">
        <v>0</v>
      </c>
    </row>
    <row r="505" spans="1:28">
      <c r="A505">
        <v>0</v>
      </c>
      <c r="B505">
        <v>0</v>
      </c>
      <c r="C505">
        <v>0</v>
      </c>
      <c r="D505">
        <v>0</v>
      </c>
      <c r="E505">
        <v>0</v>
      </c>
      <c r="F505">
        <v>0</v>
      </c>
      <c r="G505">
        <v>0</v>
      </c>
      <c r="H505">
        <v>0</v>
      </c>
      <c r="I505">
        <v>0</v>
      </c>
      <c r="J505">
        <v>0</v>
      </c>
      <c r="K505">
        <v>0</v>
      </c>
      <c r="L505">
        <v>0</v>
      </c>
      <c r="M505">
        <v>0</v>
      </c>
      <c r="N505">
        <v>0</v>
      </c>
      <c r="O505">
        <v>0</v>
      </c>
      <c r="P505">
        <v>0</v>
      </c>
      <c r="Q505">
        <v>0</v>
      </c>
      <c r="R505">
        <v>0</v>
      </c>
      <c r="S505">
        <v>0</v>
      </c>
      <c r="T505">
        <v>0</v>
      </c>
      <c r="U505">
        <v>0</v>
      </c>
      <c r="V505">
        <v>0</v>
      </c>
      <c r="W505">
        <v>0</v>
      </c>
      <c r="X505">
        <v>0</v>
      </c>
      <c r="Y505">
        <v>0</v>
      </c>
      <c r="Z505">
        <v>0</v>
      </c>
      <c r="AA505">
        <v>0</v>
      </c>
      <c r="AB505">
        <v>0</v>
      </c>
    </row>
    <row r="506" spans="1:28">
      <c r="A506">
        <v>0</v>
      </c>
      <c r="B506">
        <v>0</v>
      </c>
      <c r="C506">
        <v>0</v>
      </c>
      <c r="D506">
        <v>0</v>
      </c>
      <c r="E506">
        <v>0</v>
      </c>
      <c r="F506">
        <v>0</v>
      </c>
      <c r="G506">
        <v>0</v>
      </c>
      <c r="H506">
        <v>0</v>
      </c>
      <c r="I506">
        <v>0</v>
      </c>
      <c r="J506">
        <v>0</v>
      </c>
      <c r="K506">
        <v>0</v>
      </c>
      <c r="L506">
        <v>0</v>
      </c>
      <c r="M506">
        <v>0</v>
      </c>
      <c r="N506">
        <v>0</v>
      </c>
      <c r="O506">
        <v>0</v>
      </c>
      <c r="P506">
        <v>0</v>
      </c>
      <c r="Q506">
        <v>0</v>
      </c>
      <c r="R506">
        <v>0</v>
      </c>
      <c r="S506">
        <v>0</v>
      </c>
      <c r="T506">
        <v>0</v>
      </c>
      <c r="U506">
        <v>0</v>
      </c>
      <c r="V506">
        <v>0</v>
      </c>
      <c r="W506">
        <v>0</v>
      </c>
      <c r="X506">
        <v>0</v>
      </c>
      <c r="Y506">
        <v>0</v>
      </c>
      <c r="Z506">
        <v>0</v>
      </c>
      <c r="AA506">
        <v>0</v>
      </c>
      <c r="AB506">
        <v>0</v>
      </c>
    </row>
    <row r="507" spans="1:28">
      <c r="A507">
        <v>0</v>
      </c>
      <c r="B507">
        <v>0</v>
      </c>
      <c r="C507">
        <v>0</v>
      </c>
      <c r="D507">
        <v>0</v>
      </c>
      <c r="E507">
        <v>0</v>
      </c>
      <c r="F507">
        <v>0</v>
      </c>
      <c r="G507">
        <v>0</v>
      </c>
      <c r="H507">
        <v>0</v>
      </c>
      <c r="I507">
        <v>0</v>
      </c>
      <c r="J507">
        <v>0</v>
      </c>
      <c r="K507">
        <v>0</v>
      </c>
      <c r="L507">
        <v>0</v>
      </c>
      <c r="M507">
        <v>0</v>
      </c>
      <c r="N507">
        <v>0</v>
      </c>
      <c r="O507">
        <v>0</v>
      </c>
      <c r="P507">
        <v>0</v>
      </c>
      <c r="Q507">
        <v>0</v>
      </c>
      <c r="R507">
        <v>0</v>
      </c>
      <c r="S507">
        <v>0</v>
      </c>
      <c r="T507">
        <v>0</v>
      </c>
      <c r="U507">
        <v>0</v>
      </c>
      <c r="V507">
        <v>0</v>
      </c>
      <c r="W507">
        <v>0</v>
      </c>
      <c r="X507">
        <v>0</v>
      </c>
      <c r="Y507">
        <v>0</v>
      </c>
      <c r="Z507">
        <v>0</v>
      </c>
      <c r="AA507">
        <v>0</v>
      </c>
      <c r="AB507">
        <v>0</v>
      </c>
    </row>
    <row r="508" spans="1:28">
      <c r="A508">
        <v>0</v>
      </c>
      <c r="B508">
        <v>0</v>
      </c>
      <c r="C508">
        <v>0</v>
      </c>
      <c r="D508">
        <v>0</v>
      </c>
      <c r="E508">
        <v>0</v>
      </c>
      <c r="F508">
        <v>0</v>
      </c>
      <c r="G508">
        <v>0</v>
      </c>
      <c r="H508">
        <v>0</v>
      </c>
      <c r="I508">
        <v>0</v>
      </c>
      <c r="J508">
        <v>0</v>
      </c>
      <c r="K508">
        <v>0</v>
      </c>
      <c r="L508">
        <v>0</v>
      </c>
      <c r="M508">
        <v>0</v>
      </c>
      <c r="N508">
        <v>0</v>
      </c>
      <c r="O508">
        <v>0</v>
      </c>
      <c r="P508">
        <v>0</v>
      </c>
      <c r="Q508">
        <v>0</v>
      </c>
      <c r="R508">
        <v>0</v>
      </c>
      <c r="S508">
        <v>0</v>
      </c>
      <c r="T508">
        <v>0</v>
      </c>
      <c r="U508">
        <v>0</v>
      </c>
      <c r="V508">
        <v>0</v>
      </c>
      <c r="W508">
        <v>0</v>
      </c>
      <c r="X508">
        <v>0</v>
      </c>
      <c r="Y508">
        <v>0</v>
      </c>
      <c r="Z508">
        <v>0</v>
      </c>
      <c r="AA508">
        <v>0</v>
      </c>
      <c r="AB508">
        <v>0</v>
      </c>
    </row>
    <row r="509" spans="1:28">
      <c r="A509">
        <v>0</v>
      </c>
      <c r="B509">
        <v>0</v>
      </c>
      <c r="C509">
        <v>0</v>
      </c>
      <c r="D509">
        <v>0</v>
      </c>
      <c r="E509">
        <v>0</v>
      </c>
      <c r="F509">
        <v>0</v>
      </c>
      <c r="G509">
        <v>0</v>
      </c>
      <c r="H509">
        <v>0</v>
      </c>
      <c r="I509">
        <v>0</v>
      </c>
      <c r="J509">
        <v>0</v>
      </c>
      <c r="K509">
        <v>0</v>
      </c>
      <c r="L509">
        <v>0</v>
      </c>
      <c r="M509">
        <v>0</v>
      </c>
      <c r="N509">
        <v>0</v>
      </c>
      <c r="O509">
        <v>0</v>
      </c>
      <c r="P509">
        <v>0</v>
      </c>
      <c r="Q509">
        <v>0</v>
      </c>
      <c r="R509">
        <v>0</v>
      </c>
      <c r="S509">
        <v>0</v>
      </c>
      <c r="T509">
        <v>0</v>
      </c>
      <c r="U509">
        <v>0</v>
      </c>
      <c r="V509">
        <v>0</v>
      </c>
      <c r="W509">
        <v>0</v>
      </c>
      <c r="X509">
        <v>0</v>
      </c>
      <c r="Y509">
        <v>0</v>
      </c>
      <c r="Z509">
        <v>0</v>
      </c>
      <c r="AA509">
        <v>0</v>
      </c>
      <c r="AB509">
        <v>0</v>
      </c>
    </row>
    <row r="510" spans="1:28">
      <c r="A510">
        <v>0</v>
      </c>
      <c r="B510">
        <v>0</v>
      </c>
      <c r="C510">
        <v>0</v>
      </c>
      <c r="D510">
        <v>0</v>
      </c>
      <c r="E510">
        <v>0</v>
      </c>
      <c r="F510">
        <v>0</v>
      </c>
      <c r="G510">
        <v>0</v>
      </c>
      <c r="H510">
        <v>0</v>
      </c>
      <c r="I510">
        <v>0</v>
      </c>
      <c r="J510">
        <v>0</v>
      </c>
      <c r="K510">
        <v>0</v>
      </c>
      <c r="L510">
        <v>0</v>
      </c>
      <c r="M510">
        <v>0</v>
      </c>
      <c r="N510">
        <v>0</v>
      </c>
      <c r="O510">
        <v>0</v>
      </c>
      <c r="P510">
        <v>0</v>
      </c>
      <c r="Q510">
        <v>0</v>
      </c>
      <c r="R510">
        <v>0</v>
      </c>
      <c r="S510">
        <v>0</v>
      </c>
      <c r="T510">
        <v>0</v>
      </c>
      <c r="U510">
        <v>0</v>
      </c>
      <c r="V510">
        <v>0</v>
      </c>
      <c r="W510">
        <v>0</v>
      </c>
      <c r="X510">
        <v>0</v>
      </c>
      <c r="Y510">
        <v>0</v>
      </c>
      <c r="Z510">
        <v>0</v>
      </c>
      <c r="AA510">
        <v>0</v>
      </c>
      <c r="AB510">
        <v>0</v>
      </c>
    </row>
    <row r="511" spans="1:28">
      <c r="A511">
        <v>0</v>
      </c>
      <c r="B511">
        <v>0</v>
      </c>
      <c r="C511">
        <v>0</v>
      </c>
      <c r="D511">
        <v>0</v>
      </c>
      <c r="E511">
        <v>0</v>
      </c>
      <c r="F511">
        <v>0</v>
      </c>
      <c r="G511">
        <v>0</v>
      </c>
      <c r="H511">
        <v>0</v>
      </c>
      <c r="I511">
        <v>0</v>
      </c>
      <c r="J511">
        <v>0</v>
      </c>
      <c r="K511">
        <v>0</v>
      </c>
      <c r="L511">
        <v>0</v>
      </c>
      <c r="M511">
        <v>0</v>
      </c>
      <c r="N511">
        <v>0</v>
      </c>
      <c r="O511">
        <v>0</v>
      </c>
      <c r="P511">
        <v>0</v>
      </c>
      <c r="Q511">
        <v>0</v>
      </c>
      <c r="R511">
        <v>0</v>
      </c>
      <c r="S511">
        <v>0</v>
      </c>
      <c r="T511">
        <v>0</v>
      </c>
      <c r="U511">
        <v>0</v>
      </c>
      <c r="V511">
        <v>0</v>
      </c>
      <c r="W511">
        <v>0</v>
      </c>
      <c r="X511">
        <v>0</v>
      </c>
      <c r="Y511">
        <v>0</v>
      </c>
      <c r="Z511">
        <v>0</v>
      </c>
      <c r="AA511">
        <v>0</v>
      </c>
      <c r="AB511">
        <v>0</v>
      </c>
    </row>
    <row r="512" spans="1:28">
      <c r="A512">
        <v>0</v>
      </c>
      <c r="B512">
        <v>0</v>
      </c>
      <c r="C512">
        <v>0</v>
      </c>
      <c r="D512">
        <v>0</v>
      </c>
      <c r="E512">
        <v>0</v>
      </c>
      <c r="F512">
        <v>0</v>
      </c>
      <c r="G512">
        <v>0</v>
      </c>
      <c r="H512">
        <v>0</v>
      </c>
      <c r="I512">
        <v>0</v>
      </c>
      <c r="J512">
        <v>0</v>
      </c>
      <c r="K512">
        <v>0</v>
      </c>
      <c r="L512">
        <v>0</v>
      </c>
      <c r="M512">
        <v>0</v>
      </c>
      <c r="N512">
        <v>0</v>
      </c>
      <c r="O512">
        <v>0</v>
      </c>
      <c r="P512">
        <v>0</v>
      </c>
      <c r="Q512">
        <v>0</v>
      </c>
      <c r="R512">
        <v>0</v>
      </c>
      <c r="S512">
        <v>0</v>
      </c>
      <c r="T512">
        <v>0</v>
      </c>
      <c r="U512">
        <v>0</v>
      </c>
      <c r="V512">
        <v>0</v>
      </c>
      <c r="W512">
        <v>0</v>
      </c>
      <c r="X512">
        <v>0</v>
      </c>
      <c r="Y512">
        <v>0</v>
      </c>
      <c r="Z512">
        <v>0</v>
      </c>
      <c r="AA512">
        <v>0</v>
      </c>
      <c r="AB512">
        <v>0</v>
      </c>
    </row>
    <row r="513" spans="1:28">
      <c r="A513">
        <v>0</v>
      </c>
      <c r="B513">
        <v>0</v>
      </c>
      <c r="C513">
        <v>0</v>
      </c>
      <c r="D513">
        <v>0</v>
      </c>
      <c r="E513">
        <v>0</v>
      </c>
      <c r="F513">
        <v>0</v>
      </c>
      <c r="G513">
        <v>0</v>
      </c>
      <c r="H513">
        <v>0</v>
      </c>
      <c r="I513">
        <v>0</v>
      </c>
      <c r="J513">
        <v>0</v>
      </c>
      <c r="K513">
        <v>0</v>
      </c>
      <c r="L513">
        <v>0</v>
      </c>
      <c r="M513">
        <v>0</v>
      </c>
      <c r="N513">
        <v>0</v>
      </c>
      <c r="O513">
        <v>0</v>
      </c>
      <c r="P513">
        <v>0</v>
      </c>
      <c r="Q513">
        <v>0</v>
      </c>
      <c r="R513">
        <v>0</v>
      </c>
      <c r="S513">
        <v>0</v>
      </c>
      <c r="T513">
        <v>0</v>
      </c>
      <c r="U513">
        <v>0</v>
      </c>
      <c r="V513">
        <v>0</v>
      </c>
      <c r="W513">
        <v>0</v>
      </c>
      <c r="X513">
        <v>0</v>
      </c>
      <c r="Y513">
        <v>0</v>
      </c>
      <c r="Z513">
        <v>0</v>
      </c>
      <c r="AA513">
        <v>0</v>
      </c>
      <c r="AB513">
        <v>0</v>
      </c>
    </row>
    <row r="514" spans="1:28">
      <c r="A514">
        <v>0</v>
      </c>
      <c r="B514">
        <v>0</v>
      </c>
      <c r="C514">
        <v>0</v>
      </c>
      <c r="D514">
        <v>0</v>
      </c>
      <c r="E514">
        <v>0</v>
      </c>
      <c r="F514">
        <v>0</v>
      </c>
      <c r="G514">
        <v>0</v>
      </c>
      <c r="H514">
        <v>0</v>
      </c>
      <c r="I514">
        <v>0</v>
      </c>
      <c r="J514">
        <v>0</v>
      </c>
      <c r="K514">
        <v>0</v>
      </c>
      <c r="L514">
        <v>0</v>
      </c>
      <c r="M514">
        <v>0</v>
      </c>
      <c r="N514">
        <v>0</v>
      </c>
      <c r="O514">
        <v>0</v>
      </c>
      <c r="P514">
        <v>0</v>
      </c>
      <c r="Q514">
        <v>0</v>
      </c>
      <c r="R514">
        <v>0</v>
      </c>
      <c r="S514">
        <v>0</v>
      </c>
      <c r="T514">
        <v>0</v>
      </c>
      <c r="U514">
        <v>0</v>
      </c>
      <c r="V514">
        <v>0</v>
      </c>
      <c r="W514">
        <v>0</v>
      </c>
      <c r="X514">
        <v>0</v>
      </c>
      <c r="Y514">
        <v>0</v>
      </c>
      <c r="Z514">
        <v>0</v>
      </c>
      <c r="AA514">
        <v>0</v>
      </c>
      <c r="AB514">
        <v>0</v>
      </c>
    </row>
    <row r="515" spans="1:28">
      <c r="A515">
        <v>0</v>
      </c>
      <c r="B515">
        <v>0</v>
      </c>
      <c r="C515">
        <v>0</v>
      </c>
      <c r="D515">
        <v>0</v>
      </c>
      <c r="E515">
        <v>0</v>
      </c>
      <c r="F515">
        <v>0</v>
      </c>
      <c r="G515">
        <v>0</v>
      </c>
      <c r="H515">
        <v>0</v>
      </c>
      <c r="I515">
        <v>0</v>
      </c>
      <c r="J515">
        <v>0</v>
      </c>
      <c r="K515">
        <v>0</v>
      </c>
      <c r="L515">
        <v>0</v>
      </c>
      <c r="M515">
        <v>0</v>
      </c>
      <c r="N515">
        <v>0</v>
      </c>
      <c r="O515">
        <v>0</v>
      </c>
      <c r="P515">
        <v>0</v>
      </c>
      <c r="Q515">
        <v>0</v>
      </c>
      <c r="R515">
        <v>0</v>
      </c>
      <c r="S515">
        <v>0</v>
      </c>
      <c r="T515">
        <v>0</v>
      </c>
      <c r="U515">
        <v>0</v>
      </c>
      <c r="V515">
        <v>0</v>
      </c>
      <c r="W515">
        <v>0</v>
      </c>
      <c r="X515">
        <v>0</v>
      </c>
      <c r="Y515">
        <v>0</v>
      </c>
      <c r="Z515">
        <v>0</v>
      </c>
      <c r="AA515">
        <v>0</v>
      </c>
      <c r="AB515">
        <v>0</v>
      </c>
    </row>
    <row r="516" spans="1:28">
      <c r="A516">
        <v>0</v>
      </c>
      <c r="B516">
        <v>0</v>
      </c>
      <c r="C516">
        <v>0</v>
      </c>
      <c r="D516">
        <v>0</v>
      </c>
      <c r="E516">
        <v>0</v>
      </c>
      <c r="F516">
        <v>0</v>
      </c>
      <c r="G516">
        <v>0</v>
      </c>
      <c r="H516">
        <v>0</v>
      </c>
      <c r="I516">
        <v>0</v>
      </c>
      <c r="J516">
        <v>0</v>
      </c>
      <c r="K516">
        <v>0</v>
      </c>
      <c r="L516">
        <v>0</v>
      </c>
      <c r="M516">
        <v>0</v>
      </c>
      <c r="N516">
        <v>0</v>
      </c>
      <c r="O516">
        <v>0</v>
      </c>
      <c r="P516">
        <v>0</v>
      </c>
      <c r="Q516">
        <v>0</v>
      </c>
      <c r="R516">
        <v>0</v>
      </c>
      <c r="S516">
        <v>0</v>
      </c>
      <c r="T516">
        <v>0</v>
      </c>
      <c r="U516">
        <v>0</v>
      </c>
      <c r="V516">
        <v>0</v>
      </c>
      <c r="W516">
        <v>0</v>
      </c>
      <c r="X516">
        <v>0</v>
      </c>
      <c r="Y516">
        <v>0</v>
      </c>
      <c r="Z516">
        <v>0</v>
      </c>
      <c r="AA516">
        <v>0</v>
      </c>
      <c r="AB516">
        <v>0</v>
      </c>
    </row>
    <row r="517" spans="1:28">
      <c r="A517">
        <v>0</v>
      </c>
      <c r="B517">
        <v>0</v>
      </c>
      <c r="C517">
        <v>0</v>
      </c>
      <c r="D517">
        <v>0</v>
      </c>
      <c r="E517">
        <v>0</v>
      </c>
      <c r="F517">
        <v>0</v>
      </c>
      <c r="G517">
        <v>0</v>
      </c>
      <c r="H517">
        <v>0</v>
      </c>
      <c r="I517">
        <v>0</v>
      </c>
      <c r="J517">
        <v>0</v>
      </c>
      <c r="K517">
        <v>0</v>
      </c>
      <c r="L517">
        <v>0</v>
      </c>
      <c r="M517">
        <v>0</v>
      </c>
      <c r="N517">
        <v>0</v>
      </c>
      <c r="O517">
        <v>0</v>
      </c>
      <c r="P517">
        <v>0</v>
      </c>
      <c r="Q517">
        <v>0</v>
      </c>
      <c r="R517">
        <v>0</v>
      </c>
      <c r="S517">
        <v>0</v>
      </c>
      <c r="T517">
        <v>0</v>
      </c>
      <c r="U517">
        <v>0</v>
      </c>
      <c r="V517">
        <v>0</v>
      </c>
      <c r="W517">
        <v>0</v>
      </c>
      <c r="X517">
        <v>0</v>
      </c>
      <c r="Y517">
        <v>0</v>
      </c>
      <c r="Z517">
        <v>0</v>
      </c>
      <c r="AA517">
        <v>0</v>
      </c>
      <c r="AB517">
        <v>0</v>
      </c>
    </row>
    <row r="518" spans="1:28">
      <c r="A518">
        <v>0</v>
      </c>
      <c r="B518">
        <v>0</v>
      </c>
      <c r="C518">
        <v>0</v>
      </c>
      <c r="D518">
        <v>0</v>
      </c>
      <c r="E518">
        <v>0</v>
      </c>
      <c r="F518">
        <v>0</v>
      </c>
      <c r="G518">
        <v>0</v>
      </c>
      <c r="H518">
        <v>0</v>
      </c>
      <c r="I518">
        <v>0</v>
      </c>
      <c r="J518">
        <v>0</v>
      </c>
      <c r="K518">
        <v>0</v>
      </c>
      <c r="L518">
        <v>0</v>
      </c>
      <c r="M518">
        <v>0</v>
      </c>
      <c r="N518">
        <v>0</v>
      </c>
      <c r="O518">
        <v>0</v>
      </c>
      <c r="P518">
        <v>0</v>
      </c>
      <c r="Q518">
        <v>0</v>
      </c>
      <c r="R518">
        <v>0</v>
      </c>
      <c r="S518">
        <v>0</v>
      </c>
      <c r="T518">
        <v>0</v>
      </c>
      <c r="U518">
        <v>0</v>
      </c>
      <c r="V518">
        <v>0</v>
      </c>
      <c r="W518">
        <v>0</v>
      </c>
      <c r="X518">
        <v>0</v>
      </c>
      <c r="Y518">
        <v>0</v>
      </c>
      <c r="Z518">
        <v>0</v>
      </c>
      <c r="AA518">
        <v>0</v>
      </c>
      <c r="AB518">
        <v>0</v>
      </c>
    </row>
    <row r="519" spans="1:28">
      <c r="A519">
        <v>0</v>
      </c>
      <c r="B519">
        <v>0</v>
      </c>
      <c r="C519">
        <v>0</v>
      </c>
      <c r="D519">
        <v>0</v>
      </c>
      <c r="E519">
        <v>0</v>
      </c>
      <c r="F519">
        <v>0</v>
      </c>
      <c r="G519">
        <v>0</v>
      </c>
      <c r="H519">
        <v>0</v>
      </c>
      <c r="I519">
        <v>0</v>
      </c>
      <c r="J519">
        <v>0</v>
      </c>
      <c r="K519">
        <v>0</v>
      </c>
      <c r="L519">
        <v>0</v>
      </c>
      <c r="M519">
        <v>0</v>
      </c>
      <c r="N519">
        <v>0</v>
      </c>
      <c r="O519">
        <v>0</v>
      </c>
      <c r="P519">
        <v>0</v>
      </c>
      <c r="Q519">
        <v>0</v>
      </c>
      <c r="R519">
        <v>0</v>
      </c>
      <c r="S519">
        <v>0</v>
      </c>
      <c r="T519">
        <v>0</v>
      </c>
      <c r="U519">
        <v>0</v>
      </c>
      <c r="V519">
        <v>0</v>
      </c>
      <c r="W519">
        <v>0</v>
      </c>
      <c r="X519">
        <v>0</v>
      </c>
      <c r="Y519">
        <v>0</v>
      </c>
      <c r="Z519">
        <v>0</v>
      </c>
      <c r="AA519">
        <v>0</v>
      </c>
      <c r="AB519">
        <v>0</v>
      </c>
    </row>
    <row r="520" spans="1:28">
      <c r="A520">
        <v>0</v>
      </c>
      <c r="B520">
        <v>0</v>
      </c>
      <c r="C520">
        <v>0</v>
      </c>
      <c r="D520">
        <v>0</v>
      </c>
      <c r="E520">
        <v>0</v>
      </c>
      <c r="F520">
        <v>0</v>
      </c>
      <c r="G520">
        <v>0</v>
      </c>
      <c r="H520">
        <v>0</v>
      </c>
      <c r="I520">
        <v>0</v>
      </c>
      <c r="J520">
        <v>0</v>
      </c>
      <c r="K520">
        <v>0</v>
      </c>
      <c r="L520">
        <v>0</v>
      </c>
      <c r="M520">
        <v>0</v>
      </c>
      <c r="N520">
        <v>0</v>
      </c>
      <c r="O520">
        <v>0</v>
      </c>
      <c r="P520">
        <v>0</v>
      </c>
      <c r="Q520">
        <v>0</v>
      </c>
      <c r="R520">
        <v>0</v>
      </c>
      <c r="S520">
        <v>0</v>
      </c>
      <c r="T520">
        <v>0</v>
      </c>
      <c r="U520">
        <v>0</v>
      </c>
      <c r="V520">
        <v>0</v>
      </c>
      <c r="W520">
        <v>0</v>
      </c>
      <c r="X520">
        <v>0</v>
      </c>
      <c r="Y520">
        <v>0</v>
      </c>
      <c r="Z520">
        <v>0</v>
      </c>
      <c r="AA520">
        <v>0</v>
      </c>
      <c r="AB520">
        <v>0</v>
      </c>
    </row>
    <row r="521" spans="1:28">
      <c r="A521">
        <v>0</v>
      </c>
      <c r="B521">
        <v>0</v>
      </c>
      <c r="C521">
        <v>0</v>
      </c>
      <c r="D521">
        <v>0</v>
      </c>
      <c r="E521">
        <v>0</v>
      </c>
      <c r="F521">
        <v>0</v>
      </c>
      <c r="G521">
        <v>0</v>
      </c>
      <c r="H521">
        <v>0</v>
      </c>
      <c r="I521">
        <v>0</v>
      </c>
      <c r="J521">
        <v>0</v>
      </c>
      <c r="K521">
        <v>0</v>
      </c>
      <c r="L521">
        <v>0</v>
      </c>
      <c r="M521">
        <v>0</v>
      </c>
      <c r="N521">
        <v>0</v>
      </c>
      <c r="O521">
        <v>0</v>
      </c>
      <c r="P521">
        <v>0</v>
      </c>
      <c r="Q521">
        <v>0</v>
      </c>
      <c r="R521">
        <v>0</v>
      </c>
      <c r="S521">
        <v>0</v>
      </c>
      <c r="T521">
        <v>0</v>
      </c>
      <c r="U521">
        <v>0</v>
      </c>
      <c r="V521">
        <v>0</v>
      </c>
      <c r="W521">
        <v>0</v>
      </c>
      <c r="X521">
        <v>0</v>
      </c>
      <c r="Y521">
        <v>0</v>
      </c>
      <c r="Z521">
        <v>0</v>
      </c>
      <c r="AA521">
        <v>0</v>
      </c>
      <c r="AB521">
        <v>0</v>
      </c>
    </row>
    <row r="522" spans="1:28">
      <c r="A522">
        <v>0</v>
      </c>
      <c r="B522">
        <v>0</v>
      </c>
      <c r="C522">
        <v>0</v>
      </c>
      <c r="D522">
        <v>0</v>
      </c>
      <c r="E522">
        <v>0</v>
      </c>
      <c r="F522">
        <v>0</v>
      </c>
      <c r="G522">
        <v>0</v>
      </c>
      <c r="H522">
        <v>0</v>
      </c>
      <c r="I522">
        <v>0</v>
      </c>
      <c r="J522">
        <v>0</v>
      </c>
      <c r="K522">
        <v>0</v>
      </c>
      <c r="L522">
        <v>0</v>
      </c>
      <c r="M522">
        <v>0</v>
      </c>
      <c r="N522">
        <v>0</v>
      </c>
      <c r="O522">
        <v>0</v>
      </c>
      <c r="P522">
        <v>0</v>
      </c>
      <c r="Q522">
        <v>0</v>
      </c>
      <c r="R522">
        <v>0</v>
      </c>
      <c r="S522">
        <v>0</v>
      </c>
      <c r="T522">
        <v>0</v>
      </c>
      <c r="U522">
        <v>0</v>
      </c>
      <c r="V522">
        <v>0</v>
      </c>
      <c r="W522">
        <v>0</v>
      </c>
      <c r="X522">
        <v>0</v>
      </c>
      <c r="Y522">
        <v>0</v>
      </c>
      <c r="Z522">
        <v>0</v>
      </c>
      <c r="AA522">
        <v>0</v>
      </c>
      <c r="AB522">
        <v>0</v>
      </c>
    </row>
    <row r="523" spans="1:28">
      <c r="A523">
        <v>0</v>
      </c>
      <c r="B523">
        <v>0</v>
      </c>
      <c r="C523">
        <v>0</v>
      </c>
      <c r="D523">
        <v>0</v>
      </c>
      <c r="E523">
        <v>0</v>
      </c>
      <c r="F523">
        <v>0</v>
      </c>
      <c r="G523">
        <v>0</v>
      </c>
      <c r="H523">
        <v>0</v>
      </c>
      <c r="I523">
        <v>0</v>
      </c>
      <c r="J523">
        <v>0</v>
      </c>
      <c r="K523">
        <v>0</v>
      </c>
      <c r="L523">
        <v>0</v>
      </c>
      <c r="M523">
        <v>0</v>
      </c>
      <c r="N523">
        <v>0</v>
      </c>
      <c r="O523">
        <v>0</v>
      </c>
      <c r="P523">
        <v>0</v>
      </c>
      <c r="Q523">
        <v>0</v>
      </c>
      <c r="R523">
        <v>0</v>
      </c>
      <c r="S523">
        <v>0</v>
      </c>
      <c r="T523">
        <v>0</v>
      </c>
      <c r="U523">
        <v>0</v>
      </c>
      <c r="V523">
        <v>0</v>
      </c>
      <c r="W523">
        <v>0</v>
      </c>
      <c r="X523">
        <v>0</v>
      </c>
      <c r="Y523">
        <v>0</v>
      </c>
      <c r="Z523">
        <v>0</v>
      </c>
      <c r="AA523">
        <v>0</v>
      </c>
      <c r="AB523">
        <v>0</v>
      </c>
    </row>
    <row r="524" spans="1:28">
      <c r="A524">
        <v>0</v>
      </c>
      <c r="B524">
        <v>0</v>
      </c>
      <c r="C524">
        <v>0</v>
      </c>
      <c r="D524">
        <v>0</v>
      </c>
      <c r="E524">
        <v>0</v>
      </c>
      <c r="F524">
        <v>0</v>
      </c>
      <c r="G524">
        <v>0</v>
      </c>
      <c r="H524">
        <v>0</v>
      </c>
      <c r="I524">
        <v>0</v>
      </c>
      <c r="J524">
        <v>0</v>
      </c>
      <c r="K524">
        <v>0</v>
      </c>
      <c r="L524">
        <v>0</v>
      </c>
      <c r="M524">
        <v>0</v>
      </c>
      <c r="N524">
        <v>0</v>
      </c>
      <c r="O524">
        <v>0</v>
      </c>
      <c r="P524">
        <v>0</v>
      </c>
      <c r="Q524">
        <v>0</v>
      </c>
      <c r="R524">
        <v>0</v>
      </c>
      <c r="S524">
        <v>0</v>
      </c>
      <c r="T524">
        <v>0</v>
      </c>
      <c r="U524">
        <v>0</v>
      </c>
      <c r="V524">
        <v>0</v>
      </c>
      <c r="W524">
        <v>0</v>
      </c>
      <c r="X524">
        <v>0</v>
      </c>
      <c r="Y524">
        <v>0</v>
      </c>
      <c r="Z524">
        <v>0</v>
      </c>
      <c r="AA524">
        <v>0</v>
      </c>
      <c r="AB524">
        <v>0</v>
      </c>
    </row>
    <row r="525" spans="1:28">
      <c r="A525">
        <v>0</v>
      </c>
      <c r="B525">
        <v>0</v>
      </c>
      <c r="C525">
        <v>0</v>
      </c>
      <c r="D525">
        <v>0</v>
      </c>
      <c r="E525">
        <v>0</v>
      </c>
      <c r="F525">
        <v>0</v>
      </c>
      <c r="G525">
        <v>0</v>
      </c>
      <c r="H525">
        <v>0</v>
      </c>
      <c r="I525">
        <v>0</v>
      </c>
      <c r="J525">
        <v>0</v>
      </c>
      <c r="K525">
        <v>0</v>
      </c>
      <c r="L525">
        <v>0</v>
      </c>
      <c r="M525">
        <v>0</v>
      </c>
      <c r="N525">
        <v>0</v>
      </c>
      <c r="O525">
        <v>0</v>
      </c>
      <c r="P525">
        <v>0</v>
      </c>
      <c r="Q525">
        <v>0</v>
      </c>
      <c r="R525">
        <v>0</v>
      </c>
      <c r="S525">
        <v>0</v>
      </c>
      <c r="T525">
        <v>0</v>
      </c>
      <c r="U525">
        <v>0</v>
      </c>
      <c r="V525">
        <v>0</v>
      </c>
      <c r="W525">
        <v>0</v>
      </c>
      <c r="X525">
        <v>0</v>
      </c>
      <c r="Y525">
        <v>0</v>
      </c>
      <c r="Z525">
        <v>0</v>
      </c>
      <c r="AA525">
        <v>0</v>
      </c>
      <c r="AB525">
        <v>0</v>
      </c>
    </row>
    <row r="526" spans="1:28">
      <c r="A526">
        <v>0</v>
      </c>
      <c r="B526">
        <v>0</v>
      </c>
      <c r="C526">
        <v>0</v>
      </c>
      <c r="D526">
        <v>0</v>
      </c>
      <c r="E526">
        <v>0</v>
      </c>
      <c r="F526">
        <v>0</v>
      </c>
      <c r="G526">
        <v>0</v>
      </c>
      <c r="H526">
        <v>0</v>
      </c>
      <c r="I526">
        <v>0</v>
      </c>
      <c r="J526">
        <v>0</v>
      </c>
      <c r="K526">
        <v>0</v>
      </c>
      <c r="L526">
        <v>0</v>
      </c>
      <c r="M526">
        <v>0</v>
      </c>
      <c r="N526">
        <v>0</v>
      </c>
      <c r="O526">
        <v>0</v>
      </c>
      <c r="P526">
        <v>0</v>
      </c>
      <c r="Q526">
        <v>0</v>
      </c>
      <c r="R526">
        <v>0</v>
      </c>
      <c r="S526">
        <v>0</v>
      </c>
      <c r="T526">
        <v>0</v>
      </c>
      <c r="U526">
        <v>0</v>
      </c>
      <c r="V526">
        <v>0</v>
      </c>
      <c r="W526">
        <v>0</v>
      </c>
      <c r="X526">
        <v>0</v>
      </c>
      <c r="Y526">
        <v>0</v>
      </c>
      <c r="Z526">
        <v>0</v>
      </c>
      <c r="AA526">
        <v>0</v>
      </c>
      <c r="AB526">
        <v>0</v>
      </c>
    </row>
    <row r="527" spans="1:28">
      <c r="A527">
        <v>0</v>
      </c>
      <c r="B527">
        <v>0</v>
      </c>
      <c r="C527">
        <v>0</v>
      </c>
      <c r="D527">
        <v>0</v>
      </c>
      <c r="E527">
        <v>0</v>
      </c>
      <c r="F527">
        <v>0</v>
      </c>
      <c r="G527">
        <v>0</v>
      </c>
      <c r="H527">
        <v>0</v>
      </c>
      <c r="I527">
        <v>0</v>
      </c>
      <c r="J527">
        <v>0</v>
      </c>
      <c r="K527">
        <v>0</v>
      </c>
      <c r="L527">
        <v>0</v>
      </c>
      <c r="M527">
        <v>0</v>
      </c>
      <c r="N527">
        <v>0</v>
      </c>
      <c r="O527">
        <v>0</v>
      </c>
      <c r="P527">
        <v>0</v>
      </c>
      <c r="Q527">
        <v>0</v>
      </c>
      <c r="R527">
        <v>0</v>
      </c>
      <c r="S527">
        <v>0</v>
      </c>
      <c r="T527">
        <v>0</v>
      </c>
      <c r="U527">
        <v>0</v>
      </c>
      <c r="V527">
        <v>0</v>
      </c>
      <c r="W527">
        <v>0</v>
      </c>
      <c r="X527">
        <v>0</v>
      </c>
      <c r="Y527">
        <v>0</v>
      </c>
      <c r="Z527">
        <v>0</v>
      </c>
      <c r="AA527">
        <v>0</v>
      </c>
      <c r="AB527">
        <v>0</v>
      </c>
    </row>
    <row r="528" spans="1:28">
      <c r="A528">
        <v>0</v>
      </c>
      <c r="B528">
        <v>0</v>
      </c>
      <c r="C528">
        <v>0</v>
      </c>
      <c r="D528">
        <v>0</v>
      </c>
      <c r="E528">
        <v>0</v>
      </c>
      <c r="F528">
        <v>0</v>
      </c>
      <c r="G528">
        <v>0</v>
      </c>
      <c r="H528">
        <v>0</v>
      </c>
      <c r="I528">
        <v>0</v>
      </c>
      <c r="J528">
        <v>0</v>
      </c>
      <c r="K528">
        <v>0</v>
      </c>
      <c r="L528">
        <v>0</v>
      </c>
      <c r="M528">
        <v>0</v>
      </c>
      <c r="N528">
        <v>0</v>
      </c>
      <c r="O528">
        <v>0</v>
      </c>
      <c r="P528">
        <v>0</v>
      </c>
      <c r="Q528">
        <v>0</v>
      </c>
      <c r="R528">
        <v>0</v>
      </c>
      <c r="S528">
        <v>0</v>
      </c>
      <c r="T528">
        <v>0</v>
      </c>
      <c r="U528">
        <v>0</v>
      </c>
      <c r="V528">
        <v>0</v>
      </c>
      <c r="W528">
        <v>0</v>
      </c>
      <c r="X528">
        <v>0</v>
      </c>
      <c r="Y528">
        <v>0</v>
      </c>
      <c r="Z528">
        <v>0</v>
      </c>
      <c r="AA528">
        <v>0</v>
      </c>
      <c r="AB528">
        <v>0</v>
      </c>
    </row>
    <row r="529" spans="1:28">
      <c r="A529">
        <v>0</v>
      </c>
      <c r="B529">
        <v>0</v>
      </c>
      <c r="C529">
        <v>0</v>
      </c>
      <c r="D529">
        <v>0</v>
      </c>
      <c r="E529">
        <v>0</v>
      </c>
      <c r="F529">
        <v>0</v>
      </c>
      <c r="G529">
        <v>0</v>
      </c>
      <c r="H529">
        <v>0</v>
      </c>
      <c r="I529">
        <v>0</v>
      </c>
      <c r="J529">
        <v>0</v>
      </c>
      <c r="K529">
        <v>0</v>
      </c>
      <c r="L529">
        <v>0</v>
      </c>
      <c r="M529">
        <v>0</v>
      </c>
      <c r="N529">
        <v>0</v>
      </c>
      <c r="O529">
        <v>0</v>
      </c>
      <c r="P529">
        <v>0</v>
      </c>
      <c r="Q529">
        <v>0</v>
      </c>
      <c r="R529">
        <v>0</v>
      </c>
      <c r="S529">
        <v>0</v>
      </c>
      <c r="T529">
        <v>0</v>
      </c>
      <c r="U529">
        <v>0</v>
      </c>
      <c r="V529">
        <v>0</v>
      </c>
      <c r="W529">
        <v>0</v>
      </c>
      <c r="X529">
        <v>0</v>
      </c>
      <c r="Y529">
        <v>0</v>
      </c>
      <c r="Z529">
        <v>0</v>
      </c>
      <c r="AA529">
        <v>0</v>
      </c>
      <c r="AB529">
        <v>0</v>
      </c>
    </row>
    <row r="530" spans="1:28">
      <c r="A530">
        <v>0</v>
      </c>
      <c r="B530">
        <v>0</v>
      </c>
      <c r="C530">
        <v>0</v>
      </c>
      <c r="D530">
        <v>0</v>
      </c>
      <c r="E530">
        <v>0</v>
      </c>
      <c r="F530">
        <v>0</v>
      </c>
      <c r="G530">
        <v>0</v>
      </c>
      <c r="H530">
        <v>0</v>
      </c>
      <c r="I530">
        <v>0</v>
      </c>
      <c r="J530">
        <v>0</v>
      </c>
      <c r="K530">
        <v>0</v>
      </c>
      <c r="L530">
        <v>0</v>
      </c>
      <c r="M530">
        <v>0</v>
      </c>
      <c r="N530">
        <v>0</v>
      </c>
      <c r="O530">
        <v>0</v>
      </c>
      <c r="P530">
        <v>0</v>
      </c>
      <c r="Q530">
        <v>0</v>
      </c>
      <c r="R530">
        <v>0</v>
      </c>
      <c r="S530">
        <v>0</v>
      </c>
      <c r="T530">
        <v>0</v>
      </c>
      <c r="U530">
        <v>0</v>
      </c>
      <c r="V530">
        <v>0</v>
      </c>
      <c r="W530">
        <v>0</v>
      </c>
      <c r="X530">
        <v>0</v>
      </c>
      <c r="Y530">
        <v>0</v>
      </c>
      <c r="Z530">
        <v>0</v>
      </c>
      <c r="AA530">
        <v>0</v>
      </c>
      <c r="AB530">
        <v>0</v>
      </c>
    </row>
    <row r="531" spans="1:28">
      <c r="A531">
        <v>0</v>
      </c>
      <c r="B531">
        <v>0</v>
      </c>
      <c r="C531">
        <v>0</v>
      </c>
      <c r="D531">
        <v>0</v>
      </c>
      <c r="E531">
        <v>0</v>
      </c>
      <c r="F531">
        <v>0</v>
      </c>
      <c r="G531">
        <v>0</v>
      </c>
      <c r="H531">
        <v>0</v>
      </c>
      <c r="I531">
        <v>0</v>
      </c>
      <c r="J531">
        <v>0</v>
      </c>
      <c r="K531">
        <v>0</v>
      </c>
      <c r="L531">
        <v>0</v>
      </c>
      <c r="M531">
        <v>0</v>
      </c>
      <c r="N531">
        <v>0</v>
      </c>
      <c r="O531">
        <v>0</v>
      </c>
      <c r="P531">
        <v>0</v>
      </c>
      <c r="Q531">
        <v>0</v>
      </c>
      <c r="R531">
        <v>0</v>
      </c>
      <c r="S531">
        <v>0</v>
      </c>
      <c r="T531">
        <v>0</v>
      </c>
      <c r="U531">
        <v>0</v>
      </c>
      <c r="V531">
        <v>0</v>
      </c>
      <c r="W531">
        <v>0</v>
      </c>
      <c r="X531">
        <v>0</v>
      </c>
      <c r="Y531">
        <v>0</v>
      </c>
      <c r="Z531">
        <v>0</v>
      </c>
      <c r="AA531">
        <v>0</v>
      </c>
      <c r="AB531">
        <v>0</v>
      </c>
    </row>
    <row r="532" spans="1:28">
      <c r="A532">
        <v>0</v>
      </c>
      <c r="B532">
        <v>0</v>
      </c>
      <c r="C532">
        <v>0</v>
      </c>
      <c r="D532">
        <v>0</v>
      </c>
      <c r="E532">
        <v>0</v>
      </c>
      <c r="F532">
        <v>0</v>
      </c>
      <c r="G532">
        <v>0</v>
      </c>
      <c r="H532">
        <v>0</v>
      </c>
      <c r="I532">
        <v>0</v>
      </c>
      <c r="J532">
        <v>0</v>
      </c>
      <c r="K532">
        <v>0</v>
      </c>
      <c r="L532">
        <v>0</v>
      </c>
      <c r="M532">
        <v>0</v>
      </c>
      <c r="N532">
        <v>0</v>
      </c>
      <c r="O532">
        <v>0</v>
      </c>
      <c r="P532">
        <v>0</v>
      </c>
      <c r="Q532">
        <v>0</v>
      </c>
      <c r="R532">
        <v>0</v>
      </c>
      <c r="S532">
        <v>0</v>
      </c>
      <c r="T532">
        <v>0</v>
      </c>
      <c r="U532">
        <v>0</v>
      </c>
      <c r="V532">
        <v>0</v>
      </c>
      <c r="W532">
        <v>0</v>
      </c>
      <c r="X532">
        <v>0</v>
      </c>
      <c r="Y532">
        <v>0</v>
      </c>
      <c r="Z532">
        <v>0</v>
      </c>
      <c r="AA532">
        <v>0</v>
      </c>
      <c r="AB532">
        <v>0</v>
      </c>
    </row>
    <row r="533" spans="1:28">
      <c r="A533">
        <v>0</v>
      </c>
      <c r="B533">
        <v>0</v>
      </c>
      <c r="C533">
        <v>0</v>
      </c>
      <c r="D533">
        <v>0</v>
      </c>
      <c r="E533">
        <v>0</v>
      </c>
      <c r="F533">
        <v>0</v>
      </c>
      <c r="G533">
        <v>0</v>
      </c>
      <c r="H533">
        <v>0</v>
      </c>
      <c r="I533">
        <v>0</v>
      </c>
      <c r="J533">
        <v>0</v>
      </c>
      <c r="K533">
        <v>0</v>
      </c>
      <c r="L533">
        <v>0</v>
      </c>
      <c r="M533">
        <v>0</v>
      </c>
      <c r="N533">
        <v>0</v>
      </c>
      <c r="O533">
        <v>0</v>
      </c>
      <c r="P533">
        <v>0</v>
      </c>
      <c r="Q533">
        <v>0</v>
      </c>
      <c r="R533">
        <v>0</v>
      </c>
      <c r="S533">
        <v>0</v>
      </c>
      <c r="T533">
        <v>0</v>
      </c>
      <c r="U533">
        <v>0</v>
      </c>
      <c r="V533">
        <v>0</v>
      </c>
      <c r="W533">
        <v>0</v>
      </c>
      <c r="X533">
        <v>0</v>
      </c>
      <c r="Y533">
        <v>0</v>
      </c>
      <c r="Z533">
        <v>0</v>
      </c>
      <c r="AA533">
        <v>0</v>
      </c>
      <c r="AB533">
        <v>0</v>
      </c>
    </row>
    <row r="534" spans="1:28">
      <c r="A534">
        <v>0</v>
      </c>
      <c r="B534">
        <v>0</v>
      </c>
      <c r="C534">
        <v>0</v>
      </c>
      <c r="D534">
        <v>0</v>
      </c>
      <c r="E534">
        <v>0</v>
      </c>
      <c r="F534">
        <v>0</v>
      </c>
      <c r="G534">
        <v>0</v>
      </c>
      <c r="H534">
        <v>0</v>
      </c>
      <c r="I534">
        <v>0</v>
      </c>
      <c r="J534">
        <v>0</v>
      </c>
      <c r="K534">
        <v>0</v>
      </c>
      <c r="L534">
        <v>0</v>
      </c>
      <c r="M534">
        <v>0</v>
      </c>
      <c r="N534">
        <v>0</v>
      </c>
      <c r="O534">
        <v>0</v>
      </c>
      <c r="P534">
        <v>0</v>
      </c>
      <c r="Q534">
        <v>0</v>
      </c>
      <c r="R534">
        <v>0</v>
      </c>
      <c r="S534">
        <v>0</v>
      </c>
      <c r="T534">
        <v>0</v>
      </c>
      <c r="U534">
        <v>0</v>
      </c>
      <c r="V534">
        <v>0</v>
      </c>
      <c r="W534">
        <v>0</v>
      </c>
      <c r="X534">
        <v>0</v>
      </c>
      <c r="Y534">
        <v>0</v>
      </c>
      <c r="Z534">
        <v>0</v>
      </c>
      <c r="AA534">
        <v>0</v>
      </c>
      <c r="AB534">
        <v>0</v>
      </c>
    </row>
    <row r="535" spans="1:28">
      <c r="A535">
        <v>0</v>
      </c>
      <c r="B535">
        <v>0</v>
      </c>
      <c r="C535">
        <v>0</v>
      </c>
      <c r="D535">
        <v>0</v>
      </c>
      <c r="E535">
        <v>0</v>
      </c>
      <c r="F535">
        <v>0</v>
      </c>
      <c r="G535">
        <v>0</v>
      </c>
      <c r="H535">
        <v>0</v>
      </c>
      <c r="I535">
        <v>0</v>
      </c>
      <c r="J535">
        <v>0</v>
      </c>
      <c r="K535">
        <v>0</v>
      </c>
      <c r="L535">
        <v>0</v>
      </c>
      <c r="M535">
        <v>0</v>
      </c>
      <c r="N535">
        <v>0</v>
      </c>
      <c r="O535">
        <v>0</v>
      </c>
      <c r="P535">
        <v>0</v>
      </c>
      <c r="Q535">
        <v>0</v>
      </c>
      <c r="R535">
        <v>0</v>
      </c>
      <c r="S535">
        <v>0</v>
      </c>
      <c r="T535">
        <v>0</v>
      </c>
      <c r="U535">
        <v>0</v>
      </c>
      <c r="V535">
        <v>0</v>
      </c>
      <c r="W535">
        <v>0</v>
      </c>
      <c r="X535">
        <v>0</v>
      </c>
      <c r="Y535">
        <v>0</v>
      </c>
      <c r="Z535">
        <v>0</v>
      </c>
      <c r="AA535">
        <v>0</v>
      </c>
      <c r="AB535">
        <v>0</v>
      </c>
    </row>
    <row r="536" spans="1:28">
      <c r="A536">
        <v>0</v>
      </c>
      <c r="B536">
        <v>0</v>
      </c>
      <c r="C536">
        <v>0</v>
      </c>
      <c r="D536">
        <v>0</v>
      </c>
      <c r="E536">
        <v>0</v>
      </c>
      <c r="F536">
        <v>0</v>
      </c>
      <c r="G536">
        <v>0</v>
      </c>
      <c r="H536">
        <v>0</v>
      </c>
      <c r="I536">
        <v>0</v>
      </c>
      <c r="J536">
        <v>0</v>
      </c>
      <c r="K536">
        <v>0</v>
      </c>
      <c r="L536">
        <v>0</v>
      </c>
      <c r="M536">
        <v>0</v>
      </c>
      <c r="N536">
        <v>0</v>
      </c>
      <c r="O536">
        <v>0</v>
      </c>
      <c r="P536">
        <v>0</v>
      </c>
      <c r="Q536">
        <v>0</v>
      </c>
      <c r="R536">
        <v>0</v>
      </c>
      <c r="S536">
        <v>0</v>
      </c>
      <c r="T536">
        <v>0</v>
      </c>
      <c r="U536">
        <v>0</v>
      </c>
      <c r="V536">
        <v>0</v>
      </c>
      <c r="W536">
        <v>0</v>
      </c>
      <c r="X536">
        <v>0</v>
      </c>
      <c r="Y536">
        <v>0</v>
      </c>
      <c r="Z536">
        <v>0</v>
      </c>
      <c r="AA536">
        <v>0</v>
      </c>
      <c r="AB536">
        <v>0</v>
      </c>
    </row>
    <row r="537" spans="1:28">
      <c r="A537">
        <v>0</v>
      </c>
      <c r="B537">
        <v>0</v>
      </c>
      <c r="C537">
        <v>0</v>
      </c>
      <c r="D537">
        <v>0</v>
      </c>
      <c r="E537">
        <v>0</v>
      </c>
      <c r="F537">
        <v>0</v>
      </c>
      <c r="G537">
        <v>0</v>
      </c>
      <c r="H537">
        <v>0</v>
      </c>
      <c r="I537">
        <v>0</v>
      </c>
      <c r="J537">
        <v>0</v>
      </c>
      <c r="K537">
        <v>0</v>
      </c>
      <c r="L537">
        <v>0</v>
      </c>
      <c r="M537">
        <v>0</v>
      </c>
      <c r="N537">
        <v>0</v>
      </c>
      <c r="O537">
        <v>0</v>
      </c>
      <c r="P537">
        <v>0</v>
      </c>
      <c r="Q537">
        <v>0</v>
      </c>
      <c r="R537">
        <v>0</v>
      </c>
      <c r="S537">
        <v>0</v>
      </c>
      <c r="T537">
        <v>0</v>
      </c>
      <c r="U537">
        <v>0</v>
      </c>
      <c r="V537">
        <v>0</v>
      </c>
      <c r="W537">
        <v>0</v>
      </c>
      <c r="X537">
        <v>0</v>
      </c>
      <c r="Y537">
        <v>0</v>
      </c>
      <c r="Z537">
        <v>0</v>
      </c>
      <c r="AA537">
        <v>0</v>
      </c>
      <c r="AB537">
        <v>0</v>
      </c>
    </row>
    <row r="538" spans="1:28">
      <c r="A538">
        <v>0</v>
      </c>
      <c r="B538">
        <v>0</v>
      </c>
      <c r="C538">
        <v>0</v>
      </c>
      <c r="D538">
        <v>0</v>
      </c>
      <c r="E538">
        <v>0</v>
      </c>
      <c r="F538">
        <v>0</v>
      </c>
      <c r="G538">
        <v>0</v>
      </c>
      <c r="H538">
        <v>0</v>
      </c>
      <c r="I538">
        <v>0</v>
      </c>
      <c r="J538">
        <v>0</v>
      </c>
      <c r="K538">
        <v>0</v>
      </c>
      <c r="L538">
        <v>0</v>
      </c>
      <c r="M538">
        <v>0</v>
      </c>
      <c r="N538">
        <v>0</v>
      </c>
      <c r="O538">
        <v>0</v>
      </c>
      <c r="P538">
        <v>0</v>
      </c>
      <c r="Q538">
        <v>0</v>
      </c>
      <c r="R538">
        <v>0</v>
      </c>
      <c r="S538">
        <v>0</v>
      </c>
      <c r="T538">
        <v>0</v>
      </c>
      <c r="U538">
        <v>0</v>
      </c>
      <c r="V538">
        <v>0</v>
      </c>
      <c r="W538">
        <v>0</v>
      </c>
      <c r="X538">
        <v>0</v>
      </c>
      <c r="Y538">
        <v>0</v>
      </c>
      <c r="Z538">
        <v>0</v>
      </c>
      <c r="AA538">
        <v>0</v>
      </c>
      <c r="AB538">
        <v>0</v>
      </c>
    </row>
    <row r="539" spans="1:28">
      <c r="A539">
        <v>0</v>
      </c>
      <c r="B539">
        <v>0</v>
      </c>
      <c r="C539">
        <v>0</v>
      </c>
      <c r="D539">
        <v>0</v>
      </c>
      <c r="E539">
        <v>0</v>
      </c>
      <c r="F539">
        <v>0</v>
      </c>
      <c r="G539">
        <v>0</v>
      </c>
      <c r="H539">
        <v>0</v>
      </c>
      <c r="I539">
        <v>0</v>
      </c>
      <c r="J539">
        <v>0</v>
      </c>
      <c r="K539">
        <v>0</v>
      </c>
      <c r="L539">
        <v>0</v>
      </c>
      <c r="M539">
        <v>0</v>
      </c>
      <c r="N539">
        <v>0</v>
      </c>
      <c r="O539">
        <v>0</v>
      </c>
      <c r="P539">
        <v>0</v>
      </c>
      <c r="Q539">
        <v>0</v>
      </c>
      <c r="R539">
        <v>0</v>
      </c>
      <c r="S539">
        <v>0</v>
      </c>
      <c r="T539">
        <v>0</v>
      </c>
      <c r="U539">
        <v>0</v>
      </c>
      <c r="V539">
        <v>0</v>
      </c>
      <c r="W539">
        <v>0</v>
      </c>
      <c r="X539">
        <v>0</v>
      </c>
      <c r="Y539">
        <v>0</v>
      </c>
      <c r="Z539">
        <v>0</v>
      </c>
      <c r="AA539">
        <v>0</v>
      </c>
      <c r="AB539">
        <v>0</v>
      </c>
    </row>
    <row r="540" spans="1:28">
      <c r="A540">
        <v>0</v>
      </c>
      <c r="B540">
        <v>0</v>
      </c>
      <c r="C540">
        <v>0</v>
      </c>
      <c r="D540">
        <v>0</v>
      </c>
      <c r="E540">
        <v>0</v>
      </c>
      <c r="F540">
        <v>0</v>
      </c>
      <c r="G540">
        <v>0</v>
      </c>
      <c r="H540">
        <v>0</v>
      </c>
      <c r="I540">
        <v>0</v>
      </c>
      <c r="J540">
        <v>0</v>
      </c>
      <c r="K540">
        <v>0</v>
      </c>
      <c r="L540">
        <v>0</v>
      </c>
      <c r="M540">
        <v>0</v>
      </c>
      <c r="N540">
        <v>0</v>
      </c>
      <c r="O540">
        <v>0</v>
      </c>
      <c r="P540">
        <v>0</v>
      </c>
      <c r="Q540">
        <v>0</v>
      </c>
      <c r="R540">
        <v>0</v>
      </c>
      <c r="S540">
        <v>0</v>
      </c>
      <c r="T540">
        <v>0</v>
      </c>
      <c r="U540">
        <v>0</v>
      </c>
      <c r="V540">
        <v>0</v>
      </c>
      <c r="W540">
        <v>0</v>
      </c>
      <c r="X540">
        <v>0</v>
      </c>
      <c r="Y540">
        <v>0</v>
      </c>
      <c r="Z540">
        <v>0</v>
      </c>
      <c r="AA540">
        <v>0</v>
      </c>
      <c r="AB540">
        <v>0</v>
      </c>
    </row>
    <row r="541" spans="1:28">
      <c r="A541">
        <v>0</v>
      </c>
      <c r="B541">
        <v>0</v>
      </c>
      <c r="C541">
        <v>0</v>
      </c>
      <c r="D541">
        <v>0</v>
      </c>
      <c r="E541">
        <v>0</v>
      </c>
      <c r="F541">
        <v>0</v>
      </c>
      <c r="G541">
        <v>0</v>
      </c>
      <c r="H541">
        <v>0</v>
      </c>
      <c r="I541">
        <v>0</v>
      </c>
      <c r="J541">
        <v>0</v>
      </c>
      <c r="K541">
        <v>0</v>
      </c>
      <c r="L541">
        <v>0</v>
      </c>
      <c r="M541">
        <v>0</v>
      </c>
      <c r="N541">
        <v>0</v>
      </c>
      <c r="O541">
        <v>0</v>
      </c>
      <c r="P541">
        <v>0</v>
      </c>
      <c r="Q541">
        <v>0</v>
      </c>
      <c r="R541">
        <v>0</v>
      </c>
      <c r="S541">
        <v>0</v>
      </c>
      <c r="T541">
        <v>0</v>
      </c>
      <c r="U541">
        <v>0</v>
      </c>
      <c r="V541">
        <v>0</v>
      </c>
      <c r="W541">
        <v>0</v>
      </c>
      <c r="X541">
        <v>0</v>
      </c>
      <c r="Y541">
        <v>0</v>
      </c>
      <c r="Z541">
        <v>0</v>
      </c>
      <c r="AA541">
        <v>0</v>
      </c>
      <c r="AB541">
        <v>0</v>
      </c>
    </row>
    <row r="542" spans="1:28">
      <c r="A542">
        <v>0</v>
      </c>
      <c r="B542">
        <v>0</v>
      </c>
      <c r="C542">
        <v>0</v>
      </c>
      <c r="D542">
        <v>0</v>
      </c>
      <c r="E542">
        <v>0</v>
      </c>
      <c r="F542">
        <v>0</v>
      </c>
      <c r="G542">
        <v>0</v>
      </c>
      <c r="H542">
        <v>0</v>
      </c>
      <c r="I542">
        <v>0</v>
      </c>
      <c r="J542">
        <v>0</v>
      </c>
      <c r="K542">
        <v>0</v>
      </c>
      <c r="L542">
        <v>0</v>
      </c>
      <c r="M542">
        <v>0</v>
      </c>
      <c r="N542">
        <v>0</v>
      </c>
      <c r="O542">
        <v>0</v>
      </c>
      <c r="P542">
        <v>0</v>
      </c>
      <c r="Q542">
        <v>0</v>
      </c>
      <c r="R542">
        <v>0</v>
      </c>
      <c r="S542">
        <v>0</v>
      </c>
      <c r="T542">
        <v>0</v>
      </c>
      <c r="U542">
        <v>0</v>
      </c>
      <c r="V542">
        <v>0</v>
      </c>
      <c r="W542">
        <v>0</v>
      </c>
      <c r="X542">
        <v>0</v>
      </c>
      <c r="Y542">
        <v>0</v>
      </c>
      <c r="Z542">
        <v>0</v>
      </c>
      <c r="AA542">
        <v>0</v>
      </c>
      <c r="AB542">
        <v>0</v>
      </c>
    </row>
    <row r="543" spans="1:28">
      <c r="A543">
        <v>0</v>
      </c>
      <c r="B543">
        <v>0</v>
      </c>
      <c r="C543">
        <v>0</v>
      </c>
      <c r="D543">
        <v>0</v>
      </c>
      <c r="E543">
        <v>0</v>
      </c>
      <c r="F543">
        <v>0</v>
      </c>
      <c r="G543">
        <v>0</v>
      </c>
      <c r="H543">
        <v>0</v>
      </c>
      <c r="I543">
        <v>0</v>
      </c>
      <c r="J543">
        <v>0</v>
      </c>
      <c r="K543">
        <v>0</v>
      </c>
      <c r="L543">
        <v>0</v>
      </c>
      <c r="M543">
        <v>0</v>
      </c>
      <c r="N543">
        <v>0</v>
      </c>
      <c r="O543">
        <v>0</v>
      </c>
      <c r="P543">
        <v>0</v>
      </c>
      <c r="Q543">
        <v>0</v>
      </c>
      <c r="R543">
        <v>0</v>
      </c>
      <c r="S543">
        <v>0</v>
      </c>
      <c r="T543">
        <v>0</v>
      </c>
      <c r="U543">
        <v>0</v>
      </c>
      <c r="V543">
        <v>0</v>
      </c>
      <c r="W543">
        <v>0</v>
      </c>
      <c r="X543">
        <v>0</v>
      </c>
      <c r="Y543">
        <v>0</v>
      </c>
      <c r="Z543">
        <v>0</v>
      </c>
      <c r="AA543">
        <v>0</v>
      </c>
      <c r="AB543">
        <v>0</v>
      </c>
    </row>
    <row r="544" spans="1:28">
      <c r="A544">
        <v>0</v>
      </c>
      <c r="B544">
        <v>0</v>
      </c>
      <c r="C544">
        <v>0</v>
      </c>
      <c r="D544">
        <v>0</v>
      </c>
      <c r="E544">
        <v>0</v>
      </c>
      <c r="F544">
        <v>0</v>
      </c>
      <c r="G544">
        <v>0</v>
      </c>
      <c r="H544">
        <v>0</v>
      </c>
      <c r="I544">
        <v>0</v>
      </c>
      <c r="J544">
        <v>0</v>
      </c>
      <c r="K544">
        <v>0</v>
      </c>
      <c r="L544">
        <v>0</v>
      </c>
      <c r="M544">
        <v>0</v>
      </c>
      <c r="N544">
        <v>0</v>
      </c>
      <c r="O544">
        <v>0</v>
      </c>
      <c r="P544">
        <v>0</v>
      </c>
      <c r="Q544">
        <v>0</v>
      </c>
      <c r="R544">
        <v>0</v>
      </c>
      <c r="S544">
        <v>0</v>
      </c>
      <c r="T544">
        <v>0</v>
      </c>
      <c r="U544">
        <v>0</v>
      </c>
      <c r="V544">
        <v>0</v>
      </c>
      <c r="W544">
        <v>0</v>
      </c>
      <c r="X544">
        <v>0</v>
      </c>
      <c r="Y544">
        <v>0</v>
      </c>
      <c r="Z544">
        <v>0</v>
      </c>
      <c r="AA544">
        <v>0</v>
      </c>
      <c r="AB544">
        <v>0</v>
      </c>
    </row>
    <row r="545" spans="1:28">
      <c r="A545">
        <v>0</v>
      </c>
      <c r="B545">
        <v>0</v>
      </c>
      <c r="C545">
        <v>0</v>
      </c>
      <c r="D545">
        <v>0</v>
      </c>
      <c r="E545">
        <v>0</v>
      </c>
      <c r="F545">
        <v>0</v>
      </c>
      <c r="G545">
        <v>0</v>
      </c>
      <c r="H545">
        <v>0</v>
      </c>
      <c r="I545">
        <v>0</v>
      </c>
      <c r="J545">
        <v>0</v>
      </c>
      <c r="K545">
        <v>0</v>
      </c>
      <c r="L545">
        <v>0</v>
      </c>
      <c r="M545">
        <v>0</v>
      </c>
      <c r="N545">
        <v>0</v>
      </c>
      <c r="O545">
        <v>0</v>
      </c>
      <c r="P545">
        <v>0</v>
      </c>
      <c r="Q545">
        <v>0</v>
      </c>
      <c r="R545">
        <v>0</v>
      </c>
      <c r="S545">
        <v>0</v>
      </c>
      <c r="T545">
        <v>0</v>
      </c>
      <c r="U545">
        <v>0</v>
      </c>
      <c r="V545">
        <v>0</v>
      </c>
      <c r="W545">
        <v>0</v>
      </c>
      <c r="X545">
        <v>0</v>
      </c>
      <c r="Y545">
        <v>0</v>
      </c>
      <c r="Z545">
        <v>0</v>
      </c>
      <c r="AA545">
        <v>0</v>
      </c>
      <c r="AB545">
        <v>0</v>
      </c>
    </row>
    <row r="546" spans="1:28">
      <c r="A546">
        <v>0</v>
      </c>
      <c r="B546">
        <v>0</v>
      </c>
      <c r="C546">
        <v>0</v>
      </c>
      <c r="D546">
        <v>0</v>
      </c>
      <c r="E546">
        <v>0</v>
      </c>
      <c r="F546">
        <v>0</v>
      </c>
      <c r="G546">
        <v>0</v>
      </c>
      <c r="H546">
        <v>0</v>
      </c>
      <c r="I546">
        <v>0</v>
      </c>
      <c r="J546">
        <v>0</v>
      </c>
      <c r="K546">
        <v>0</v>
      </c>
      <c r="L546">
        <v>0</v>
      </c>
      <c r="M546">
        <v>0</v>
      </c>
      <c r="N546">
        <v>0</v>
      </c>
      <c r="O546">
        <v>0</v>
      </c>
      <c r="P546">
        <v>0</v>
      </c>
      <c r="Q546">
        <v>0</v>
      </c>
      <c r="R546">
        <v>0</v>
      </c>
      <c r="S546">
        <v>0</v>
      </c>
      <c r="T546">
        <v>0</v>
      </c>
      <c r="U546">
        <v>0</v>
      </c>
      <c r="V546">
        <v>0</v>
      </c>
      <c r="W546">
        <v>0</v>
      </c>
      <c r="X546">
        <v>0</v>
      </c>
      <c r="Y546">
        <v>0</v>
      </c>
      <c r="Z546">
        <v>0</v>
      </c>
      <c r="AA546">
        <v>0</v>
      </c>
      <c r="AB546">
        <v>0</v>
      </c>
    </row>
    <row r="547" spans="1:28">
      <c r="A547">
        <v>0</v>
      </c>
      <c r="B547">
        <v>0</v>
      </c>
      <c r="C547">
        <v>0</v>
      </c>
      <c r="D547">
        <v>0</v>
      </c>
      <c r="E547">
        <v>0</v>
      </c>
      <c r="F547">
        <v>0</v>
      </c>
      <c r="G547">
        <v>0</v>
      </c>
      <c r="H547">
        <v>0</v>
      </c>
      <c r="I547">
        <v>0</v>
      </c>
      <c r="J547">
        <v>0</v>
      </c>
      <c r="K547">
        <v>0</v>
      </c>
      <c r="L547">
        <v>0</v>
      </c>
      <c r="M547">
        <v>0</v>
      </c>
      <c r="N547">
        <v>0</v>
      </c>
      <c r="O547">
        <v>0</v>
      </c>
      <c r="P547">
        <v>0</v>
      </c>
      <c r="Q547">
        <v>0</v>
      </c>
      <c r="R547">
        <v>0</v>
      </c>
      <c r="S547">
        <v>0</v>
      </c>
      <c r="T547">
        <v>0</v>
      </c>
      <c r="U547">
        <v>0</v>
      </c>
      <c r="V547">
        <v>0</v>
      </c>
      <c r="W547">
        <v>0</v>
      </c>
      <c r="X547">
        <v>0</v>
      </c>
      <c r="Y547">
        <v>0</v>
      </c>
      <c r="Z547">
        <v>0</v>
      </c>
      <c r="AA547">
        <v>0</v>
      </c>
      <c r="AB547">
        <v>0</v>
      </c>
    </row>
    <row r="548" spans="1:28">
      <c r="A548">
        <v>0</v>
      </c>
      <c r="B548">
        <v>0</v>
      </c>
      <c r="C548">
        <v>0</v>
      </c>
      <c r="D548">
        <v>0</v>
      </c>
      <c r="E548">
        <v>0</v>
      </c>
      <c r="F548">
        <v>0</v>
      </c>
      <c r="G548">
        <v>0</v>
      </c>
      <c r="H548">
        <v>0</v>
      </c>
      <c r="I548">
        <v>0</v>
      </c>
      <c r="J548">
        <v>0</v>
      </c>
      <c r="K548">
        <v>0</v>
      </c>
      <c r="L548">
        <v>0</v>
      </c>
      <c r="M548">
        <v>0</v>
      </c>
      <c r="N548">
        <v>0</v>
      </c>
      <c r="O548">
        <v>0</v>
      </c>
      <c r="P548">
        <v>0</v>
      </c>
      <c r="Q548">
        <v>0</v>
      </c>
      <c r="R548">
        <v>0</v>
      </c>
      <c r="S548">
        <v>0</v>
      </c>
      <c r="T548">
        <v>0</v>
      </c>
      <c r="U548">
        <v>0</v>
      </c>
      <c r="V548">
        <v>0</v>
      </c>
      <c r="W548">
        <v>0</v>
      </c>
      <c r="X548">
        <v>0</v>
      </c>
      <c r="Y548">
        <v>0</v>
      </c>
      <c r="Z548">
        <v>0</v>
      </c>
      <c r="AA548">
        <v>0</v>
      </c>
      <c r="AB548">
        <v>0</v>
      </c>
    </row>
    <row r="549" spans="1:28">
      <c r="A549">
        <v>0</v>
      </c>
      <c r="B549">
        <v>0</v>
      </c>
      <c r="C549">
        <v>0</v>
      </c>
      <c r="D549">
        <v>0</v>
      </c>
      <c r="E549">
        <v>0</v>
      </c>
      <c r="F549">
        <v>0</v>
      </c>
      <c r="G549">
        <v>0</v>
      </c>
      <c r="H549">
        <v>0</v>
      </c>
      <c r="I549">
        <v>0</v>
      </c>
      <c r="J549">
        <v>0</v>
      </c>
      <c r="K549">
        <v>0</v>
      </c>
      <c r="L549">
        <v>0</v>
      </c>
      <c r="M549">
        <v>0</v>
      </c>
      <c r="N549">
        <v>0</v>
      </c>
      <c r="O549">
        <v>0</v>
      </c>
      <c r="P549">
        <v>0</v>
      </c>
      <c r="Q549">
        <v>0</v>
      </c>
      <c r="R549">
        <v>0</v>
      </c>
      <c r="S549">
        <v>0</v>
      </c>
      <c r="T549">
        <v>0</v>
      </c>
      <c r="U549">
        <v>0</v>
      </c>
      <c r="V549">
        <v>0</v>
      </c>
      <c r="W549">
        <v>0</v>
      </c>
      <c r="X549">
        <v>0</v>
      </c>
      <c r="Y549">
        <v>0</v>
      </c>
      <c r="Z549">
        <v>0</v>
      </c>
      <c r="AA549">
        <v>0</v>
      </c>
      <c r="AB549">
        <v>0</v>
      </c>
    </row>
    <row r="550" spans="1:28">
      <c r="A550">
        <v>0</v>
      </c>
      <c r="B550">
        <v>0</v>
      </c>
      <c r="C550">
        <v>0</v>
      </c>
      <c r="D550">
        <v>0</v>
      </c>
      <c r="E550">
        <v>0</v>
      </c>
      <c r="F550">
        <v>0</v>
      </c>
      <c r="G550">
        <v>0</v>
      </c>
      <c r="H550">
        <v>0</v>
      </c>
      <c r="I550">
        <v>0</v>
      </c>
      <c r="J550">
        <v>0</v>
      </c>
      <c r="K550">
        <v>0</v>
      </c>
      <c r="L550">
        <v>0</v>
      </c>
      <c r="M550">
        <v>0</v>
      </c>
      <c r="N550">
        <v>0</v>
      </c>
      <c r="O550">
        <v>0</v>
      </c>
      <c r="P550">
        <v>0</v>
      </c>
      <c r="Q550">
        <v>0</v>
      </c>
      <c r="R550">
        <v>0</v>
      </c>
      <c r="S550">
        <v>0</v>
      </c>
      <c r="T550">
        <v>0</v>
      </c>
      <c r="U550">
        <v>0</v>
      </c>
      <c r="V550">
        <v>0</v>
      </c>
      <c r="W550">
        <v>0</v>
      </c>
      <c r="X550">
        <v>0</v>
      </c>
      <c r="Y550">
        <v>0</v>
      </c>
      <c r="Z550">
        <v>0</v>
      </c>
      <c r="AA550">
        <v>0</v>
      </c>
      <c r="AB550">
        <v>0</v>
      </c>
    </row>
    <row r="551" spans="1:28">
      <c r="A551">
        <v>0</v>
      </c>
      <c r="B551">
        <v>0</v>
      </c>
      <c r="C551">
        <v>0</v>
      </c>
      <c r="D551">
        <v>0</v>
      </c>
      <c r="E551">
        <v>0</v>
      </c>
      <c r="F551">
        <v>0</v>
      </c>
      <c r="G551">
        <v>0</v>
      </c>
      <c r="H551">
        <v>0</v>
      </c>
      <c r="I551">
        <v>0</v>
      </c>
      <c r="J551">
        <v>0</v>
      </c>
      <c r="K551">
        <v>0</v>
      </c>
      <c r="L551">
        <v>0</v>
      </c>
      <c r="M551">
        <v>0</v>
      </c>
      <c r="N551">
        <v>0</v>
      </c>
      <c r="O551">
        <v>0</v>
      </c>
      <c r="P551">
        <v>0</v>
      </c>
      <c r="Q551">
        <v>0</v>
      </c>
      <c r="R551">
        <v>0</v>
      </c>
      <c r="S551">
        <v>0</v>
      </c>
      <c r="T551">
        <v>0</v>
      </c>
      <c r="U551">
        <v>0</v>
      </c>
      <c r="V551">
        <v>0</v>
      </c>
      <c r="W551">
        <v>0</v>
      </c>
      <c r="X551">
        <v>0</v>
      </c>
      <c r="Y551">
        <v>0</v>
      </c>
      <c r="Z551">
        <v>0</v>
      </c>
      <c r="AA551">
        <v>0</v>
      </c>
      <c r="AB551">
        <v>0</v>
      </c>
    </row>
    <row r="552" spans="1:28">
      <c r="A552">
        <v>0</v>
      </c>
      <c r="B552">
        <v>0</v>
      </c>
      <c r="C552">
        <v>0</v>
      </c>
      <c r="D552">
        <v>0</v>
      </c>
      <c r="E552">
        <v>0</v>
      </c>
      <c r="F552">
        <v>0</v>
      </c>
      <c r="G552">
        <v>0</v>
      </c>
      <c r="H552">
        <v>0</v>
      </c>
      <c r="I552">
        <v>0</v>
      </c>
      <c r="J552">
        <v>0</v>
      </c>
      <c r="K552">
        <v>0</v>
      </c>
      <c r="L552">
        <v>0</v>
      </c>
      <c r="M552">
        <v>0</v>
      </c>
      <c r="N552">
        <v>0</v>
      </c>
      <c r="O552">
        <v>0</v>
      </c>
      <c r="P552">
        <v>0</v>
      </c>
      <c r="Q552">
        <v>0</v>
      </c>
      <c r="R552">
        <v>0</v>
      </c>
      <c r="S552">
        <v>0</v>
      </c>
      <c r="T552">
        <v>0</v>
      </c>
      <c r="U552">
        <v>0</v>
      </c>
      <c r="V552">
        <v>0</v>
      </c>
      <c r="W552">
        <v>0</v>
      </c>
      <c r="X552">
        <v>0</v>
      </c>
      <c r="Y552">
        <v>0</v>
      </c>
      <c r="Z552">
        <v>0</v>
      </c>
      <c r="AA552">
        <v>0</v>
      </c>
      <c r="AB552">
        <v>0</v>
      </c>
    </row>
    <row r="553" spans="1:28">
      <c r="A553">
        <v>0</v>
      </c>
      <c r="B553">
        <v>0</v>
      </c>
      <c r="C553">
        <v>0</v>
      </c>
      <c r="D553">
        <v>0</v>
      </c>
      <c r="E553">
        <v>0</v>
      </c>
      <c r="F553">
        <v>0</v>
      </c>
      <c r="G553">
        <v>0</v>
      </c>
      <c r="H553">
        <v>0</v>
      </c>
      <c r="I553">
        <v>0</v>
      </c>
      <c r="J553">
        <v>0</v>
      </c>
      <c r="K553">
        <v>0</v>
      </c>
      <c r="L553">
        <v>0</v>
      </c>
      <c r="M553">
        <v>0</v>
      </c>
      <c r="N553">
        <v>0</v>
      </c>
      <c r="O553">
        <v>0</v>
      </c>
      <c r="P553">
        <v>0</v>
      </c>
      <c r="Q553">
        <v>0</v>
      </c>
      <c r="R553">
        <v>0</v>
      </c>
      <c r="S553">
        <v>0</v>
      </c>
      <c r="T553">
        <v>0</v>
      </c>
      <c r="U553">
        <v>0</v>
      </c>
      <c r="V553">
        <v>0</v>
      </c>
      <c r="W553">
        <v>0</v>
      </c>
      <c r="X553">
        <v>0</v>
      </c>
      <c r="Y553">
        <v>0</v>
      </c>
      <c r="Z553">
        <v>0</v>
      </c>
      <c r="AA553">
        <v>0</v>
      </c>
      <c r="AB553">
        <v>0</v>
      </c>
    </row>
    <row r="554" spans="1:28">
      <c r="A554">
        <v>0</v>
      </c>
      <c r="B554">
        <v>0</v>
      </c>
      <c r="C554">
        <v>0</v>
      </c>
      <c r="D554">
        <v>0</v>
      </c>
      <c r="E554">
        <v>0</v>
      </c>
      <c r="F554">
        <v>0</v>
      </c>
      <c r="G554">
        <v>0</v>
      </c>
      <c r="H554">
        <v>0</v>
      </c>
      <c r="I554">
        <v>0</v>
      </c>
      <c r="J554">
        <v>0</v>
      </c>
      <c r="K554">
        <v>0</v>
      </c>
      <c r="L554">
        <v>0</v>
      </c>
      <c r="M554">
        <v>0</v>
      </c>
      <c r="N554">
        <v>0</v>
      </c>
      <c r="O554">
        <v>0</v>
      </c>
      <c r="P554">
        <v>0</v>
      </c>
      <c r="Q554">
        <v>0</v>
      </c>
      <c r="R554">
        <v>0</v>
      </c>
      <c r="S554">
        <v>0</v>
      </c>
      <c r="T554">
        <v>0</v>
      </c>
      <c r="U554">
        <v>0</v>
      </c>
      <c r="V554">
        <v>0</v>
      </c>
      <c r="W554">
        <v>0</v>
      </c>
      <c r="X554">
        <v>0</v>
      </c>
      <c r="Y554">
        <v>0</v>
      </c>
      <c r="Z554">
        <v>0</v>
      </c>
      <c r="AA554">
        <v>0</v>
      </c>
      <c r="AB554">
        <v>0</v>
      </c>
    </row>
    <row r="555" spans="1:28">
      <c r="A555">
        <v>0</v>
      </c>
      <c r="B555">
        <v>0</v>
      </c>
      <c r="C555">
        <v>0</v>
      </c>
      <c r="D555">
        <v>0</v>
      </c>
      <c r="E555">
        <v>0</v>
      </c>
      <c r="F555">
        <v>0</v>
      </c>
      <c r="G555">
        <v>0</v>
      </c>
      <c r="H555">
        <v>0</v>
      </c>
      <c r="I555">
        <v>0</v>
      </c>
      <c r="J555">
        <v>0</v>
      </c>
      <c r="K555">
        <v>0</v>
      </c>
      <c r="L555">
        <v>0</v>
      </c>
      <c r="M555">
        <v>0</v>
      </c>
      <c r="N555">
        <v>0</v>
      </c>
      <c r="O555">
        <v>0</v>
      </c>
      <c r="P555">
        <v>0</v>
      </c>
      <c r="Q555">
        <v>0</v>
      </c>
      <c r="R555">
        <v>0</v>
      </c>
      <c r="S555">
        <v>0</v>
      </c>
      <c r="T555">
        <v>0</v>
      </c>
      <c r="U555">
        <v>0</v>
      </c>
      <c r="V555">
        <v>0</v>
      </c>
      <c r="W555">
        <v>0</v>
      </c>
      <c r="X555">
        <v>0</v>
      </c>
      <c r="Y555">
        <v>0</v>
      </c>
      <c r="Z555">
        <v>0</v>
      </c>
      <c r="AA555">
        <v>0</v>
      </c>
      <c r="AB555">
        <v>0</v>
      </c>
    </row>
    <row r="556" spans="1:28">
      <c r="A556">
        <v>0</v>
      </c>
      <c r="B556">
        <v>0</v>
      </c>
      <c r="C556">
        <v>0</v>
      </c>
      <c r="D556">
        <v>0</v>
      </c>
      <c r="E556">
        <v>0</v>
      </c>
      <c r="F556">
        <v>0</v>
      </c>
      <c r="G556">
        <v>0</v>
      </c>
      <c r="H556">
        <v>0</v>
      </c>
      <c r="I556">
        <v>0</v>
      </c>
      <c r="J556">
        <v>0</v>
      </c>
      <c r="K556">
        <v>0</v>
      </c>
      <c r="L556">
        <v>0</v>
      </c>
      <c r="M556">
        <v>0</v>
      </c>
      <c r="N556">
        <v>0</v>
      </c>
      <c r="O556">
        <v>0</v>
      </c>
      <c r="P556">
        <v>0</v>
      </c>
      <c r="Q556">
        <v>0</v>
      </c>
      <c r="R556">
        <v>0</v>
      </c>
      <c r="S556">
        <v>0</v>
      </c>
      <c r="T556">
        <v>0</v>
      </c>
      <c r="U556">
        <v>0</v>
      </c>
      <c r="V556">
        <v>0</v>
      </c>
      <c r="W556">
        <v>0</v>
      </c>
      <c r="X556">
        <v>0</v>
      </c>
      <c r="Y556">
        <v>0</v>
      </c>
      <c r="Z556">
        <v>0</v>
      </c>
      <c r="AA556">
        <v>0</v>
      </c>
      <c r="AB556">
        <v>0</v>
      </c>
    </row>
    <row r="557" spans="1:28">
      <c r="A557">
        <v>0</v>
      </c>
      <c r="B557">
        <v>0</v>
      </c>
      <c r="C557">
        <v>0</v>
      </c>
      <c r="D557">
        <v>0</v>
      </c>
      <c r="E557">
        <v>0</v>
      </c>
      <c r="F557">
        <v>0</v>
      </c>
      <c r="G557">
        <v>0</v>
      </c>
      <c r="H557">
        <v>0</v>
      </c>
      <c r="I557">
        <v>0</v>
      </c>
      <c r="J557">
        <v>0</v>
      </c>
      <c r="K557">
        <v>0</v>
      </c>
      <c r="L557">
        <v>0</v>
      </c>
      <c r="M557">
        <v>0</v>
      </c>
      <c r="N557">
        <v>0</v>
      </c>
      <c r="O557">
        <v>0</v>
      </c>
      <c r="P557">
        <v>0</v>
      </c>
      <c r="Q557">
        <v>0</v>
      </c>
      <c r="R557">
        <v>0</v>
      </c>
      <c r="S557">
        <v>0</v>
      </c>
      <c r="T557">
        <v>0</v>
      </c>
      <c r="U557">
        <v>0</v>
      </c>
      <c r="V557">
        <v>0</v>
      </c>
      <c r="W557">
        <v>0</v>
      </c>
      <c r="X557">
        <v>0</v>
      </c>
      <c r="Y557">
        <v>0</v>
      </c>
      <c r="Z557">
        <v>0</v>
      </c>
      <c r="AA557">
        <v>0</v>
      </c>
      <c r="AB557">
        <v>0</v>
      </c>
    </row>
    <row r="558" spans="1:28">
      <c r="A558">
        <v>0</v>
      </c>
      <c r="B558">
        <v>0</v>
      </c>
      <c r="C558">
        <v>0</v>
      </c>
      <c r="D558">
        <v>0</v>
      </c>
      <c r="E558">
        <v>0</v>
      </c>
      <c r="F558">
        <v>0</v>
      </c>
      <c r="G558">
        <v>0</v>
      </c>
      <c r="H558">
        <v>0</v>
      </c>
      <c r="I558">
        <v>0</v>
      </c>
      <c r="J558">
        <v>0</v>
      </c>
      <c r="K558">
        <v>0</v>
      </c>
      <c r="L558">
        <v>0</v>
      </c>
      <c r="M558">
        <v>0</v>
      </c>
      <c r="N558">
        <v>0</v>
      </c>
      <c r="O558">
        <v>0</v>
      </c>
      <c r="P558">
        <v>0</v>
      </c>
      <c r="Q558">
        <v>0</v>
      </c>
      <c r="R558">
        <v>0</v>
      </c>
      <c r="S558">
        <v>0</v>
      </c>
      <c r="T558">
        <v>0</v>
      </c>
      <c r="U558">
        <v>0</v>
      </c>
      <c r="V558">
        <v>0</v>
      </c>
      <c r="W558">
        <v>0</v>
      </c>
      <c r="X558">
        <v>0</v>
      </c>
      <c r="Y558">
        <v>0</v>
      </c>
      <c r="Z558">
        <v>0</v>
      </c>
      <c r="AA558">
        <v>0</v>
      </c>
      <c r="AB558">
        <v>0</v>
      </c>
    </row>
    <row r="559" spans="1:28">
      <c r="A559">
        <v>0</v>
      </c>
      <c r="B559">
        <v>0</v>
      </c>
      <c r="C559">
        <v>0</v>
      </c>
      <c r="D559">
        <v>0</v>
      </c>
      <c r="E559">
        <v>0</v>
      </c>
      <c r="F559">
        <v>0</v>
      </c>
      <c r="G559">
        <v>0</v>
      </c>
      <c r="H559">
        <v>0</v>
      </c>
      <c r="I559">
        <v>0</v>
      </c>
      <c r="J559">
        <v>0</v>
      </c>
      <c r="K559">
        <v>0</v>
      </c>
      <c r="L559">
        <v>0</v>
      </c>
      <c r="M559">
        <v>0</v>
      </c>
      <c r="N559">
        <v>0</v>
      </c>
      <c r="O559">
        <v>0</v>
      </c>
      <c r="P559">
        <v>0</v>
      </c>
      <c r="Q559">
        <v>0</v>
      </c>
      <c r="R559">
        <v>0</v>
      </c>
      <c r="S559">
        <v>0</v>
      </c>
      <c r="T559">
        <v>0</v>
      </c>
      <c r="U559">
        <v>0</v>
      </c>
      <c r="V559">
        <v>0</v>
      </c>
      <c r="W559">
        <v>0</v>
      </c>
      <c r="X559">
        <v>0</v>
      </c>
      <c r="Y559">
        <v>0</v>
      </c>
      <c r="Z559">
        <v>0</v>
      </c>
      <c r="AA559">
        <v>0</v>
      </c>
      <c r="AB559">
        <v>0</v>
      </c>
    </row>
    <row r="560" spans="1:28">
      <c r="A560">
        <v>0</v>
      </c>
      <c r="B560">
        <v>0</v>
      </c>
      <c r="C560">
        <v>0</v>
      </c>
      <c r="D560">
        <v>0</v>
      </c>
      <c r="E560">
        <v>0</v>
      </c>
      <c r="F560">
        <v>0</v>
      </c>
      <c r="G560">
        <v>0</v>
      </c>
      <c r="H560">
        <v>0</v>
      </c>
      <c r="I560">
        <v>0</v>
      </c>
      <c r="J560">
        <v>0</v>
      </c>
      <c r="K560">
        <v>0</v>
      </c>
      <c r="L560">
        <v>0</v>
      </c>
      <c r="M560">
        <v>0</v>
      </c>
      <c r="N560">
        <v>0</v>
      </c>
      <c r="O560">
        <v>0</v>
      </c>
      <c r="P560">
        <v>0</v>
      </c>
      <c r="Q560">
        <v>0</v>
      </c>
      <c r="R560">
        <v>0</v>
      </c>
      <c r="S560">
        <v>0</v>
      </c>
      <c r="T560">
        <v>0</v>
      </c>
      <c r="U560">
        <v>0</v>
      </c>
      <c r="V560">
        <v>0</v>
      </c>
      <c r="W560">
        <v>0</v>
      </c>
      <c r="X560">
        <v>0</v>
      </c>
      <c r="Y560">
        <v>0</v>
      </c>
      <c r="Z560">
        <v>0</v>
      </c>
      <c r="AA560">
        <v>0</v>
      </c>
      <c r="AB560">
        <v>0</v>
      </c>
    </row>
    <row r="561" spans="1:28">
      <c r="A561">
        <v>0</v>
      </c>
      <c r="B561">
        <v>0</v>
      </c>
      <c r="C561">
        <v>0</v>
      </c>
      <c r="D561">
        <v>0</v>
      </c>
      <c r="E561">
        <v>0</v>
      </c>
      <c r="F561">
        <v>0</v>
      </c>
      <c r="G561">
        <v>0</v>
      </c>
      <c r="H561">
        <v>0</v>
      </c>
      <c r="I561">
        <v>0</v>
      </c>
      <c r="J561">
        <v>0</v>
      </c>
      <c r="K561">
        <v>0</v>
      </c>
      <c r="L561">
        <v>0</v>
      </c>
      <c r="M561">
        <v>0</v>
      </c>
      <c r="N561">
        <v>0</v>
      </c>
      <c r="O561">
        <v>0</v>
      </c>
      <c r="P561">
        <v>0</v>
      </c>
      <c r="Q561">
        <v>0</v>
      </c>
      <c r="R561">
        <v>0</v>
      </c>
      <c r="S561">
        <v>0</v>
      </c>
      <c r="T561">
        <v>0</v>
      </c>
      <c r="U561">
        <v>0</v>
      </c>
      <c r="V561">
        <v>0</v>
      </c>
      <c r="W561">
        <v>0</v>
      </c>
      <c r="X561">
        <v>0</v>
      </c>
      <c r="Y561">
        <v>0</v>
      </c>
      <c r="Z561">
        <v>0</v>
      </c>
      <c r="AA561">
        <v>0</v>
      </c>
      <c r="AB561">
        <v>0</v>
      </c>
    </row>
    <row r="562" spans="1:28">
      <c r="A562">
        <v>0</v>
      </c>
      <c r="B562">
        <v>0</v>
      </c>
      <c r="C562">
        <v>0</v>
      </c>
      <c r="D562">
        <v>0</v>
      </c>
      <c r="E562">
        <v>0</v>
      </c>
      <c r="F562">
        <v>0</v>
      </c>
      <c r="G562">
        <v>0</v>
      </c>
      <c r="H562">
        <v>0</v>
      </c>
      <c r="I562">
        <v>0</v>
      </c>
      <c r="J562">
        <v>0</v>
      </c>
      <c r="K562">
        <v>0</v>
      </c>
      <c r="L562">
        <v>0</v>
      </c>
      <c r="M562">
        <v>0</v>
      </c>
      <c r="N562">
        <v>0</v>
      </c>
      <c r="O562">
        <v>0</v>
      </c>
      <c r="P562">
        <v>0</v>
      </c>
      <c r="Q562">
        <v>0</v>
      </c>
      <c r="R562">
        <v>0</v>
      </c>
      <c r="S562">
        <v>0</v>
      </c>
      <c r="T562">
        <v>0</v>
      </c>
      <c r="U562">
        <v>0</v>
      </c>
      <c r="V562">
        <v>0</v>
      </c>
      <c r="W562">
        <v>0</v>
      </c>
      <c r="X562">
        <v>0</v>
      </c>
      <c r="Y562">
        <v>0</v>
      </c>
      <c r="Z562">
        <v>0</v>
      </c>
      <c r="AA562">
        <v>0</v>
      </c>
      <c r="AB562">
        <v>0</v>
      </c>
    </row>
    <row r="563" spans="1:28">
      <c r="A563">
        <v>0</v>
      </c>
      <c r="B563">
        <v>0</v>
      </c>
      <c r="C563">
        <v>0</v>
      </c>
      <c r="D563">
        <v>0</v>
      </c>
      <c r="E563">
        <v>0</v>
      </c>
      <c r="F563">
        <v>0</v>
      </c>
      <c r="G563">
        <v>0</v>
      </c>
      <c r="H563">
        <v>0</v>
      </c>
      <c r="I563">
        <v>0</v>
      </c>
      <c r="J563">
        <v>0</v>
      </c>
      <c r="K563">
        <v>0</v>
      </c>
      <c r="L563">
        <v>0</v>
      </c>
      <c r="M563">
        <v>0</v>
      </c>
      <c r="N563">
        <v>0</v>
      </c>
      <c r="O563">
        <v>0</v>
      </c>
      <c r="P563">
        <v>0</v>
      </c>
      <c r="Q563">
        <v>0</v>
      </c>
      <c r="R563">
        <v>0</v>
      </c>
      <c r="S563">
        <v>0</v>
      </c>
      <c r="T563">
        <v>0</v>
      </c>
      <c r="U563">
        <v>0</v>
      </c>
      <c r="V563">
        <v>0</v>
      </c>
      <c r="W563">
        <v>0</v>
      </c>
      <c r="X563">
        <v>0</v>
      </c>
      <c r="Y563">
        <v>0</v>
      </c>
      <c r="Z563">
        <v>0</v>
      </c>
      <c r="AA563">
        <v>0</v>
      </c>
      <c r="AB563">
        <v>0</v>
      </c>
    </row>
    <row r="564" spans="1:28">
      <c r="A564">
        <v>0</v>
      </c>
      <c r="B564">
        <v>0</v>
      </c>
      <c r="C564">
        <v>0</v>
      </c>
      <c r="D564">
        <v>0</v>
      </c>
      <c r="E564">
        <v>0</v>
      </c>
      <c r="F564">
        <v>0</v>
      </c>
      <c r="G564">
        <v>0</v>
      </c>
      <c r="H564">
        <v>0</v>
      </c>
      <c r="I564">
        <v>0</v>
      </c>
      <c r="J564">
        <v>0</v>
      </c>
      <c r="K564">
        <v>0</v>
      </c>
      <c r="L564">
        <v>0</v>
      </c>
      <c r="M564">
        <v>0</v>
      </c>
      <c r="N564">
        <v>0</v>
      </c>
      <c r="O564">
        <v>0</v>
      </c>
      <c r="P564">
        <v>0</v>
      </c>
      <c r="Q564">
        <v>0</v>
      </c>
      <c r="R564">
        <v>0</v>
      </c>
      <c r="S564">
        <v>0</v>
      </c>
      <c r="T564">
        <v>0</v>
      </c>
      <c r="U564">
        <v>0</v>
      </c>
      <c r="V564">
        <v>0</v>
      </c>
      <c r="W564">
        <v>0</v>
      </c>
      <c r="X564">
        <v>0</v>
      </c>
      <c r="Y564">
        <v>0</v>
      </c>
      <c r="Z564">
        <v>0</v>
      </c>
      <c r="AA564">
        <v>0</v>
      </c>
      <c r="AB564">
        <v>0</v>
      </c>
    </row>
    <row r="565" spans="1:28">
      <c r="A565">
        <v>0</v>
      </c>
      <c r="B565">
        <v>0</v>
      </c>
      <c r="C565">
        <v>0</v>
      </c>
      <c r="D565">
        <v>0</v>
      </c>
      <c r="E565">
        <v>0</v>
      </c>
      <c r="F565">
        <v>0</v>
      </c>
      <c r="G565">
        <v>0</v>
      </c>
      <c r="H565">
        <v>0</v>
      </c>
      <c r="I565">
        <v>0</v>
      </c>
      <c r="J565">
        <v>0</v>
      </c>
      <c r="K565">
        <v>0</v>
      </c>
      <c r="L565">
        <v>0</v>
      </c>
      <c r="M565">
        <v>0</v>
      </c>
      <c r="N565">
        <v>0</v>
      </c>
      <c r="O565">
        <v>0</v>
      </c>
      <c r="P565">
        <v>0</v>
      </c>
      <c r="Q565">
        <v>0</v>
      </c>
      <c r="R565">
        <v>0</v>
      </c>
      <c r="S565">
        <v>0</v>
      </c>
      <c r="T565">
        <v>0</v>
      </c>
      <c r="U565">
        <v>0</v>
      </c>
      <c r="V565">
        <v>0</v>
      </c>
      <c r="W565">
        <v>0</v>
      </c>
      <c r="X565">
        <v>0</v>
      </c>
      <c r="Y565">
        <v>0</v>
      </c>
      <c r="Z565">
        <v>0</v>
      </c>
      <c r="AA565">
        <v>0</v>
      </c>
      <c r="AB565">
        <v>0</v>
      </c>
    </row>
    <row r="566" spans="1:28">
      <c r="A566">
        <v>0</v>
      </c>
      <c r="B566">
        <v>0</v>
      </c>
      <c r="C566">
        <v>0</v>
      </c>
      <c r="D566">
        <v>0</v>
      </c>
      <c r="E566">
        <v>0</v>
      </c>
      <c r="F566">
        <v>0</v>
      </c>
      <c r="G566">
        <v>0</v>
      </c>
      <c r="H566">
        <v>0</v>
      </c>
      <c r="I566">
        <v>0</v>
      </c>
      <c r="J566">
        <v>0</v>
      </c>
      <c r="K566">
        <v>0</v>
      </c>
      <c r="L566">
        <v>0</v>
      </c>
      <c r="M566">
        <v>0</v>
      </c>
      <c r="N566">
        <v>0</v>
      </c>
      <c r="O566">
        <v>0</v>
      </c>
      <c r="P566">
        <v>0</v>
      </c>
      <c r="Q566">
        <v>0</v>
      </c>
      <c r="R566">
        <v>0</v>
      </c>
      <c r="S566">
        <v>0</v>
      </c>
      <c r="T566">
        <v>0</v>
      </c>
      <c r="U566">
        <v>0</v>
      </c>
      <c r="V566">
        <v>0</v>
      </c>
      <c r="W566">
        <v>0</v>
      </c>
      <c r="X566">
        <v>0</v>
      </c>
      <c r="Y566">
        <v>0</v>
      </c>
      <c r="Z566">
        <v>0</v>
      </c>
      <c r="AA566">
        <v>0</v>
      </c>
      <c r="AB566">
        <v>0</v>
      </c>
    </row>
    <row r="567" spans="1:28">
      <c r="A567">
        <v>0</v>
      </c>
      <c r="B567">
        <v>0</v>
      </c>
      <c r="C567">
        <v>0</v>
      </c>
      <c r="D567">
        <v>0</v>
      </c>
      <c r="E567">
        <v>0</v>
      </c>
      <c r="F567">
        <v>0</v>
      </c>
      <c r="G567">
        <v>0</v>
      </c>
      <c r="H567">
        <v>0</v>
      </c>
      <c r="I567">
        <v>0</v>
      </c>
      <c r="J567">
        <v>0</v>
      </c>
      <c r="K567">
        <v>0</v>
      </c>
      <c r="L567">
        <v>0</v>
      </c>
      <c r="M567">
        <v>0</v>
      </c>
      <c r="N567">
        <v>0</v>
      </c>
      <c r="O567">
        <v>0</v>
      </c>
      <c r="P567">
        <v>0</v>
      </c>
      <c r="Q567">
        <v>0</v>
      </c>
      <c r="R567">
        <v>0</v>
      </c>
      <c r="S567">
        <v>0</v>
      </c>
      <c r="T567">
        <v>0</v>
      </c>
      <c r="U567">
        <v>0</v>
      </c>
      <c r="V567">
        <v>0</v>
      </c>
      <c r="W567">
        <v>0</v>
      </c>
      <c r="X567">
        <v>0</v>
      </c>
      <c r="Y567">
        <v>0</v>
      </c>
      <c r="Z567">
        <v>0</v>
      </c>
      <c r="AA567">
        <v>0</v>
      </c>
      <c r="AB567">
        <v>0</v>
      </c>
    </row>
    <row r="568" spans="1:28">
      <c r="A568">
        <v>0</v>
      </c>
      <c r="B568">
        <v>0</v>
      </c>
      <c r="C568">
        <v>0</v>
      </c>
      <c r="D568">
        <v>0</v>
      </c>
      <c r="E568">
        <v>0</v>
      </c>
      <c r="F568">
        <v>0</v>
      </c>
      <c r="G568">
        <v>0</v>
      </c>
      <c r="H568">
        <v>0</v>
      </c>
      <c r="I568">
        <v>0</v>
      </c>
      <c r="J568">
        <v>0</v>
      </c>
      <c r="K568">
        <v>0</v>
      </c>
      <c r="L568">
        <v>0</v>
      </c>
      <c r="M568">
        <v>0</v>
      </c>
      <c r="N568">
        <v>0</v>
      </c>
      <c r="O568">
        <v>0</v>
      </c>
      <c r="P568">
        <v>0</v>
      </c>
      <c r="Q568">
        <v>0</v>
      </c>
      <c r="R568">
        <v>0</v>
      </c>
      <c r="S568">
        <v>0</v>
      </c>
      <c r="T568">
        <v>0</v>
      </c>
      <c r="U568">
        <v>0</v>
      </c>
      <c r="V568">
        <v>0</v>
      </c>
      <c r="W568">
        <v>0</v>
      </c>
      <c r="X568">
        <v>0</v>
      </c>
      <c r="Y568">
        <v>0</v>
      </c>
      <c r="Z568">
        <v>0</v>
      </c>
      <c r="AA568">
        <v>0</v>
      </c>
      <c r="AB568">
        <v>0</v>
      </c>
    </row>
    <row r="569" spans="1:28">
      <c r="A569">
        <v>0</v>
      </c>
      <c r="B569">
        <v>0</v>
      </c>
      <c r="C569">
        <v>0</v>
      </c>
      <c r="D569">
        <v>0</v>
      </c>
      <c r="E569">
        <v>0</v>
      </c>
      <c r="F569">
        <v>0</v>
      </c>
      <c r="G569">
        <v>0</v>
      </c>
      <c r="H569">
        <v>0</v>
      </c>
      <c r="I569">
        <v>0</v>
      </c>
      <c r="J569">
        <v>0</v>
      </c>
      <c r="K569">
        <v>0</v>
      </c>
      <c r="L569">
        <v>0</v>
      </c>
      <c r="M569">
        <v>0</v>
      </c>
      <c r="N569">
        <v>0</v>
      </c>
      <c r="O569">
        <v>0</v>
      </c>
      <c r="P569">
        <v>0</v>
      </c>
      <c r="Q569">
        <v>0</v>
      </c>
      <c r="R569">
        <v>0</v>
      </c>
      <c r="S569">
        <v>0</v>
      </c>
      <c r="T569">
        <v>0</v>
      </c>
      <c r="U569">
        <v>0</v>
      </c>
      <c r="V569">
        <v>0</v>
      </c>
      <c r="W569">
        <v>0</v>
      </c>
      <c r="X569">
        <v>0</v>
      </c>
      <c r="Y569">
        <v>0</v>
      </c>
      <c r="Z569">
        <v>0</v>
      </c>
      <c r="AA569">
        <v>0</v>
      </c>
      <c r="AB569">
        <v>0</v>
      </c>
    </row>
    <row r="570" spans="1:28">
      <c r="A570">
        <v>0</v>
      </c>
      <c r="B570">
        <v>0</v>
      </c>
      <c r="C570">
        <v>0</v>
      </c>
      <c r="D570">
        <v>0</v>
      </c>
      <c r="E570">
        <v>0</v>
      </c>
      <c r="F570">
        <v>0</v>
      </c>
      <c r="G570">
        <v>0</v>
      </c>
      <c r="H570">
        <v>0</v>
      </c>
      <c r="I570">
        <v>0</v>
      </c>
      <c r="J570">
        <v>0</v>
      </c>
      <c r="K570">
        <v>0</v>
      </c>
      <c r="L570">
        <v>0</v>
      </c>
      <c r="M570">
        <v>0</v>
      </c>
      <c r="N570">
        <v>0</v>
      </c>
      <c r="O570">
        <v>0</v>
      </c>
      <c r="P570">
        <v>0</v>
      </c>
      <c r="Q570">
        <v>0</v>
      </c>
      <c r="R570">
        <v>0</v>
      </c>
      <c r="S570">
        <v>0</v>
      </c>
      <c r="T570">
        <v>0</v>
      </c>
      <c r="U570">
        <v>0</v>
      </c>
      <c r="V570">
        <v>0</v>
      </c>
      <c r="W570">
        <v>0</v>
      </c>
      <c r="X570">
        <v>0</v>
      </c>
      <c r="Y570">
        <v>0</v>
      </c>
      <c r="Z570">
        <v>0</v>
      </c>
      <c r="AA570">
        <v>0</v>
      </c>
      <c r="AB570">
        <v>0</v>
      </c>
    </row>
    <row r="571" spans="1:28">
      <c r="A571">
        <v>0</v>
      </c>
      <c r="B571">
        <v>0</v>
      </c>
      <c r="C571">
        <v>0</v>
      </c>
      <c r="D571">
        <v>0</v>
      </c>
      <c r="E571">
        <v>0</v>
      </c>
      <c r="F571">
        <v>0</v>
      </c>
      <c r="G571">
        <v>0</v>
      </c>
      <c r="H571">
        <v>0</v>
      </c>
      <c r="I571">
        <v>0</v>
      </c>
      <c r="J571">
        <v>0</v>
      </c>
      <c r="K571">
        <v>0</v>
      </c>
      <c r="L571">
        <v>0</v>
      </c>
      <c r="M571">
        <v>0</v>
      </c>
      <c r="N571">
        <v>0</v>
      </c>
      <c r="O571">
        <v>0</v>
      </c>
      <c r="P571">
        <v>0</v>
      </c>
      <c r="Q571">
        <v>0</v>
      </c>
      <c r="R571">
        <v>0</v>
      </c>
      <c r="S571">
        <v>0</v>
      </c>
      <c r="T571">
        <v>0</v>
      </c>
      <c r="U571">
        <v>0</v>
      </c>
      <c r="V571">
        <v>0</v>
      </c>
      <c r="W571">
        <v>0</v>
      </c>
      <c r="X571">
        <v>0</v>
      </c>
      <c r="Y571">
        <v>0</v>
      </c>
      <c r="Z571">
        <v>0</v>
      </c>
      <c r="AA571">
        <v>0</v>
      </c>
      <c r="AB571">
        <v>0</v>
      </c>
    </row>
    <row r="572" spans="1:28">
      <c r="A572">
        <v>0</v>
      </c>
      <c r="B572">
        <v>0</v>
      </c>
      <c r="C572">
        <v>0</v>
      </c>
      <c r="D572">
        <v>0</v>
      </c>
      <c r="E572">
        <v>0</v>
      </c>
      <c r="F572">
        <v>0</v>
      </c>
      <c r="G572">
        <v>0</v>
      </c>
      <c r="H572">
        <v>0</v>
      </c>
      <c r="I572">
        <v>0</v>
      </c>
      <c r="J572">
        <v>0</v>
      </c>
      <c r="K572">
        <v>0</v>
      </c>
      <c r="L572">
        <v>0</v>
      </c>
      <c r="M572">
        <v>0</v>
      </c>
      <c r="N572">
        <v>0</v>
      </c>
      <c r="O572">
        <v>0</v>
      </c>
      <c r="P572">
        <v>0</v>
      </c>
      <c r="Q572">
        <v>0</v>
      </c>
      <c r="R572">
        <v>0</v>
      </c>
      <c r="S572">
        <v>0</v>
      </c>
      <c r="T572">
        <v>0</v>
      </c>
      <c r="U572">
        <v>0</v>
      </c>
      <c r="V572">
        <v>0</v>
      </c>
      <c r="W572">
        <v>0</v>
      </c>
      <c r="X572">
        <v>0</v>
      </c>
      <c r="Y572">
        <v>0</v>
      </c>
      <c r="Z572">
        <v>0</v>
      </c>
      <c r="AA572">
        <v>0</v>
      </c>
      <c r="AB572">
        <v>0</v>
      </c>
    </row>
    <row r="573" spans="1:28">
      <c r="A573">
        <v>0</v>
      </c>
      <c r="B573">
        <v>0</v>
      </c>
      <c r="C573">
        <v>0</v>
      </c>
      <c r="D573">
        <v>0</v>
      </c>
      <c r="E573">
        <v>0</v>
      </c>
      <c r="F573">
        <v>0</v>
      </c>
      <c r="G573">
        <v>0</v>
      </c>
      <c r="H573">
        <v>0</v>
      </c>
      <c r="I573">
        <v>0</v>
      </c>
      <c r="J573">
        <v>0</v>
      </c>
      <c r="K573">
        <v>0</v>
      </c>
      <c r="L573">
        <v>0</v>
      </c>
      <c r="M573">
        <v>0</v>
      </c>
      <c r="N573">
        <v>0</v>
      </c>
      <c r="O573">
        <v>0</v>
      </c>
      <c r="P573">
        <v>0</v>
      </c>
      <c r="Q573">
        <v>0</v>
      </c>
      <c r="R573">
        <v>0</v>
      </c>
      <c r="S573">
        <v>0</v>
      </c>
      <c r="T573">
        <v>0</v>
      </c>
      <c r="U573">
        <v>0</v>
      </c>
      <c r="V573">
        <v>0</v>
      </c>
      <c r="W573">
        <v>0</v>
      </c>
      <c r="X573">
        <v>0</v>
      </c>
      <c r="Y573">
        <v>0</v>
      </c>
      <c r="Z573">
        <v>0</v>
      </c>
      <c r="AA573">
        <v>0</v>
      </c>
      <c r="AB573">
        <v>0</v>
      </c>
    </row>
    <row r="574" spans="1:28">
      <c r="A574">
        <v>0</v>
      </c>
      <c r="B574">
        <v>0</v>
      </c>
      <c r="C574">
        <v>0</v>
      </c>
      <c r="D574">
        <v>0</v>
      </c>
      <c r="E574">
        <v>0</v>
      </c>
      <c r="F574">
        <v>0</v>
      </c>
      <c r="G574">
        <v>0</v>
      </c>
      <c r="H574">
        <v>0</v>
      </c>
      <c r="I574">
        <v>0</v>
      </c>
      <c r="J574">
        <v>0</v>
      </c>
      <c r="K574">
        <v>0</v>
      </c>
      <c r="L574">
        <v>0</v>
      </c>
      <c r="M574">
        <v>0</v>
      </c>
      <c r="N574">
        <v>0</v>
      </c>
      <c r="O574">
        <v>0</v>
      </c>
      <c r="P574">
        <v>0</v>
      </c>
      <c r="Q574">
        <v>0</v>
      </c>
      <c r="R574">
        <v>0</v>
      </c>
      <c r="S574">
        <v>0</v>
      </c>
      <c r="T574">
        <v>0</v>
      </c>
      <c r="U574">
        <v>0</v>
      </c>
      <c r="V574">
        <v>0</v>
      </c>
      <c r="W574">
        <v>0</v>
      </c>
      <c r="X574">
        <v>0</v>
      </c>
      <c r="Y574">
        <v>0</v>
      </c>
      <c r="Z574">
        <v>0</v>
      </c>
      <c r="AA574">
        <v>0</v>
      </c>
      <c r="AB574">
        <v>0</v>
      </c>
    </row>
    <row r="575" spans="1:28">
      <c r="A575">
        <v>0</v>
      </c>
      <c r="B575">
        <v>0</v>
      </c>
      <c r="C575">
        <v>0</v>
      </c>
      <c r="D575">
        <v>0</v>
      </c>
      <c r="E575">
        <v>0</v>
      </c>
      <c r="F575">
        <v>0</v>
      </c>
      <c r="G575">
        <v>0</v>
      </c>
      <c r="H575">
        <v>0</v>
      </c>
      <c r="I575">
        <v>0</v>
      </c>
      <c r="J575">
        <v>0</v>
      </c>
      <c r="K575">
        <v>0</v>
      </c>
      <c r="L575">
        <v>0</v>
      </c>
      <c r="M575">
        <v>0</v>
      </c>
      <c r="N575">
        <v>0</v>
      </c>
      <c r="O575">
        <v>0</v>
      </c>
      <c r="P575">
        <v>0</v>
      </c>
      <c r="Q575">
        <v>0</v>
      </c>
      <c r="R575">
        <v>0</v>
      </c>
      <c r="S575">
        <v>0</v>
      </c>
      <c r="T575">
        <v>0</v>
      </c>
      <c r="U575">
        <v>0</v>
      </c>
      <c r="V575">
        <v>0</v>
      </c>
      <c r="W575">
        <v>0</v>
      </c>
      <c r="X575">
        <v>0</v>
      </c>
      <c r="Y575">
        <v>0</v>
      </c>
      <c r="Z575">
        <v>0</v>
      </c>
      <c r="AA575">
        <v>0</v>
      </c>
      <c r="AB575">
        <v>0</v>
      </c>
    </row>
    <row r="576" spans="1:28">
      <c r="A576">
        <v>0</v>
      </c>
      <c r="B576">
        <v>0</v>
      </c>
      <c r="C576">
        <v>0</v>
      </c>
      <c r="D576">
        <v>0</v>
      </c>
      <c r="E576">
        <v>0</v>
      </c>
      <c r="F576">
        <v>0</v>
      </c>
      <c r="G576">
        <v>0</v>
      </c>
      <c r="H576">
        <v>0</v>
      </c>
      <c r="I576">
        <v>0</v>
      </c>
      <c r="J576">
        <v>0</v>
      </c>
      <c r="K576">
        <v>0</v>
      </c>
      <c r="L576">
        <v>0</v>
      </c>
      <c r="M576">
        <v>0</v>
      </c>
      <c r="N576">
        <v>0</v>
      </c>
      <c r="O576">
        <v>0</v>
      </c>
      <c r="P576">
        <v>0</v>
      </c>
      <c r="Q576">
        <v>0</v>
      </c>
      <c r="R576">
        <v>0</v>
      </c>
      <c r="S576">
        <v>0</v>
      </c>
      <c r="T576">
        <v>0</v>
      </c>
      <c r="U576">
        <v>0</v>
      </c>
      <c r="V576">
        <v>0</v>
      </c>
      <c r="W576">
        <v>0</v>
      </c>
      <c r="X576">
        <v>0</v>
      </c>
      <c r="Y576">
        <v>0</v>
      </c>
      <c r="Z576">
        <v>0</v>
      </c>
      <c r="AA576">
        <v>0</v>
      </c>
      <c r="AB576">
        <v>0</v>
      </c>
    </row>
    <row r="577" spans="1:28">
      <c r="A577">
        <v>0</v>
      </c>
      <c r="B577">
        <v>0</v>
      </c>
      <c r="C577">
        <v>0</v>
      </c>
      <c r="D577">
        <v>0</v>
      </c>
      <c r="E577">
        <v>0</v>
      </c>
      <c r="F577">
        <v>0</v>
      </c>
      <c r="G577">
        <v>0</v>
      </c>
      <c r="H577">
        <v>0</v>
      </c>
      <c r="I577">
        <v>0</v>
      </c>
      <c r="J577">
        <v>0</v>
      </c>
      <c r="K577">
        <v>0</v>
      </c>
      <c r="L577">
        <v>0</v>
      </c>
      <c r="M577">
        <v>0</v>
      </c>
      <c r="N577">
        <v>0</v>
      </c>
      <c r="O577">
        <v>0</v>
      </c>
      <c r="P577">
        <v>0</v>
      </c>
      <c r="Q577">
        <v>0</v>
      </c>
      <c r="R577">
        <v>0</v>
      </c>
      <c r="S577">
        <v>0</v>
      </c>
      <c r="T577">
        <v>0</v>
      </c>
      <c r="U577">
        <v>0</v>
      </c>
      <c r="V577">
        <v>0</v>
      </c>
      <c r="W577">
        <v>0</v>
      </c>
      <c r="X577">
        <v>0</v>
      </c>
      <c r="Y577">
        <v>0</v>
      </c>
      <c r="Z577">
        <v>0</v>
      </c>
      <c r="AA577">
        <v>0</v>
      </c>
      <c r="AB577">
        <v>0</v>
      </c>
    </row>
    <row r="578" spans="1:28">
      <c r="A578">
        <v>0</v>
      </c>
      <c r="B578">
        <v>0</v>
      </c>
      <c r="C578">
        <v>0</v>
      </c>
      <c r="D578">
        <v>0</v>
      </c>
      <c r="E578">
        <v>0</v>
      </c>
      <c r="F578">
        <v>0</v>
      </c>
      <c r="G578">
        <v>0</v>
      </c>
      <c r="H578">
        <v>0</v>
      </c>
      <c r="I578">
        <v>0</v>
      </c>
      <c r="J578">
        <v>0</v>
      </c>
      <c r="K578">
        <v>0</v>
      </c>
      <c r="L578">
        <v>0</v>
      </c>
      <c r="M578">
        <v>0</v>
      </c>
      <c r="N578">
        <v>0</v>
      </c>
      <c r="O578">
        <v>0</v>
      </c>
      <c r="P578">
        <v>0</v>
      </c>
      <c r="Q578">
        <v>0</v>
      </c>
      <c r="R578">
        <v>0</v>
      </c>
      <c r="S578">
        <v>0</v>
      </c>
      <c r="T578">
        <v>0</v>
      </c>
      <c r="U578">
        <v>0</v>
      </c>
      <c r="V578">
        <v>0</v>
      </c>
      <c r="W578">
        <v>0</v>
      </c>
      <c r="X578">
        <v>0</v>
      </c>
      <c r="Y578">
        <v>0</v>
      </c>
      <c r="Z578">
        <v>0</v>
      </c>
      <c r="AA578">
        <v>0</v>
      </c>
      <c r="AB578">
        <v>0</v>
      </c>
    </row>
    <row r="579" spans="1:28">
      <c r="A579">
        <v>0</v>
      </c>
      <c r="B579">
        <v>0</v>
      </c>
      <c r="C579">
        <v>0</v>
      </c>
      <c r="D579">
        <v>0</v>
      </c>
      <c r="E579">
        <v>0</v>
      </c>
      <c r="F579">
        <v>0</v>
      </c>
      <c r="G579">
        <v>0</v>
      </c>
      <c r="H579">
        <v>0</v>
      </c>
      <c r="I579">
        <v>0</v>
      </c>
      <c r="J579">
        <v>0</v>
      </c>
      <c r="K579">
        <v>0</v>
      </c>
      <c r="L579">
        <v>0</v>
      </c>
      <c r="M579">
        <v>0</v>
      </c>
      <c r="N579">
        <v>0</v>
      </c>
      <c r="O579">
        <v>0</v>
      </c>
      <c r="P579">
        <v>0</v>
      </c>
      <c r="Q579">
        <v>0</v>
      </c>
      <c r="R579">
        <v>0</v>
      </c>
      <c r="S579">
        <v>0</v>
      </c>
      <c r="T579">
        <v>0</v>
      </c>
      <c r="U579">
        <v>0</v>
      </c>
      <c r="V579">
        <v>0</v>
      </c>
      <c r="W579">
        <v>0</v>
      </c>
      <c r="X579">
        <v>0</v>
      </c>
      <c r="Y579">
        <v>0</v>
      </c>
      <c r="Z579">
        <v>0</v>
      </c>
      <c r="AA579">
        <v>0</v>
      </c>
      <c r="AB579">
        <v>0</v>
      </c>
    </row>
    <row r="580" spans="1:28">
      <c r="A580">
        <v>0</v>
      </c>
      <c r="B580">
        <v>0</v>
      </c>
      <c r="C580">
        <v>0</v>
      </c>
      <c r="D580">
        <v>0</v>
      </c>
      <c r="E580">
        <v>0</v>
      </c>
      <c r="F580">
        <v>0</v>
      </c>
      <c r="G580">
        <v>0</v>
      </c>
      <c r="H580">
        <v>0</v>
      </c>
      <c r="I580">
        <v>0</v>
      </c>
      <c r="J580">
        <v>0</v>
      </c>
      <c r="K580">
        <v>0</v>
      </c>
      <c r="L580">
        <v>0</v>
      </c>
      <c r="M580">
        <v>0</v>
      </c>
      <c r="N580">
        <v>0</v>
      </c>
      <c r="O580">
        <v>0</v>
      </c>
      <c r="P580">
        <v>0</v>
      </c>
      <c r="Q580">
        <v>0</v>
      </c>
      <c r="R580">
        <v>0</v>
      </c>
      <c r="S580">
        <v>0</v>
      </c>
      <c r="T580">
        <v>0</v>
      </c>
      <c r="U580">
        <v>0</v>
      </c>
      <c r="V580">
        <v>0</v>
      </c>
      <c r="W580">
        <v>0</v>
      </c>
      <c r="X580">
        <v>0</v>
      </c>
      <c r="Y580">
        <v>0</v>
      </c>
      <c r="Z580">
        <v>0</v>
      </c>
      <c r="AA580">
        <v>0</v>
      </c>
      <c r="AB580">
        <v>0</v>
      </c>
    </row>
    <row r="581" spans="1:28">
      <c r="A581">
        <v>0</v>
      </c>
      <c r="B581">
        <v>0</v>
      </c>
      <c r="C581">
        <v>0</v>
      </c>
      <c r="D581">
        <v>0</v>
      </c>
      <c r="E581">
        <v>0</v>
      </c>
      <c r="F581">
        <v>0</v>
      </c>
      <c r="G581">
        <v>0</v>
      </c>
      <c r="H581">
        <v>0</v>
      </c>
      <c r="I581">
        <v>0</v>
      </c>
      <c r="J581">
        <v>0</v>
      </c>
      <c r="K581">
        <v>0</v>
      </c>
      <c r="L581">
        <v>0</v>
      </c>
      <c r="M581">
        <v>0</v>
      </c>
      <c r="N581">
        <v>0</v>
      </c>
      <c r="O581">
        <v>0</v>
      </c>
      <c r="P581">
        <v>0</v>
      </c>
      <c r="Q581">
        <v>0</v>
      </c>
      <c r="R581">
        <v>0</v>
      </c>
      <c r="S581">
        <v>0</v>
      </c>
      <c r="T581">
        <v>0</v>
      </c>
      <c r="U581">
        <v>0</v>
      </c>
      <c r="V581">
        <v>0</v>
      </c>
      <c r="W581">
        <v>0</v>
      </c>
      <c r="X581">
        <v>0</v>
      </c>
      <c r="Y581">
        <v>0</v>
      </c>
      <c r="Z581">
        <v>0</v>
      </c>
      <c r="AA581">
        <v>0</v>
      </c>
      <c r="AB581">
        <v>0</v>
      </c>
    </row>
    <row r="582" spans="1:28">
      <c r="A582">
        <v>0</v>
      </c>
      <c r="B582">
        <v>0</v>
      </c>
      <c r="C582">
        <v>0</v>
      </c>
      <c r="D582">
        <v>0</v>
      </c>
      <c r="E582">
        <v>0</v>
      </c>
      <c r="F582">
        <v>0</v>
      </c>
      <c r="G582">
        <v>0</v>
      </c>
      <c r="H582">
        <v>0</v>
      </c>
      <c r="I582">
        <v>0</v>
      </c>
      <c r="J582">
        <v>0</v>
      </c>
      <c r="K582">
        <v>0</v>
      </c>
      <c r="L582">
        <v>0</v>
      </c>
      <c r="M582">
        <v>0</v>
      </c>
      <c r="N582">
        <v>0</v>
      </c>
      <c r="O582">
        <v>0</v>
      </c>
      <c r="P582">
        <v>0</v>
      </c>
      <c r="Q582">
        <v>0</v>
      </c>
      <c r="R582">
        <v>0</v>
      </c>
      <c r="S582">
        <v>0</v>
      </c>
      <c r="T582">
        <v>0</v>
      </c>
      <c r="U582">
        <v>0</v>
      </c>
      <c r="V582">
        <v>0</v>
      </c>
      <c r="W582">
        <v>0</v>
      </c>
      <c r="X582">
        <v>0</v>
      </c>
      <c r="Y582">
        <v>0</v>
      </c>
      <c r="Z582">
        <v>0</v>
      </c>
      <c r="AA582">
        <v>0</v>
      </c>
      <c r="AB582">
        <v>0</v>
      </c>
    </row>
    <row r="583" spans="1:28">
      <c r="A583">
        <v>0</v>
      </c>
      <c r="B583">
        <v>0</v>
      </c>
      <c r="C583">
        <v>0</v>
      </c>
      <c r="D583">
        <v>0</v>
      </c>
      <c r="E583">
        <v>0</v>
      </c>
      <c r="F583">
        <v>0</v>
      </c>
      <c r="G583">
        <v>0</v>
      </c>
      <c r="H583">
        <v>0</v>
      </c>
      <c r="I583">
        <v>0</v>
      </c>
      <c r="J583">
        <v>0</v>
      </c>
      <c r="K583">
        <v>0</v>
      </c>
      <c r="L583">
        <v>0</v>
      </c>
      <c r="M583">
        <v>0</v>
      </c>
      <c r="N583">
        <v>0</v>
      </c>
      <c r="O583">
        <v>0</v>
      </c>
      <c r="P583">
        <v>0</v>
      </c>
      <c r="Q583">
        <v>0</v>
      </c>
      <c r="R583">
        <v>0</v>
      </c>
      <c r="S583">
        <v>0</v>
      </c>
      <c r="T583">
        <v>0</v>
      </c>
      <c r="U583">
        <v>0</v>
      </c>
      <c r="V583">
        <v>0</v>
      </c>
      <c r="W583">
        <v>0</v>
      </c>
      <c r="X583">
        <v>0</v>
      </c>
      <c r="Y583">
        <v>0</v>
      </c>
      <c r="Z583">
        <v>0</v>
      </c>
      <c r="AA583">
        <v>0</v>
      </c>
      <c r="AB583">
        <v>0</v>
      </c>
    </row>
    <row r="584" spans="1:28">
      <c r="A584">
        <v>0</v>
      </c>
      <c r="B584">
        <v>0</v>
      </c>
      <c r="C584">
        <v>0</v>
      </c>
      <c r="D584">
        <v>0</v>
      </c>
      <c r="E584">
        <v>0</v>
      </c>
      <c r="F584">
        <v>0</v>
      </c>
      <c r="G584">
        <v>0</v>
      </c>
      <c r="H584">
        <v>0</v>
      </c>
      <c r="I584">
        <v>0</v>
      </c>
      <c r="J584">
        <v>0</v>
      </c>
      <c r="K584">
        <v>0</v>
      </c>
      <c r="L584">
        <v>0</v>
      </c>
      <c r="M584">
        <v>0</v>
      </c>
      <c r="N584">
        <v>0</v>
      </c>
      <c r="O584">
        <v>0</v>
      </c>
      <c r="P584">
        <v>0</v>
      </c>
      <c r="Q584">
        <v>0</v>
      </c>
      <c r="R584">
        <v>0</v>
      </c>
      <c r="S584">
        <v>0</v>
      </c>
      <c r="T584">
        <v>0</v>
      </c>
      <c r="U584">
        <v>0</v>
      </c>
      <c r="V584">
        <v>0</v>
      </c>
      <c r="W584">
        <v>0</v>
      </c>
      <c r="X584">
        <v>0</v>
      </c>
      <c r="Y584">
        <v>0</v>
      </c>
      <c r="Z584">
        <v>0</v>
      </c>
      <c r="AA584">
        <v>0</v>
      </c>
      <c r="AB584">
        <v>0</v>
      </c>
    </row>
    <row r="585" spans="1:28">
      <c r="A585">
        <v>0</v>
      </c>
      <c r="B585">
        <v>0</v>
      </c>
      <c r="C585">
        <v>0</v>
      </c>
      <c r="D585">
        <v>0</v>
      </c>
      <c r="E585">
        <v>0</v>
      </c>
      <c r="F585">
        <v>0</v>
      </c>
      <c r="G585">
        <v>0</v>
      </c>
      <c r="H585">
        <v>0</v>
      </c>
      <c r="I585">
        <v>0</v>
      </c>
      <c r="J585">
        <v>0</v>
      </c>
      <c r="K585">
        <v>0</v>
      </c>
      <c r="L585">
        <v>0</v>
      </c>
      <c r="M585">
        <v>0</v>
      </c>
      <c r="N585">
        <v>0</v>
      </c>
      <c r="O585">
        <v>0</v>
      </c>
      <c r="P585">
        <v>0</v>
      </c>
      <c r="Q585">
        <v>0</v>
      </c>
      <c r="R585">
        <v>0</v>
      </c>
      <c r="S585">
        <v>0</v>
      </c>
      <c r="T585">
        <v>0</v>
      </c>
      <c r="U585">
        <v>0</v>
      </c>
      <c r="V585">
        <v>0</v>
      </c>
      <c r="W585">
        <v>0</v>
      </c>
      <c r="X585">
        <v>0</v>
      </c>
      <c r="Y585">
        <v>0</v>
      </c>
      <c r="Z585">
        <v>0</v>
      </c>
      <c r="AA585">
        <v>0</v>
      </c>
      <c r="AB585">
        <v>0</v>
      </c>
    </row>
    <row r="586" spans="1:28">
      <c r="A586">
        <v>0</v>
      </c>
      <c r="B586">
        <v>0</v>
      </c>
      <c r="C586">
        <v>0</v>
      </c>
      <c r="D586">
        <v>0</v>
      </c>
      <c r="E586">
        <v>0</v>
      </c>
      <c r="F586">
        <v>0</v>
      </c>
      <c r="G586">
        <v>0</v>
      </c>
      <c r="H586">
        <v>0</v>
      </c>
      <c r="I586">
        <v>0</v>
      </c>
      <c r="J586">
        <v>0</v>
      </c>
      <c r="K586">
        <v>0</v>
      </c>
      <c r="L586">
        <v>0</v>
      </c>
      <c r="M586">
        <v>0</v>
      </c>
      <c r="N586">
        <v>0</v>
      </c>
      <c r="O586">
        <v>0</v>
      </c>
      <c r="P586">
        <v>0</v>
      </c>
      <c r="Q586">
        <v>0</v>
      </c>
      <c r="R586">
        <v>0</v>
      </c>
      <c r="S586">
        <v>0</v>
      </c>
      <c r="T586">
        <v>0</v>
      </c>
      <c r="U586">
        <v>0</v>
      </c>
      <c r="V586">
        <v>0</v>
      </c>
      <c r="W586">
        <v>0</v>
      </c>
      <c r="X586">
        <v>0</v>
      </c>
      <c r="Y586">
        <v>0</v>
      </c>
      <c r="Z586">
        <v>0</v>
      </c>
      <c r="AA586">
        <v>0</v>
      </c>
      <c r="AB586">
        <v>0</v>
      </c>
    </row>
    <row r="587" spans="1:28">
      <c r="A587">
        <v>0</v>
      </c>
      <c r="B587">
        <v>0</v>
      </c>
      <c r="C587">
        <v>0</v>
      </c>
      <c r="D587">
        <v>0</v>
      </c>
      <c r="E587">
        <v>0</v>
      </c>
      <c r="F587">
        <v>0</v>
      </c>
      <c r="G587">
        <v>0</v>
      </c>
      <c r="H587">
        <v>0</v>
      </c>
      <c r="I587">
        <v>0</v>
      </c>
      <c r="J587">
        <v>0</v>
      </c>
      <c r="K587">
        <v>0</v>
      </c>
      <c r="L587">
        <v>0</v>
      </c>
      <c r="M587">
        <v>0</v>
      </c>
      <c r="N587">
        <v>0</v>
      </c>
      <c r="O587">
        <v>0</v>
      </c>
      <c r="P587">
        <v>0</v>
      </c>
      <c r="Q587">
        <v>0</v>
      </c>
      <c r="R587">
        <v>0</v>
      </c>
      <c r="S587">
        <v>0</v>
      </c>
      <c r="T587">
        <v>0</v>
      </c>
      <c r="U587">
        <v>0</v>
      </c>
      <c r="V587">
        <v>0</v>
      </c>
      <c r="W587">
        <v>0</v>
      </c>
      <c r="X587">
        <v>0</v>
      </c>
      <c r="Y587">
        <v>0</v>
      </c>
      <c r="Z587">
        <v>0</v>
      </c>
      <c r="AA587">
        <v>0</v>
      </c>
      <c r="AB587">
        <v>0</v>
      </c>
    </row>
    <row r="588" spans="1:28">
      <c r="A588">
        <v>0</v>
      </c>
      <c r="B588">
        <v>0</v>
      </c>
      <c r="C588">
        <v>0</v>
      </c>
      <c r="D588">
        <v>0</v>
      </c>
      <c r="E588">
        <v>0</v>
      </c>
      <c r="F588">
        <v>0</v>
      </c>
      <c r="G588">
        <v>0</v>
      </c>
      <c r="H588">
        <v>0</v>
      </c>
      <c r="I588">
        <v>0</v>
      </c>
      <c r="J588">
        <v>0</v>
      </c>
      <c r="K588">
        <v>0</v>
      </c>
      <c r="L588">
        <v>0</v>
      </c>
      <c r="M588">
        <v>0</v>
      </c>
      <c r="N588">
        <v>0</v>
      </c>
      <c r="O588">
        <v>0</v>
      </c>
      <c r="P588">
        <v>0</v>
      </c>
      <c r="Q588">
        <v>0</v>
      </c>
      <c r="R588">
        <v>0</v>
      </c>
      <c r="S588">
        <v>0</v>
      </c>
      <c r="T588">
        <v>0</v>
      </c>
      <c r="U588">
        <v>0</v>
      </c>
      <c r="V588">
        <v>0</v>
      </c>
      <c r="W588">
        <v>0</v>
      </c>
      <c r="X588">
        <v>0</v>
      </c>
      <c r="Y588">
        <v>0</v>
      </c>
      <c r="Z588">
        <v>0</v>
      </c>
      <c r="AA588">
        <v>0</v>
      </c>
      <c r="AB588">
        <v>0</v>
      </c>
    </row>
    <row r="589" spans="1:28">
      <c r="A589">
        <v>0</v>
      </c>
      <c r="B589">
        <v>0</v>
      </c>
      <c r="C589">
        <v>0</v>
      </c>
      <c r="D589">
        <v>0</v>
      </c>
      <c r="E589">
        <v>0</v>
      </c>
      <c r="F589">
        <v>0</v>
      </c>
      <c r="G589">
        <v>0</v>
      </c>
      <c r="H589">
        <v>0</v>
      </c>
      <c r="I589">
        <v>0</v>
      </c>
      <c r="J589">
        <v>0</v>
      </c>
      <c r="K589">
        <v>0</v>
      </c>
      <c r="L589">
        <v>0</v>
      </c>
      <c r="M589">
        <v>0</v>
      </c>
      <c r="N589">
        <v>0</v>
      </c>
      <c r="O589">
        <v>0</v>
      </c>
      <c r="P589">
        <v>0</v>
      </c>
      <c r="Q589">
        <v>0</v>
      </c>
      <c r="R589">
        <v>0</v>
      </c>
      <c r="S589">
        <v>0</v>
      </c>
      <c r="T589">
        <v>0</v>
      </c>
      <c r="U589">
        <v>0</v>
      </c>
      <c r="V589">
        <v>0</v>
      </c>
      <c r="W589">
        <v>0</v>
      </c>
      <c r="X589">
        <v>0</v>
      </c>
      <c r="Y589">
        <v>0</v>
      </c>
      <c r="Z589">
        <v>0</v>
      </c>
      <c r="AA589">
        <v>0</v>
      </c>
      <c r="AB589">
        <v>0</v>
      </c>
    </row>
    <row r="590" spans="1:28">
      <c r="A590">
        <v>0</v>
      </c>
      <c r="B590">
        <v>0</v>
      </c>
      <c r="C590">
        <v>0</v>
      </c>
      <c r="D590">
        <v>0</v>
      </c>
      <c r="E590">
        <v>0</v>
      </c>
      <c r="F590">
        <v>0</v>
      </c>
      <c r="G590">
        <v>0</v>
      </c>
      <c r="H590">
        <v>0</v>
      </c>
      <c r="I590">
        <v>0</v>
      </c>
      <c r="J590">
        <v>0</v>
      </c>
      <c r="K590">
        <v>0</v>
      </c>
      <c r="L590">
        <v>0</v>
      </c>
      <c r="M590">
        <v>0</v>
      </c>
      <c r="N590">
        <v>0</v>
      </c>
      <c r="O590">
        <v>0</v>
      </c>
      <c r="P590">
        <v>0</v>
      </c>
      <c r="Q590">
        <v>0</v>
      </c>
      <c r="R590">
        <v>0</v>
      </c>
      <c r="S590">
        <v>0</v>
      </c>
      <c r="T590">
        <v>0</v>
      </c>
      <c r="U590">
        <v>0</v>
      </c>
      <c r="V590">
        <v>0</v>
      </c>
      <c r="W590">
        <v>0</v>
      </c>
      <c r="X590">
        <v>0</v>
      </c>
      <c r="Y590">
        <v>0</v>
      </c>
      <c r="Z590">
        <v>0</v>
      </c>
      <c r="AA590">
        <v>0</v>
      </c>
      <c r="AB590">
        <v>0</v>
      </c>
    </row>
    <row r="591" spans="1:28">
      <c r="A591">
        <v>0</v>
      </c>
      <c r="B591">
        <v>0</v>
      </c>
      <c r="C591">
        <v>0</v>
      </c>
      <c r="D591">
        <v>0</v>
      </c>
      <c r="E591">
        <v>0</v>
      </c>
      <c r="F591">
        <v>0</v>
      </c>
      <c r="G591">
        <v>0</v>
      </c>
      <c r="H591">
        <v>0</v>
      </c>
      <c r="I591">
        <v>0</v>
      </c>
      <c r="J591">
        <v>0</v>
      </c>
      <c r="K591">
        <v>0</v>
      </c>
      <c r="L591">
        <v>0</v>
      </c>
      <c r="M591">
        <v>0</v>
      </c>
      <c r="N591">
        <v>0</v>
      </c>
      <c r="O591">
        <v>0</v>
      </c>
      <c r="P591">
        <v>0</v>
      </c>
      <c r="Q591">
        <v>0</v>
      </c>
      <c r="R591">
        <v>0</v>
      </c>
      <c r="S591">
        <v>0</v>
      </c>
      <c r="T591">
        <v>0</v>
      </c>
      <c r="U591">
        <v>0</v>
      </c>
      <c r="V591">
        <v>0</v>
      </c>
      <c r="W591">
        <v>0</v>
      </c>
      <c r="X591">
        <v>0</v>
      </c>
      <c r="Y591">
        <v>0</v>
      </c>
      <c r="Z591">
        <v>0</v>
      </c>
      <c r="AA591">
        <v>0</v>
      </c>
      <c r="AB591">
        <v>0</v>
      </c>
    </row>
    <row r="592" spans="1:28">
      <c r="A592">
        <v>0</v>
      </c>
      <c r="B592">
        <v>0</v>
      </c>
      <c r="C592">
        <v>0</v>
      </c>
      <c r="D592">
        <v>0</v>
      </c>
      <c r="E592">
        <v>0</v>
      </c>
      <c r="F592">
        <v>0</v>
      </c>
      <c r="G592">
        <v>0</v>
      </c>
      <c r="H592">
        <v>0</v>
      </c>
      <c r="I592">
        <v>0</v>
      </c>
      <c r="J592">
        <v>0</v>
      </c>
      <c r="K592">
        <v>0</v>
      </c>
      <c r="L592">
        <v>0</v>
      </c>
      <c r="M592">
        <v>0</v>
      </c>
      <c r="N592">
        <v>0</v>
      </c>
      <c r="O592">
        <v>0</v>
      </c>
      <c r="P592">
        <v>0</v>
      </c>
      <c r="Q592">
        <v>0</v>
      </c>
      <c r="R592">
        <v>0</v>
      </c>
      <c r="S592">
        <v>0</v>
      </c>
      <c r="T592">
        <v>0</v>
      </c>
      <c r="U592">
        <v>0</v>
      </c>
      <c r="V592">
        <v>0</v>
      </c>
      <c r="W592">
        <v>0</v>
      </c>
      <c r="X592">
        <v>0</v>
      </c>
      <c r="Y592">
        <v>0</v>
      </c>
      <c r="Z592">
        <v>0</v>
      </c>
      <c r="AA592">
        <v>0</v>
      </c>
      <c r="AB592">
        <v>0</v>
      </c>
    </row>
    <row r="593" spans="1:28">
      <c r="A593">
        <v>0</v>
      </c>
      <c r="B593">
        <v>0</v>
      </c>
      <c r="C593">
        <v>0</v>
      </c>
      <c r="D593">
        <v>0</v>
      </c>
      <c r="E593">
        <v>0</v>
      </c>
      <c r="F593">
        <v>0</v>
      </c>
      <c r="G593">
        <v>0</v>
      </c>
      <c r="H593">
        <v>0</v>
      </c>
      <c r="I593">
        <v>0</v>
      </c>
      <c r="J593">
        <v>0</v>
      </c>
      <c r="K593">
        <v>0</v>
      </c>
      <c r="L593">
        <v>0</v>
      </c>
      <c r="M593">
        <v>0</v>
      </c>
      <c r="N593">
        <v>0</v>
      </c>
      <c r="O593">
        <v>0</v>
      </c>
      <c r="P593">
        <v>0</v>
      </c>
      <c r="Q593">
        <v>0</v>
      </c>
      <c r="R593">
        <v>0</v>
      </c>
      <c r="S593">
        <v>0</v>
      </c>
      <c r="T593">
        <v>0</v>
      </c>
      <c r="U593">
        <v>0</v>
      </c>
      <c r="V593">
        <v>0</v>
      </c>
      <c r="W593">
        <v>0</v>
      </c>
      <c r="X593">
        <v>0</v>
      </c>
      <c r="Y593">
        <v>0</v>
      </c>
      <c r="Z593">
        <v>0</v>
      </c>
      <c r="AA593">
        <v>0</v>
      </c>
      <c r="AB593">
        <v>0</v>
      </c>
    </row>
    <row r="594" spans="1:28">
      <c r="A594">
        <v>0</v>
      </c>
      <c r="B594">
        <v>0</v>
      </c>
      <c r="C594">
        <v>0</v>
      </c>
      <c r="D594">
        <v>0</v>
      </c>
      <c r="E594">
        <v>0</v>
      </c>
      <c r="F594">
        <v>0</v>
      </c>
      <c r="G594">
        <v>0</v>
      </c>
      <c r="H594">
        <v>0</v>
      </c>
      <c r="I594">
        <v>0</v>
      </c>
      <c r="J594">
        <v>0</v>
      </c>
      <c r="K594">
        <v>0</v>
      </c>
      <c r="L594">
        <v>0</v>
      </c>
      <c r="M594">
        <v>0</v>
      </c>
      <c r="N594">
        <v>0</v>
      </c>
      <c r="O594">
        <v>0</v>
      </c>
      <c r="P594">
        <v>0</v>
      </c>
      <c r="Q594">
        <v>0</v>
      </c>
      <c r="R594">
        <v>0</v>
      </c>
      <c r="S594">
        <v>0</v>
      </c>
      <c r="T594">
        <v>0</v>
      </c>
      <c r="U594">
        <v>0</v>
      </c>
      <c r="V594">
        <v>0</v>
      </c>
      <c r="W594">
        <v>0</v>
      </c>
      <c r="X594">
        <v>0</v>
      </c>
      <c r="Y594">
        <v>0</v>
      </c>
      <c r="Z594">
        <v>0</v>
      </c>
      <c r="AA594">
        <v>0</v>
      </c>
      <c r="AB594">
        <v>0</v>
      </c>
    </row>
    <row r="595" spans="1:28">
      <c r="A595">
        <v>0</v>
      </c>
      <c r="B595">
        <v>0</v>
      </c>
      <c r="C595">
        <v>0</v>
      </c>
      <c r="D595">
        <v>0</v>
      </c>
      <c r="E595">
        <v>0</v>
      </c>
      <c r="F595">
        <v>0</v>
      </c>
      <c r="G595">
        <v>0</v>
      </c>
      <c r="H595">
        <v>0</v>
      </c>
      <c r="I595">
        <v>0</v>
      </c>
      <c r="J595">
        <v>0</v>
      </c>
      <c r="K595">
        <v>0</v>
      </c>
      <c r="L595">
        <v>0</v>
      </c>
      <c r="M595">
        <v>0</v>
      </c>
      <c r="N595">
        <v>0</v>
      </c>
      <c r="O595">
        <v>0</v>
      </c>
      <c r="P595">
        <v>0</v>
      </c>
      <c r="Q595">
        <v>0</v>
      </c>
      <c r="R595">
        <v>0</v>
      </c>
      <c r="S595">
        <v>0</v>
      </c>
      <c r="T595">
        <v>0</v>
      </c>
      <c r="U595">
        <v>0</v>
      </c>
      <c r="V595">
        <v>0</v>
      </c>
      <c r="W595">
        <v>0</v>
      </c>
      <c r="X595">
        <v>0</v>
      </c>
      <c r="Y595">
        <v>0</v>
      </c>
      <c r="Z595">
        <v>0</v>
      </c>
      <c r="AA595">
        <v>0</v>
      </c>
      <c r="AB595">
        <v>0</v>
      </c>
    </row>
    <row r="596" spans="1:28">
      <c r="A596">
        <v>0</v>
      </c>
      <c r="B596">
        <v>0</v>
      </c>
      <c r="C596">
        <v>0</v>
      </c>
      <c r="D596">
        <v>0</v>
      </c>
      <c r="E596">
        <v>0</v>
      </c>
      <c r="F596">
        <v>0</v>
      </c>
      <c r="G596">
        <v>0</v>
      </c>
      <c r="H596">
        <v>0</v>
      </c>
      <c r="I596">
        <v>0</v>
      </c>
      <c r="J596">
        <v>0</v>
      </c>
      <c r="K596">
        <v>0</v>
      </c>
      <c r="L596">
        <v>0</v>
      </c>
      <c r="M596">
        <v>0</v>
      </c>
      <c r="N596">
        <v>0</v>
      </c>
      <c r="O596">
        <v>0</v>
      </c>
      <c r="P596">
        <v>0</v>
      </c>
      <c r="Q596">
        <v>0</v>
      </c>
      <c r="R596">
        <v>0</v>
      </c>
      <c r="S596">
        <v>0</v>
      </c>
      <c r="T596">
        <v>0</v>
      </c>
      <c r="U596">
        <v>0</v>
      </c>
      <c r="V596">
        <v>0</v>
      </c>
      <c r="W596">
        <v>0</v>
      </c>
      <c r="X596">
        <v>0</v>
      </c>
      <c r="Y596">
        <v>0</v>
      </c>
      <c r="Z596">
        <v>0</v>
      </c>
      <c r="AA596">
        <v>0</v>
      </c>
      <c r="AB596">
        <v>0</v>
      </c>
    </row>
    <row r="597" spans="1:28">
      <c r="A597">
        <v>0</v>
      </c>
      <c r="B597">
        <v>0</v>
      </c>
      <c r="C597">
        <v>0</v>
      </c>
      <c r="D597">
        <v>0</v>
      </c>
      <c r="E597">
        <v>0</v>
      </c>
      <c r="F597">
        <v>0</v>
      </c>
      <c r="G597">
        <v>0</v>
      </c>
      <c r="H597">
        <v>0</v>
      </c>
      <c r="I597">
        <v>0</v>
      </c>
      <c r="J597">
        <v>0</v>
      </c>
      <c r="K597">
        <v>0</v>
      </c>
      <c r="L597">
        <v>0</v>
      </c>
      <c r="M597">
        <v>0</v>
      </c>
      <c r="N597">
        <v>0</v>
      </c>
      <c r="O597">
        <v>0</v>
      </c>
      <c r="P597">
        <v>0</v>
      </c>
      <c r="Q597">
        <v>0</v>
      </c>
      <c r="R597">
        <v>0</v>
      </c>
      <c r="S597">
        <v>0</v>
      </c>
      <c r="T597">
        <v>0</v>
      </c>
      <c r="U597">
        <v>0</v>
      </c>
      <c r="V597">
        <v>0</v>
      </c>
      <c r="W597">
        <v>0</v>
      </c>
      <c r="X597">
        <v>0</v>
      </c>
      <c r="Y597">
        <v>0</v>
      </c>
      <c r="Z597">
        <v>0</v>
      </c>
      <c r="AA597">
        <v>0</v>
      </c>
      <c r="AB597">
        <v>0</v>
      </c>
    </row>
    <row r="598" spans="1:28">
      <c r="A598">
        <v>0</v>
      </c>
      <c r="B598">
        <v>0</v>
      </c>
      <c r="C598">
        <v>0</v>
      </c>
      <c r="D598">
        <v>0</v>
      </c>
      <c r="E598">
        <v>0</v>
      </c>
      <c r="F598">
        <v>0</v>
      </c>
      <c r="G598">
        <v>0</v>
      </c>
      <c r="H598">
        <v>0</v>
      </c>
      <c r="I598">
        <v>0</v>
      </c>
      <c r="J598">
        <v>0</v>
      </c>
      <c r="K598">
        <v>0</v>
      </c>
      <c r="L598">
        <v>0</v>
      </c>
      <c r="M598">
        <v>0</v>
      </c>
      <c r="N598">
        <v>0</v>
      </c>
      <c r="O598">
        <v>0</v>
      </c>
      <c r="P598">
        <v>0</v>
      </c>
      <c r="Q598">
        <v>0</v>
      </c>
      <c r="R598">
        <v>0</v>
      </c>
      <c r="S598">
        <v>0</v>
      </c>
      <c r="T598">
        <v>0</v>
      </c>
      <c r="U598">
        <v>0</v>
      </c>
      <c r="V598">
        <v>0</v>
      </c>
      <c r="W598">
        <v>0</v>
      </c>
      <c r="X598">
        <v>0</v>
      </c>
      <c r="Y598">
        <v>0</v>
      </c>
      <c r="Z598">
        <v>0</v>
      </c>
      <c r="AA598">
        <v>0</v>
      </c>
      <c r="AB598">
        <v>0</v>
      </c>
    </row>
    <row r="599" spans="1:28">
      <c r="A599">
        <v>0</v>
      </c>
      <c r="B599">
        <v>0</v>
      </c>
      <c r="C599">
        <v>0</v>
      </c>
      <c r="D599">
        <v>0</v>
      </c>
      <c r="E599">
        <v>0</v>
      </c>
      <c r="F599">
        <v>0</v>
      </c>
      <c r="G599">
        <v>0</v>
      </c>
      <c r="H599">
        <v>0</v>
      </c>
      <c r="I599">
        <v>0</v>
      </c>
      <c r="J599">
        <v>0</v>
      </c>
      <c r="K599">
        <v>0</v>
      </c>
      <c r="L599">
        <v>0</v>
      </c>
      <c r="M599">
        <v>0</v>
      </c>
      <c r="N599">
        <v>0</v>
      </c>
      <c r="O599">
        <v>0</v>
      </c>
      <c r="P599">
        <v>0</v>
      </c>
      <c r="Q599">
        <v>0</v>
      </c>
      <c r="R599">
        <v>0</v>
      </c>
      <c r="S599">
        <v>0</v>
      </c>
      <c r="T599">
        <v>0</v>
      </c>
      <c r="U599">
        <v>0</v>
      </c>
      <c r="V599">
        <v>0</v>
      </c>
      <c r="W599">
        <v>0</v>
      </c>
      <c r="X599">
        <v>0</v>
      </c>
      <c r="Y599">
        <v>0</v>
      </c>
      <c r="Z599">
        <v>0</v>
      </c>
      <c r="AA599">
        <v>0</v>
      </c>
      <c r="AB599">
        <v>0</v>
      </c>
    </row>
    <row r="600" spans="1:28">
      <c r="A600">
        <v>0</v>
      </c>
      <c r="B600">
        <v>0</v>
      </c>
      <c r="C600">
        <v>0</v>
      </c>
      <c r="D600">
        <v>0</v>
      </c>
      <c r="E600">
        <v>0</v>
      </c>
      <c r="F600">
        <v>0</v>
      </c>
      <c r="G600">
        <v>0</v>
      </c>
      <c r="H600">
        <v>0</v>
      </c>
      <c r="I600">
        <v>0</v>
      </c>
      <c r="J600">
        <v>0</v>
      </c>
      <c r="K600">
        <v>0</v>
      </c>
      <c r="L600">
        <v>0</v>
      </c>
      <c r="M600">
        <v>0</v>
      </c>
      <c r="N600">
        <v>0</v>
      </c>
      <c r="O600">
        <v>0</v>
      </c>
      <c r="P600">
        <v>0</v>
      </c>
      <c r="Q600">
        <v>0</v>
      </c>
      <c r="R600">
        <v>0</v>
      </c>
      <c r="S600">
        <v>0</v>
      </c>
      <c r="T600">
        <v>0</v>
      </c>
      <c r="U600">
        <v>0</v>
      </c>
      <c r="V600">
        <v>0</v>
      </c>
      <c r="W600">
        <v>0</v>
      </c>
      <c r="X600">
        <v>0</v>
      </c>
      <c r="Y600">
        <v>0</v>
      </c>
      <c r="Z600">
        <v>0</v>
      </c>
      <c r="AA600">
        <v>0</v>
      </c>
      <c r="AB600">
        <v>0</v>
      </c>
    </row>
    <row r="601" spans="1:28">
      <c r="A601">
        <v>0</v>
      </c>
      <c r="B601">
        <v>0</v>
      </c>
      <c r="C601">
        <v>0</v>
      </c>
      <c r="D601">
        <v>0</v>
      </c>
      <c r="E601">
        <v>0</v>
      </c>
      <c r="F601">
        <v>0</v>
      </c>
      <c r="G601">
        <v>0</v>
      </c>
      <c r="H601">
        <v>0</v>
      </c>
      <c r="I601">
        <v>0</v>
      </c>
      <c r="J601">
        <v>0</v>
      </c>
      <c r="K601">
        <v>0</v>
      </c>
      <c r="L601">
        <v>0</v>
      </c>
      <c r="M601">
        <v>0</v>
      </c>
      <c r="N601">
        <v>0</v>
      </c>
      <c r="O601">
        <v>0</v>
      </c>
      <c r="P601">
        <v>0</v>
      </c>
      <c r="Q601">
        <v>0</v>
      </c>
      <c r="R601">
        <v>0</v>
      </c>
      <c r="S601">
        <v>0</v>
      </c>
      <c r="T601">
        <v>0</v>
      </c>
      <c r="U601">
        <v>0</v>
      </c>
      <c r="V601">
        <v>0</v>
      </c>
      <c r="W601">
        <v>0</v>
      </c>
      <c r="X601">
        <v>0</v>
      </c>
      <c r="Y601">
        <v>0</v>
      </c>
      <c r="Z601">
        <v>0</v>
      </c>
      <c r="AA601">
        <v>0</v>
      </c>
      <c r="AB601">
        <v>0</v>
      </c>
    </row>
    <row r="602" spans="1:28">
      <c r="A602">
        <v>0</v>
      </c>
      <c r="B602">
        <v>0</v>
      </c>
      <c r="C602">
        <v>0</v>
      </c>
      <c r="D602">
        <v>0</v>
      </c>
      <c r="E602">
        <v>0</v>
      </c>
      <c r="F602">
        <v>0</v>
      </c>
      <c r="G602">
        <v>0</v>
      </c>
      <c r="H602">
        <v>0</v>
      </c>
      <c r="I602">
        <v>0</v>
      </c>
      <c r="J602">
        <v>0</v>
      </c>
      <c r="K602">
        <v>0</v>
      </c>
      <c r="L602">
        <v>0</v>
      </c>
      <c r="M602">
        <v>0</v>
      </c>
      <c r="N602">
        <v>0</v>
      </c>
      <c r="O602">
        <v>0</v>
      </c>
      <c r="P602">
        <v>0</v>
      </c>
      <c r="Q602">
        <v>0</v>
      </c>
      <c r="R602">
        <v>0</v>
      </c>
      <c r="S602">
        <v>0</v>
      </c>
      <c r="T602">
        <v>0</v>
      </c>
      <c r="U602">
        <v>0</v>
      </c>
      <c r="V602">
        <v>0</v>
      </c>
      <c r="W602">
        <v>0</v>
      </c>
      <c r="X602">
        <v>0</v>
      </c>
      <c r="Y602">
        <v>0</v>
      </c>
      <c r="Z602">
        <v>0</v>
      </c>
      <c r="AA602">
        <v>0</v>
      </c>
      <c r="AB602">
        <v>0</v>
      </c>
    </row>
    <row r="603" spans="1:28">
      <c r="A603">
        <v>0</v>
      </c>
      <c r="B603">
        <v>0</v>
      </c>
      <c r="C603">
        <v>0</v>
      </c>
      <c r="D603">
        <v>0</v>
      </c>
      <c r="E603">
        <v>0</v>
      </c>
      <c r="F603">
        <v>0</v>
      </c>
      <c r="G603">
        <v>0</v>
      </c>
      <c r="H603">
        <v>0</v>
      </c>
      <c r="I603">
        <v>0</v>
      </c>
      <c r="J603">
        <v>0</v>
      </c>
      <c r="K603">
        <v>0</v>
      </c>
      <c r="L603">
        <v>0</v>
      </c>
      <c r="M603">
        <v>0</v>
      </c>
      <c r="N603">
        <v>0</v>
      </c>
      <c r="O603">
        <v>0</v>
      </c>
      <c r="P603">
        <v>0</v>
      </c>
      <c r="Q603">
        <v>0</v>
      </c>
      <c r="R603">
        <v>0</v>
      </c>
      <c r="S603">
        <v>0</v>
      </c>
      <c r="T603">
        <v>0</v>
      </c>
      <c r="U603">
        <v>0</v>
      </c>
      <c r="V603">
        <v>0</v>
      </c>
      <c r="W603">
        <v>0</v>
      </c>
      <c r="X603">
        <v>0</v>
      </c>
      <c r="Y603">
        <v>0</v>
      </c>
      <c r="Z603">
        <v>0</v>
      </c>
      <c r="AA603">
        <v>0</v>
      </c>
      <c r="AB603">
        <v>0</v>
      </c>
    </row>
    <row r="604" spans="1:28">
      <c r="A604">
        <v>0</v>
      </c>
      <c r="B604">
        <v>0</v>
      </c>
      <c r="C604">
        <v>0</v>
      </c>
      <c r="D604">
        <v>0</v>
      </c>
      <c r="E604">
        <v>0</v>
      </c>
      <c r="F604">
        <v>0</v>
      </c>
      <c r="G604">
        <v>0</v>
      </c>
      <c r="H604">
        <v>0</v>
      </c>
      <c r="I604">
        <v>0</v>
      </c>
      <c r="J604">
        <v>0</v>
      </c>
      <c r="K604">
        <v>0</v>
      </c>
      <c r="L604">
        <v>0</v>
      </c>
      <c r="M604">
        <v>0</v>
      </c>
      <c r="N604">
        <v>0</v>
      </c>
      <c r="O604">
        <v>0</v>
      </c>
      <c r="P604">
        <v>0</v>
      </c>
      <c r="Q604">
        <v>0</v>
      </c>
      <c r="R604">
        <v>0</v>
      </c>
      <c r="S604">
        <v>0</v>
      </c>
      <c r="T604">
        <v>0</v>
      </c>
      <c r="U604">
        <v>0</v>
      </c>
      <c r="V604">
        <v>0</v>
      </c>
      <c r="W604">
        <v>0</v>
      </c>
      <c r="X604">
        <v>0</v>
      </c>
      <c r="Y604">
        <v>0</v>
      </c>
      <c r="Z604">
        <v>0</v>
      </c>
      <c r="AA604">
        <v>0</v>
      </c>
      <c r="AB604">
        <v>0</v>
      </c>
    </row>
    <row r="605" spans="1:28">
      <c r="A605">
        <v>0</v>
      </c>
      <c r="B605">
        <v>0</v>
      </c>
      <c r="C605">
        <v>0</v>
      </c>
      <c r="D605">
        <v>0</v>
      </c>
      <c r="E605">
        <v>0</v>
      </c>
      <c r="F605">
        <v>0</v>
      </c>
      <c r="G605">
        <v>0</v>
      </c>
      <c r="H605">
        <v>0</v>
      </c>
      <c r="I605">
        <v>0</v>
      </c>
      <c r="J605">
        <v>0</v>
      </c>
      <c r="K605">
        <v>0</v>
      </c>
      <c r="L605">
        <v>0</v>
      </c>
      <c r="M605">
        <v>0</v>
      </c>
      <c r="N605">
        <v>0</v>
      </c>
      <c r="O605">
        <v>0</v>
      </c>
      <c r="P605">
        <v>0</v>
      </c>
      <c r="Q605">
        <v>0</v>
      </c>
      <c r="R605">
        <v>0</v>
      </c>
      <c r="S605">
        <v>0</v>
      </c>
      <c r="T605">
        <v>0</v>
      </c>
      <c r="U605">
        <v>0</v>
      </c>
      <c r="V605">
        <v>0</v>
      </c>
      <c r="W605">
        <v>0</v>
      </c>
      <c r="X605">
        <v>0</v>
      </c>
      <c r="Y605">
        <v>0</v>
      </c>
      <c r="Z605">
        <v>0</v>
      </c>
      <c r="AA605">
        <v>0</v>
      </c>
      <c r="AB605">
        <v>0</v>
      </c>
    </row>
    <row r="606" spans="1:28">
      <c r="A606">
        <v>0</v>
      </c>
      <c r="B606">
        <v>0</v>
      </c>
      <c r="C606">
        <v>0</v>
      </c>
      <c r="D606">
        <v>0</v>
      </c>
      <c r="E606">
        <v>0</v>
      </c>
      <c r="F606">
        <v>0</v>
      </c>
      <c r="G606">
        <v>0</v>
      </c>
      <c r="H606">
        <v>0</v>
      </c>
      <c r="I606">
        <v>0</v>
      </c>
      <c r="J606">
        <v>0</v>
      </c>
      <c r="K606">
        <v>0</v>
      </c>
      <c r="L606">
        <v>0</v>
      </c>
      <c r="M606">
        <v>0</v>
      </c>
      <c r="N606">
        <v>0</v>
      </c>
      <c r="O606">
        <v>0</v>
      </c>
      <c r="P606">
        <v>0</v>
      </c>
      <c r="Q606">
        <v>0</v>
      </c>
      <c r="R606">
        <v>0</v>
      </c>
      <c r="S606">
        <v>0</v>
      </c>
      <c r="T606">
        <v>0</v>
      </c>
      <c r="U606">
        <v>0</v>
      </c>
      <c r="V606">
        <v>0</v>
      </c>
      <c r="W606">
        <v>0</v>
      </c>
      <c r="X606">
        <v>0</v>
      </c>
      <c r="Y606">
        <v>0</v>
      </c>
      <c r="Z606">
        <v>0</v>
      </c>
      <c r="AA606">
        <v>0</v>
      </c>
      <c r="AB606">
        <v>0</v>
      </c>
    </row>
    <row r="607" spans="1:28">
      <c r="A607">
        <v>0</v>
      </c>
      <c r="B607">
        <v>0</v>
      </c>
      <c r="C607">
        <v>0</v>
      </c>
      <c r="D607">
        <v>0</v>
      </c>
      <c r="E607">
        <v>0</v>
      </c>
      <c r="F607">
        <v>0</v>
      </c>
      <c r="G607">
        <v>0</v>
      </c>
      <c r="H607">
        <v>0</v>
      </c>
      <c r="I607">
        <v>0</v>
      </c>
      <c r="J607">
        <v>0</v>
      </c>
      <c r="K607">
        <v>0</v>
      </c>
      <c r="L607">
        <v>0</v>
      </c>
      <c r="M607">
        <v>0</v>
      </c>
      <c r="N607">
        <v>0</v>
      </c>
      <c r="O607">
        <v>0</v>
      </c>
      <c r="P607">
        <v>0</v>
      </c>
      <c r="Q607">
        <v>0</v>
      </c>
      <c r="R607">
        <v>0</v>
      </c>
      <c r="S607">
        <v>0</v>
      </c>
      <c r="T607">
        <v>0</v>
      </c>
      <c r="U607">
        <v>0</v>
      </c>
      <c r="V607">
        <v>0</v>
      </c>
      <c r="W607">
        <v>0</v>
      </c>
      <c r="X607">
        <v>0</v>
      </c>
      <c r="Y607">
        <v>0</v>
      </c>
      <c r="Z607">
        <v>0</v>
      </c>
      <c r="AA607">
        <v>0</v>
      </c>
      <c r="AB607">
        <v>0</v>
      </c>
    </row>
    <row r="608" spans="1:28">
      <c r="A608">
        <v>0</v>
      </c>
      <c r="B608">
        <v>0</v>
      </c>
      <c r="C608">
        <v>0</v>
      </c>
      <c r="D608">
        <v>0</v>
      </c>
      <c r="E608">
        <v>0</v>
      </c>
      <c r="F608">
        <v>0</v>
      </c>
      <c r="G608">
        <v>0</v>
      </c>
      <c r="H608">
        <v>0</v>
      </c>
      <c r="I608">
        <v>0</v>
      </c>
      <c r="J608">
        <v>0</v>
      </c>
      <c r="K608">
        <v>0</v>
      </c>
      <c r="L608">
        <v>0</v>
      </c>
      <c r="M608">
        <v>0</v>
      </c>
      <c r="N608">
        <v>0</v>
      </c>
      <c r="O608">
        <v>0</v>
      </c>
      <c r="P608">
        <v>0</v>
      </c>
      <c r="Q608">
        <v>0</v>
      </c>
      <c r="R608">
        <v>0</v>
      </c>
      <c r="S608">
        <v>0</v>
      </c>
      <c r="T608">
        <v>0</v>
      </c>
      <c r="U608">
        <v>0</v>
      </c>
      <c r="V608">
        <v>0</v>
      </c>
      <c r="W608">
        <v>0</v>
      </c>
      <c r="X608">
        <v>0</v>
      </c>
      <c r="Y608">
        <v>0</v>
      </c>
      <c r="Z608">
        <v>0</v>
      </c>
      <c r="AA608">
        <v>0</v>
      </c>
      <c r="AB608">
        <v>0</v>
      </c>
    </row>
    <row r="609" spans="1:28">
      <c r="A609">
        <v>0</v>
      </c>
      <c r="B609">
        <v>0</v>
      </c>
      <c r="C609">
        <v>0</v>
      </c>
      <c r="D609">
        <v>0</v>
      </c>
      <c r="E609">
        <v>0</v>
      </c>
      <c r="F609">
        <v>0</v>
      </c>
      <c r="G609">
        <v>0</v>
      </c>
      <c r="H609">
        <v>0</v>
      </c>
      <c r="I609">
        <v>0</v>
      </c>
      <c r="J609">
        <v>0</v>
      </c>
      <c r="K609">
        <v>0</v>
      </c>
      <c r="L609">
        <v>0</v>
      </c>
      <c r="M609">
        <v>0</v>
      </c>
      <c r="N609">
        <v>0</v>
      </c>
      <c r="O609">
        <v>0</v>
      </c>
      <c r="P609">
        <v>0</v>
      </c>
      <c r="Q609">
        <v>0</v>
      </c>
      <c r="R609">
        <v>0</v>
      </c>
      <c r="S609">
        <v>0</v>
      </c>
      <c r="T609">
        <v>0</v>
      </c>
      <c r="U609">
        <v>0</v>
      </c>
      <c r="V609">
        <v>0</v>
      </c>
      <c r="W609">
        <v>0</v>
      </c>
      <c r="X609">
        <v>0</v>
      </c>
      <c r="Y609">
        <v>0</v>
      </c>
      <c r="Z609">
        <v>0</v>
      </c>
      <c r="AA609">
        <v>0</v>
      </c>
      <c r="AB609">
        <v>0</v>
      </c>
    </row>
    <row r="610" spans="1:28">
      <c r="A610">
        <v>0</v>
      </c>
      <c r="B610">
        <v>0</v>
      </c>
      <c r="C610">
        <v>0</v>
      </c>
      <c r="D610">
        <v>0</v>
      </c>
      <c r="E610">
        <v>0</v>
      </c>
      <c r="F610">
        <v>0</v>
      </c>
      <c r="G610">
        <v>0</v>
      </c>
      <c r="H610">
        <v>0</v>
      </c>
      <c r="I610">
        <v>0</v>
      </c>
      <c r="J610">
        <v>0</v>
      </c>
      <c r="K610">
        <v>0</v>
      </c>
      <c r="L610">
        <v>0</v>
      </c>
      <c r="M610">
        <v>0</v>
      </c>
      <c r="N610">
        <v>0</v>
      </c>
      <c r="O610">
        <v>0</v>
      </c>
      <c r="P610">
        <v>0</v>
      </c>
      <c r="Q610">
        <v>0</v>
      </c>
      <c r="R610">
        <v>0</v>
      </c>
      <c r="S610">
        <v>0</v>
      </c>
      <c r="T610">
        <v>0</v>
      </c>
      <c r="U610">
        <v>0</v>
      </c>
      <c r="V610">
        <v>0</v>
      </c>
      <c r="W610">
        <v>0</v>
      </c>
      <c r="X610">
        <v>0</v>
      </c>
      <c r="Y610">
        <v>0</v>
      </c>
      <c r="Z610">
        <v>0</v>
      </c>
      <c r="AA610">
        <v>0</v>
      </c>
      <c r="AB610">
        <v>0</v>
      </c>
    </row>
    <row r="611" spans="1:28">
      <c r="A611">
        <v>0</v>
      </c>
      <c r="B611">
        <v>0</v>
      </c>
      <c r="C611">
        <v>0</v>
      </c>
      <c r="D611">
        <v>0</v>
      </c>
      <c r="E611">
        <v>0</v>
      </c>
      <c r="F611">
        <v>0</v>
      </c>
      <c r="G611">
        <v>0</v>
      </c>
      <c r="H611">
        <v>0</v>
      </c>
      <c r="I611">
        <v>0</v>
      </c>
      <c r="J611">
        <v>0</v>
      </c>
      <c r="K611">
        <v>0</v>
      </c>
      <c r="L611">
        <v>0</v>
      </c>
      <c r="M611">
        <v>0</v>
      </c>
      <c r="N611">
        <v>0</v>
      </c>
      <c r="O611">
        <v>0</v>
      </c>
      <c r="P611">
        <v>0</v>
      </c>
      <c r="Q611">
        <v>0</v>
      </c>
      <c r="R611">
        <v>0</v>
      </c>
      <c r="S611">
        <v>0</v>
      </c>
      <c r="T611">
        <v>0</v>
      </c>
      <c r="U611">
        <v>0</v>
      </c>
      <c r="V611">
        <v>0</v>
      </c>
      <c r="W611">
        <v>0</v>
      </c>
      <c r="X611">
        <v>0</v>
      </c>
      <c r="Y611">
        <v>0</v>
      </c>
      <c r="Z611">
        <v>0</v>
      </c>
      <c r="AA611">
        <v>0</v>
      </c>
      <c r="AB611">
        <v>0</v>
      </c>
    </row>
    <row r="612" spans="1:28">
      <c r="A612">
        <v>0</v>
      </c>
      <c r="B612">
        <v>0</v>
      </c>
      <c r="C612">
        <v>0</v>
      </c>
      <c r="D612">
        <v>0</v>
      </c>
      <c r="E612">
        <v>0</v>
      </c>
      <c r="F612">
        <v>0</v>
      </c>
      <c r="G612">
        <v>0</v>
      </c>
      <c r="H612">
        <v>0</v>
      </c>
      <c r="I612">
        <v>0</v>
      </c>
      <c r="J612">
        <v>0</v>
      </c>
      <c r="K612">
        <v>0</v>
      </c>
      <c r="L612">
        <v>0</v>
      </c>
      <c r="M612">
        <v>0</v>
      </c>
      <c r="N612">
        <v>0</v>
      </c>
      <c r="O612">
        <v>0</v>
      </c>
      <c r="P612">
        <v>0</v>
      </c>
      <c r="Q612">
        <v>0</v>
      </c>
      <c r="R612">
        <v>0</v>
      </c>
      <c r="S612">
        <v>0</v>
      </c>
      <c r="T612">
        <v>0</v>
      </c>
      <c r="U612">
        <v>0</v>
      </c>
      <c r="V612">
        <v>0</v>
      </c>
      <c r="W612">
        <v>0</v>
      </c>
      <c r="X612">
        <v>0</v>
      </c>
      <c r="Y612">
        <v>0</v>
      </c>
      <c r="Z612">
        <v>0</v>
      </c>
      <c r="AA612">
        <v>0</v>
      </c>
      <c r="AB612">
        <v>0</v>
      </c>
    </row>
    <row r="613" spans="1:28">
      <c r="A613">
        <v>0</v>
      </c>
      <c r="B613">
        <v>0</v>
      </c>
      <c r="C613">
        <v>0</v>
      </c>
      <c r="D613">
        <v>0</v>
      </c>
      <c r="E613">
        <v>0</v>
      </c>
      <c r="F613">
        <v>0</v>
      </c>
      <c r="G613">
        <v>0</v>
      </c>
      <c r="H613">
        <v>0</v>
      </c>
      <c r="I613">
        <v>0</v>
      </c>
      <c r="J613">
        <v>0</v>
      </c>
      <c r="K613">
        <v>0</v>
      </c>
      <c r="L613">
        <v>0</v>
      </c>
      <c r="M613">
        <v>0</v>
      </c>
      <c r="N613">
        <v>0</v>
      </c>
      <c r="O613">
        <v>0</v>
      </c>
      <c r="P613">
        <v>0</v>
      </c>
      <c r="Q613">
        <v>0</v>
      </c>
      <c r="R613">
        <v>0</v>
      </c>
      <c r="S613">
        <v>0</v>
      </c>
      <c r="T613">
        <v>0</v>
      </c>
      <c r="U613">
        <v>0</v>
      </c>
      <c r="V613">
        <v>0</v>
      </c>
      <c r="W613">
        <v>0</v>
      </c>
      <c r="X613">
        <v>0</v>
      </c>
      <c r="Y613">
        <v>0</v>
      </c>
      <c r="Z613">
        <v>0</v>
      </c>
      <c r="AA613">
        <v>0</v>
      </c>
      <c r="AB613">
        <v>0</v>
      </c>
    </row>
    <row r="614" spans="1:28">
      <c r="A614">
        <v>0</v>
      </c>
      <c r="B614">
        <v>0</v>
      </c>
      <c r="C614">
        <v>0</v>
      </c>
      <c r="D614">
        <v>0</v>
      </c>
      <c r="E614">
        <v>0</v>
      </c>
      <c r="F614">
        <v>0</v>
      </c>
      <c r="G614">
        <v>0</v>
      </c>
      <c r="H614">
        <v>0</v>
      </c>
      <c r="I614">
        <v>0</v>
      </c>
      <c r="J614">
        <v>0</v>
      </c>
      <c r="K614">
        <v>0</v>
      </c>
      <c r="L614">
        <v>0</v>
      </c>
      <c r="M614">
        <v>0</v>
      </c>
      <c r="N614">
        <v>0</v>
      </c>
      <c r="O614">
        <v>0</v>
      </c>
      <c r="P614">
        <v>0</v>
      </c>
      <c r="Q614">
        <v>0</v>
      </c>
      <c r="R614">
        <v>0</v>
      </c>
      <c r="S614">
        <v>0</v>
      </c>
      <c r="T614">
        <v>0</v>
      </c>
      <c r="U614">
        <v>0</v>
      </c>
      <c r="V614">
        <v>0</v>
      </c>
      <c r="W614">
        <v>0</v>
      </c>
      <c r="X614">
        <v>0</v>
      </c>
      <c r="Y614">
        <v>0</v>
      </c>
      <c r="Z614">
        <v>0</v>
      </c>
      <c r="AA614">
        <v>0</v>
      </c>
      <c r="AB614">
        <v>0</v>
      </c>
    </row>
    <row r="615" spans="1:28">
      <c r="A615">
        <v>0</v>
      </c>
      <c r="B615">
        <v>0</v>
      </c>
      <c r="C615">
        <v>0</v>
      </c>
      <c r="D615">
        <v>0</v>
      </c>
      <c r="E615">
        <v>0</v>
      </c>
      <c r="F615">
        <v>0</v>
      </c>
      <c r="G615">
        <v>0</v>
      </c>
      <c r="H615">
        <v>0</v>
      </c>
      <c r="I615">
        <v>0</v>
      </c>
      <c r="J615">
        <v>0</v>
      </c>
      <c r="K615">
        <v>0</v>
      </c>
      <c r="L615">
        <v>0</v>
      </c>
      <c r="M615">
        <v>0</v>
      </c>
      <c r="N615">
        <v>0</v>
      </c>
      <c r="O615">
        <v>0</v>
      </c>
      <c r="P615">
        <v>0</v>
      </c>
      <c r="Q615">
        <v>0</v>
      </c>
      <c r="R615">
        <v>0</v>
      </c>
      <c r="S615">
        <v>0</v>
      </c>
      <c r="T615">
        <v>0</v>
      </c>
      <c r="U615">
        <v>0</v>
      </c>
      <c r="V615">
        <v>0</v>
      </c>
      <c r="W615">
        <v>0</v>
      </c>
      <c r="X615">
        <v>0</v>
      </c>
      <c r="Y615">
        <v>0</v>
      </c>
      <c r="Z615">
        <v>0</v>
      </c>
      <c r="AA615">
        <v>0</v>
      </c>
      <c r="AB615">
        <v>0</v>
      </c>
    </row>
    <row r="616" spans="1:28">
      <c r="A616">
        <v>0</v>
      </c>
      <c r="B616">
        <v>0</v>
      </c>
      <c r="C616">
        <v>0</v>
      </c>
      <c r="D616">
        <v>0</v>
      </c>
      <c r="E616">
        <v>0</v>
      </c>
      <c r="F616">
        <v>0</v>
      </c>
      <c r="G616">
        <v>0</v>
      </c>
      <c r="H616">
        <v>0</v>
      </c>
      <c r="I616">
        <v>0</v>
      </c>
      <c r="J616">
        <v>0</v>
      </c>
      <c r="K616">
        <v>0</v>
      </c>
      <c r="L616">
        <v>0</v>
      </c>
      <c r="M616">
        <v>0</v>
      </c>
      <c r="N616">
        <v>0</v>
      </c>
      <c r="O616">
        <v>0</v>
      </c>
      <c r="P616">
        <v>0</v>
      </c>
      <c r="Q616">
        <v>0</v>
      </c>
      <c r="R616">
        <v>0</v>
      </c>
      <c r="S616">
        <v>0</v>
      </c>
      <c r="T616">
        <v>0</v>
      </c>
      <c r="U616">
        <v>0</v>
      </c>
      <c r="V616">
        <v>0</v>
      </c>
      <c r="W616">
        <v>0</v>
      </c>
      <c r="X616">
        <v>0</v>
      </c>
      <c r="Y616">
        <v>0</v>
      </c>
      <c r="Z616">
        <v>0</v>
      </c>
      <c r="AA616">
        <v>0</v>
      </c>
      <c r="AB616">
        <v>0</v>
      </c>
    </row>
    <row r="617" spans="1:28">
      <c r="A617">
        <v>0</v>
      </c>
      <c r="B617">
        <v>0</v>
      </c>
      <c r="C617">
        <v>0</v>
      </c>
      <c r="D617">
        <v>0</v>
      </c>
      <c r="E617">
        <v>0</v>
      </c>
      <c r="F617">
        <v>0</v>
      </c>
      <c r="G617">
        <v>0</v>
      </c>
      <c r="H617">
        <v>0</v>
      </c>
      <c r="I617">
        <v>0</v>
      </c>
      <c r="J617">
        <v>0</v>
      </c>
      <c r="K617">
        <v>0</v>
      </c>
      <c r="L617">
        <v>0</v>
      </c>
      <c r="M617">
        <v>0</v>
      </c>
      <c r="N617">
        <v>0</v>
      </c>
      <c r="O617">
        <v>0</v>
      </c>
      <c r="P617">
        <v>0</v>
      </c>
      <c r="Q617">
        <v>0</v>
      </c>
      <c r="R617">
        <v>0</v>
      </c>
      <c r="S617">
        <v>0</v>
      </c>
      <c r="T617">
        <v>0</v>
      </c>
      <c r="U617">
        <v>0</v>
      </c>
      <c r="V617">
        <v>0</v>
      </c>
      <c r="W617">
        <v>0</v>
      </c>
      <c r="X617">
        <v>0</v>
      </c>
      <c r="Y617">
        <v>0</v>
      </c>
      <c r="Z617">
        <v>0</v>
      </c>
      <c r="AA617">
        <v>0</v>
      </c>
      <c r="AB617">
        <v>0</v>
      </c>
    </row>
    <row r="618" spans="1:28">
      <c r="A618">
        <v>0</v>
      </c>
      <c r="B618">
        <v>0</v>
      </c>
      <c r="C618">
        <v>0</v>
      </c>
      <c r="D618">
        <v>0</v>
      </c>
      <c r="E618">
        <v>0</v>
      </c>
      <c r="F618">
        <v>0</v>
      </c>
      <c r="G618">
        <v>0</v>
      </c>
      <c r="H618">
        <v>0</v>
      </c>
      <c r="I618">
        <v>0</v>
      </c>
      <c r="J618">
        <v>0</v>
      </c>
      <c r="K618">
        <v>0</v>
      </c>
      <c r="L618">
        <v>0</v>
      </c>
      <c r="M618">
        <v>0</v>
      </c>
      <c r="N618">
        <v>0</v>
      </c>
      <c r="O618">
        <v>0</v>
      </c>
      <c r="P618">
        <v>0</v>
      </c>
      <c r="Q618">
        <v>0</v>
      </c>
      <c r="R618">
        <v>0</v>
      </c>
      <c r="S618">
        <v>0</v>
      </c>
      <c r="T618">
        <v>0</v>
      </c>
      <c r="U618">
        <v>0</v>
      </c>
      <c r="V618">
        <v>0</v>
      </c>
      <c r="W618">
        <v>0</v>
      </c>
      <c r="X618">
        <v>0</v>
      </c>
      <c r="Y618">
        <v>0</v>
      </c>
      <c r="Z618">
        <v>0</v>
      </c>
      <c r="AA618">
        <v>0</v>
      </c>
      <c r="AB618">
        <v>0</v>
      </c>
    </row>
    <row r="619" spans="1:28">
      <c r="A619">
        <v>0</v>
      </c>
      <c r="B619">
        <v>0</v>
      </c>
      <c r="C619">
        <v>0</v>
      </c>
      <c r="D619">
        <v>0</v>
      </c>
      <c r="E619">
        <v>0</v>
      </c>
      <c r="F619">
        <v>0</v>
      </c>
      <c r="G619">
        <v>0</v>
      </c>
      <c r="H619">
        <v>0</v>
      </c>
      <c r="I619">
        <v>0</v>
      </c>
      <c r="J619">
        <v>0</v>
      </c>
      <c r="K619">
        <v>0</v>
      </c>
      <c r="L619">
        <v>0</v>
      </c>
      <c r="M619">
        <v>0</v>
      </c>
      <c r="N619">
        <v>0</v>
      </c>
      <c r="O619">
        <v>0</v>
      </c>
      <c r="P619">
        <v>0</v>
      </c>
      <c r="Q619">
        <v>0</v>
      </c>
      <c r="R619">
        <v>0</v>
      </c>
      <c r="S619">
        <v>0</v>
      </c>
      <c r="T619">
        <v>0</v>
      </c>
      <c r="U619">
        <v>0</v>
      </c>
      <c r="V619">
        <v>0</v>
      </c>
      <c r="W619">
        <v>0</v>
      </c>
      <c r="X619">
        <v>0</v>
      </c>
      <c r="Y619">
        <v>0</v>
      </c>
      <c r="Z619">
        <v>0</v>
      </c>
      <c r="AA619">
        <v>0</v>
      </c>
      <c r="AB619">
        <v>0</v>
      </c>
    </row>
    <row r="620" spans="1:28">
      <c r="A620">
        <v>0</v>
      </c>
      <c r="B620">
        <v>0</v>
      </c>
      <c r="C620">
        <v>0</v>
      </c>
      <c r="D620">
        <v>0</v>
      </c>
      <c r="E620">
        <v>0</v>
      </c>
      <c r="F620">
        <v>0</v>
      </c>
      <c r="G620">
        <v>0</v>
      </c>
      <c r="H620">
        <v>0</v>
      </c>
      <c r="I620">
        <v>0</v>
      </c>
      <c r="J620">
        <v>0</v>
      </c>
      <c r="K620">
        <v>0</v>
      </c>
      <c r="L620">
        <v>0</v>
      </c>
      <c r="M620">
        <v>0</v>
      </c>
      <c r="N620">
        <v>0</v>
      </c>
      <c r="O620">
        <v>0</v>
      </c>
      <c r="P620">
        <v>0</v>
      </c>
      <c r="Q620">
        <v>0</v>
      </c>
      <c r="R620">
        <v>0</v>
      </c>
      <c r="S620">
        <v>0</v>
      </c>
      <c r="T620">
        <v>0</v>
      </c>
      <c r="U620">
        <v>0</v>
      </c>
      <c r="V620">
        <v>0</v>
      </c>
      <c r="W620">
        <v>0</v>
      </c>
      <c r="X620">
        <v>0</v>
      </c>
      <c r="Y620">
        <v>0</v>
      </c>
      <c r="Z620">
        <v>0</v>
      </c>
      <c r="AA620">
        <v>0</v>
      </c>
      <c r="AB620">
        <v>0</v>
      </c>
    </row>
    <row r="621" spans="1:28">
      <c r="A621">
        <v>0</v>
      </c>
      <c r="B621">
        <v>0</v>
      </c>
      <c r="C621">
        <v>0</v>
      </c>
      <c r="D621">
        <v>0</v>
      </c>
      <c r="E621">
        <v>0</v>
      </c>
      <c r="F621">
        <v>0</v>
      </c>
      <c r="G621">
        <v>0</v>
      </c>
      <c r="H621">
        <v>0</v>
      </c>
      <c r="I621">
        <v>0</v>
      </c>
      <c r="J621">
        <v>0</v>
      </c>
      <c r="K621">
        <v>0</v>
      </c>
      <c r="L621">
        <v>0</v>
      </c>
      <c r="M621">
        <v>0</v>
      </c>
      <c r="N621">
        <v>0</v>
      </c>
      <c r="O621">
        <v>0</v>
      </c>
      <c r="P621">
        <v>0</v>
      </c>
      <c r="Q621">
        <v>0</v>
      </c>
      <c r="R621">
        <v>0</v>
      </c>
      <c r="S621">
        <v>0</v>
      </c>
      <c r="T621">
        <v>0</v>
      </c>
      <c r="U621">
        <v>0</v>
      </c>
      <c r="V621">
        <v>0</v>
      </c>
      <c r="W621">
        <v>0</v>
      </c>
      <c r="X621">
        <v>0</v>
      </c>
      <c r="Y621">
        <v>0</v>
      </c>
      <c r="Z621">
        <v>0</v>
      </c>
      <c r="AA621">
        <v>0</v>
      </c>
      <c r="AB621">
        <v>0</v>
      </c>
    </row>
    <row r="622" spans="1:28">
      <c r="A622">
        <v>0</v>
      </c>
      <c r="B622">
        <v>0</v>
      </c>
      <c r="C622">
        <v>0</v>
      </c>
      <c r="D622">
        <v>0</v>
      </c>
      <c r="E622">
        <v>0</v>
      </c>
      <c r="F622">
        <v>0</v>
      </c>
      <c r="G622">
        <v>0</v>
      </c>
      <c r="H622">
        <v>0</v>
      </c>
      <c r="I622">
        <v>0</v>
      </c>
      <c r="J622">
        <v>0</v>
      </c>
      <c r="K622">
        <v>0</v>
      </c>
      <c r="L622">
        <v>0</v>
      </c>
      <c r="M622">
        <v>0</v>
      </c>
      <c r="N622">
        <v>0</v>
      </c>
      <c r="O622">
        <v>0</v>
      </c>
      <c r="P622">
        <v>0</v>
      </c>
      <c r="Q622">
        <v>0</v>
      </c>
      <c r="R622">
        <v>0</v>
      </c>
      <c r="S622">
        <v>0</v>
      </c>
      <c r="T622">
        <v>0</v>
      </c>
      <c r="U622">
        <v>0</v>
      </c>
      <c r="V622">
        <v>0</v>
      </c>
      <c r="W622">
        <v>0</v>
      </c>
      <c r="X622">
        <v>0</v>
      </c>
      <c r="Y622">
        <v>0</v>
      </c>
      <c r="Z622">
        <v>0</v>
      </c>
      <c r="AA622">
        <v>0</v>
      </c>
      <c r="AB622">
        <v>0</v>
      </c>
    </row>
    <row r="623" spans="1:28">
      <c r="A623">
        <v>0</v>
      </c>
      <c r="B623">
        <v>0</v>
      </c>
      <c r="C623">
        <v>0</v>
      </c>
      <c r="D623">
        <v>0</v>
      </c>
      <c r="E623">
        <v>0</v>
      </c>
      <c r="F623">
        <v>0</v>
      </c>
      <c r="G623">
        <v>0</v>
      </c>
      <c r="H623">
        <v>0</v>
      </c>
      <c r="I623">
        <v>0</v>
      </c>
      <c r="J623">
        <v>0</v>
      </c>
      <c r="K623">
        <v>0</v>
      </c>
      <c r="L623">
        <v>0</v>
      </c>
      <c r="M623">
        <v>0</v>
      </c>
      <c r="N623">
        <v>0</v>
      </c>
      <c r="O623">
        <v>0</v>
      </c>
      <c r="P623">
        <v>0</v>
      </c>
      <c r="Q623">
        <v>0</v>
      </c>
      <c r="R623">
        <v>0</v>
      </c>
      <c r="S623">
        <v>0</v>
      </c>
      <c r="T623">
        <v>0</v>
      </c>
      <c r="U623">
        <v>0</v>
      </c>
      <c r="V623">
        <v>0</v>
      </c>
      <c r="W623">
        <v>0</v>
      </c>
      <c r="X623">
        <v>0</v>
      </c>
      <c r="Y623">
        <v>0</v>
      </c>
      <c r="Z623">
        <v>0</v>
      </c>
      <c r="AA623">
        <v>0</v>
      </c>
      <c r="AB623">
        <v>0</v>
      </c>
    </row>
    <row r="624" spans="1:28">
      <c r="A624">
        <v>0</v>
      </c>
      <c r="B624">
        <v>0</v>
      </c>
      <c r="C624">
        <v>0</v>
      </c>
      <c r="D624">
        <v>0</v>
      </c>
      <c r="E624">
        <v>0</v>
      </c>
      <c r="F624">
        <v>0</v>
      </c>
      <c r="G624">
        <v>0</v>
      </c>
      <c r="H624">
        <v>0</v>
      </c>
      <c r="I624">
        <v>0</v>
      </c>
      <c r="J624">
        <v>0</v>
      </c>
      <c r="K624">
        <v>0</v>
      </c>
      <c r="L624">
        <v>0</v>
      </c>
      <c r="M624">
        <v>0</v>
      </c>
      <c r="N624">
        <v>0</v>
      </c>
      <c r="O624">
        <v>0</v>
      </c>
      <c r="P624">
        <v>0</v>
      </c>
      <c r="Q624">
        <v>0</v>
      </c>
      <c r="R624">
        <v>0</v>
      </c>
      <c r="S624">
        <v>0</v>
      </c>
      <c r="T624">
        <v>0</v>
      </c>
      <c r="U624">
        <v>0</v>
      </c>
      <c r="V624">
        <v>0</v>
      </c>
      <c r="W624">
        <v>0</v>
      </c>
      <c r="X624">
        <v>0</v>
      </c>
      <c r="Y624">
        <v>0</v>
      </c>
      <c r="Z624">
        <v>0</v>
      </c>
      <c r="AA624">
        <v>0</v>
      </c>
      <c r="AB624">
        <v>0</v>
      </c>
    </row>
    <row r="625" spans="1:28">
      <c r="A625">
        <v>0</v>
      </c>
      <c r="B625">
        <v>0</v>
      </c>
      <c r="C625">
        <v>0</v>
      </c>
      <c r="D625">
        <v>0</v>
      </c>
      <c r="E625">
        <v>0</v>
      </c>
      <c r="F625">
        <v>0</v>
      </c>
      <c r="G625">
        <v>0</v>
      </c>
      <c r="H625">
        <v>0</v>
      </c>
      <c r="I625">
        <v>0</v>
      </c>
      <c r="J625">
        <v>0</v>
      </c>
      <c r="K625">
        <v>0</v>
      </c>
      <c r="L625">
        <v>0</v>
      </c>
      <c r="M625">
        <v>0</v>
      </c>
      <c r="N625">
        <v>0</v>
      </c>
      <c r="O625">
        <v>0</v>
      </c>
      <c r="P625">
        <v>0</v>
      </c>
      <c r="Q625">
        <v>0</v>
      </c>
      <c r="R625">
        <v>0</v>
      </c>
      <c r="S625">
        <v>0</v>
      </c>
      <c r="T625">
        <v>0</v>
      </c>
      <c r="U625">
        <v>0</v>
      </c>
      <c r="V625">
        <v>0</v>
      </c>
      <c r="W625">
        <v>0</v>
      </c>
      <c r="X625">
        <v>0</v>
      </c>
      <c r="Y625">
        <v>0</v>
      </c>
      <c r="Z625">
        <v>0</v>
      </c>
      <c r="AA625">
        <v>0</v>
      </c>
      <c r="AB625">
        <v>0</v>
      </c>
    </row>
    <row r="626" spans="1:28">
      <c r="A626">
        <v>0</v>
      </c>
      <c r="B626">
        <v>0</v>
      </c>
      <c r="C626">
        <v>0</v>
      </c>
      <c r="D626">
        <v>0</v>
      </c>
      <c r="E626">
        <v>0</v>
      </c>
      <c r="F626">
        <v>0</v>
      </c>
      <c r="G626">
        <v>0</v>
      </c>
      <c r="H626">
        <v>0</v>
      </c>
      <c r="I626">
        <v>0</v>
      </c>
      <c r="J626">
        <v>0</v>
      </c>
      <c r="K626">
        <v>0</v>
      </c>
      <c r="L626">
        <v>0</v>
      </c>
      <c r="M626">
        <v>0</v>
      </c>
      <c r="N626">
        <v>0</v>
      </c>
      <c r="O626">
        <v>0</v>
      </c>
      <c r="P626">
        <v>0</v>
      </c>
      <c r="Q626">
        <v>0</v>
      </c>
      <c r="R626">
        <v>0</v>
      </c>
      <c r="S626">
        <v>0</v>
      </c>
      <c r="T626">
        <v>0</v>
      </c>
      <c r="U626">
        <v>0</v>
      </c>
      <c r="V626">
        <v>0</v>
      </c>
      <c r="W626">
        <v>0</v>
      </c>
      <c r="X626">
        <v>0</v>
      </c>
      <c r="Y626">
        <v>0</v>
      </c>
      <c r="Z626">
        <v>0</v>
      </c>
      <c r="AA626">
        <v>0</v>
      </c>
      <c r="AB626">
        <v>0</v>
      </c>
    </row>
    <row r="627" spans="1:28">
      <c r="A627">
        <v>0</v>
      </c>
      <c r="B627">
        <v>0</v>
      </c>
      <c r="C627">
        <v>0</v>
      </c>
      <c r="D627">
        <v>0</v>
      </c>
      <c r="E627">
        <v>0</v>
      </c>
      <c r="F627">
        <v>0</v>
      </c>
      <c r="G627">
        <v>0</v>
      </c>
      <c r="H627">
        <v>0</v>
      </c>
      <c r="I627">
        <v>0</v>
      </c>
      <c r="J627">
        <v>0</v>
      </c>
      <c r="K627">
        <v>0</v>
      </c>
      <c r="L627">
        <v>0</v>
      </c>
      <c r="M627">
        <v>0</v>
      </c>
      <c r="N627">
        <v>0</v>
      </c>
      <c r="O627">
        <v>0</v>
      </c>
      <c r="P627">
        <v>0</v>
      </c>
      <c r="Q627">
        <v>0</v>
      </c>
      <c r="R627">
        <v>0</v>
      </c>
      <c r="S627">
        <v>0</v>
      </c>
      <c r="T627">
        <v>0</v>
      </c>
      <c r="U627">
        <v>0</v>
      </c>
      <c r="V627">
        <v>0</v>
      </c>
      <c r="W627">
        <v>0</v>
      </c>
      <c r="X627">
        <v>0</v>
      </c>
      <c r="Y627">
        <v>0</v>
      </c>
      <c r="Z627">
        <v>0</v>
      </c>
      <c r="AA627">
        <v>0</v>
      </c>
      <c r="AB627">
        <v>0</v>
      </c>
    </row>
    <row r="628" spans="1:28">
      <c r="A628">
        <v>0</v>
      </c>
      <c r="B628">
        <v>0</v>
      </c>
      <c r="C628">
        <v>0</v>
      </c>
      <c r="D628">
        <v>0</v>
      </c>
      <c r="E628">
        <v>0</v>
      </c>
      <c r="F628">
        <v>0</v>
      </c>
      <c r="G628">
        <v>0</v>
      </c>
      <c r="H628">
        <v>0</v>
      </c>
      <c r="I628">
        <v>0</v>
      </c>
      <c r="J628">
        <v>0</v>
      </c>
      <c r="K628">
        <v>0</v>
      </c>
      <c r="L628">
        <v>0</v>
      </c>
      <c r="M628">
        <v>0</v>
      </c>
      <c r="N628">
        <v>0</v>
      </c>
      <c r="O628">
        <v>0</v>
      </c>
      <c r="P628">
        <v>0</v>
      </c>
      <c r="Q628">
        <v>0</v>
      </c>
      <c r="R628">
        <v>0</v>
      </c>
      <c r="S628">
        <v>0</v>
      </c>
      <c r="T628">
        <v>0</v>
      </c>
      <c r="U628">
        <v>0</v>
      </c>
      <c r="V628">
        <v>0</v>
      </c>
      <c r="W628">
        <v>0</v>
      </c>
      <c r="X628">
        <v>0</v>
      </c>
      <c r="Y628">
        <v>0</v>
      </c>
      <c r="Z628">
        <v>0</v>
      </c>
      <c r="AA628">
        <v>0</v>
      </c>
      <c r="AB628">
        <v>0</v>
      </c>
    </row>
    <row r="629" spans="1:28">
      <c r="A629">
        <v>0</v>
      </c>
      <c r="B629">
        <v>0</v>
      </c>
      <c r="C629">
        <v>0</v>
      </c>
      <c r="D629">
        <v>0</v>
      </c>
      <c r="E629">
        <v>0</v>
      </c>
      <c r="F629">
        <v>0</v>
      </c>
      <c r="G629">
        <v>0</v>
      </c>
      <c r="H629">
        <v>0</v>
      </c>
      <c r="I629">
        <v>0</v>
      </c>
      <c r="J629">
        <v>0</v>
      </c>
      <c r="K629">
        <v>0</v>
      </c>
      <c r="L629">
        <v>0</v>
      </c>
      <c r="M629">
        <v>0</v>
      </c>
      <c r="N629">
        <v>0</v>
      </c>
      <c r="O629">
        <v>0</v>
      </c>
      <c r="P629">
        <v>0</v>
      </c>
      <c r="Q629">
        <v>0</v>
      </c>
      <c r="R629">
        <v>0</v>
      </c>
      <c r="S629">
        <v>0</v>
      </c>
      <c r="T629">
        <v>0</v>
      </c>
      <c r="U629">
        <v>0</v>
      </c>
      <c r="V629">
        <v>0</v>
      </c>
      <c r="W629">
        <v>0</v>
      </c>
      <c r="X629">
        <v>0</v>
      </c>
      <c r="Y629">
        <v>0</v>
      </c>
      <c r="Z629">
        <v>0</v>
      </c>
      <c r="AA629">
        <v>0</v>
      </c>
      <c r="AB629">
        <v>0</v>
      </c>
    </row>
    <row r="630" spans="1:28">
      <c r="A630">
        <v>0</v>
      </c>
      <c r="B630">
        <v>0</v>
      </c>
      <c r="C630">
        <v>0</v>
      </c>
      <c r="D630">
        <v>0</v>
      </c>
      <c r="E630">
        <v>0</v>
      </c>
      <c r="F630">
        <v>0</v>
      </c>
      <c r="G630">
        <v>0</v>
      </c>
      <c r="H630">
        <v>0</v>
      </c>
      <c r="I630">
        <v>0</v>
      </c>
      <c r="J630">
        <v>0</v>
      </c>
      <c r="K630">
        <v>0</v>
      </c>
      <c r="L630">
        <v>0</v>
      </c>
      <c r="M630">
        <v>0</v>
      </c>
      <c r="N630">
        <v>0</v>
      </c>
      <c r="O630">
        <v>0</v>
      </c>
      <c r="P630">
        <v>0</v>
      </c>
      <c r="Q630">
        <v>0</v>
      </c>
      <c r="R630">
        <v>0</v>
      </c>
      <c r="S630">
        <v>0</v>
      </c>
      <c r="T630">
        <v>0</v>
      </c>
      <c r="U630">
        <v>0</v>
      </c>
      <c r="V630">
        <v>0</v>
      </c>
      <c r="W630">
        <v>0</v>
      </c>
      <c r="X630">
        <v>0</v>
      </c>
      <c r="Y630">
        <v>0</v>
      </c>
      <c r="Z630">
        <v>0</v>
      </c>
      <c r="AA630">
        <v>0</v>
      </c>
      <c r="AB630">
        <v>0</v>
      </c>
    </row>
    <row r="631" spans="1:28">
      <c r="A631">
        <v>0</v>
      </c>
      <c r="B631">
        <v>0</v>
      </c>
      <c r="C631">
        <v>0</v>
      </c>
      <c r="D631">
        <v>0</v>
      </c>
      <c r="E631">
        <v>0</v>
      </c>
      <c r="F631">
        <v>0</v>
      </c>
      <c r="G631">
        <v>0</v>
      </c>
      <c r="H631">
        <v>0</v>
      </c>
      <c r="I631">
        <v>0</v>
      </c>
      <c r="J631">
        <v>0</v>
      </c>
      <c r="K631">
        <v>0</v>
      </c>
      <c r="L631">
        <v>0</v>
      </c>
      <c r="M631">
        <v>0</v>
      </c>
      <c r="N631">
        <v>0</v>
      </c>
      <c r="O631">
        <v>0</v>
      </c>
      <c r="P631">
        <v>0</v>
      </c>
      <c r="Q631">
        <v>0</v>
      </c>
      <c r="R631">
        <v>0</v>
      </c>
      <c r="S631">
        <v>0</v>
      </c>
      <c r="T631">
        <v>0</v>
      </c>
      <c r="U631">
        <v>0</v>
      </c>
      <c r="V631">
        <v>0</v>
      </c>
      <c r="W631">
        <v>0</v>
      </c>
      <c r="X631">
        <v>0</v>
      </c>
      <c r="Y631">
        <v>0</v>
      </c>
      <c r="Z631">
        <v>0</v>
      </c>
      <c r="AA631">
        <v>0</v>
      </c>
      <c r="AB631">
        <v>0</v>
      </c>
    </row>
    <row r="632" spans="1:28">
      <c r="A632">
        <v>0</v>
      </c>
      <c r="B632">
        <v>0</v>
      </c>
      <c r="C632">
        <v>0</v>
      </c>
      <c r="D632">
        <v>0</v>
      </c>
      <c r="E632">
        <v>0</v>
      </c>
      <c r="F632">
        <v>0</v>
      </c>
      <c r="G632">
        <v>0</v>
      </c>
      <c r="H632">
        <v>0</v>
      </c>
      <c r="I632">
        <v>0</v>
      </c>
      <c r="J632">
        <v>0</v>
      </c>
      <c r="K632">
        <v>0</v>
      </c>
      <c r="L632">
        <v>0</v>
      </c>
      <c r="M632">
        <v>0</v>
      </c>
      <c r="N632">
        <v>0</v>
      </c>
      <c r="O632">
        <v>0</v>
      </c>
      <c r="P632">
        <v>0</v>
      </c>
      <c r="Q632">
        <v>0</v>
      </c>
      <c r="R632">
        <v>0</v>
      </c>
      <c r="S632">
        <v>0</v>
      </c>
      <c r="T632">
        <v>0</v>
      </c>
      <c r="U632">
        <v>0</v>
      </c>
      <c r="V632">
        <v>0</v>
      </c>
      <c r="W632">
        <v>0</v>
      </c>
      <c r="X632">
        <v>0</v>
      </c>
      <c r="Y632">
        <v>0</v>
      </c>
      <c r="Z632">
        <v>0</v>
      </c>
      <c r="AA632">
        <v>0</v>
      </c>
      <c r="AB632">
        <v>0</v>
      </c>
    </row>
    <row r="633" spans="1:28">
      <c r="A633">
        <v>0</v>
      </c>
      <c r="B633">
        <v>0</v>
      </c>
      <c r="C633">
        <v>0</v>
      </c>
      <c r="D633">
        <v>0</v>
      </c>
      <c r="E633">
        <v>0</v>
      </c>
      <c r="F633">
        <v>0</v>
      </c>
      <c r="G633">
        <v>0</v>
      </c>
      <c r="H633">
        <v>0</v>
      </c>
      <c r="I633">
        <v>0</v>
      </c>
      <c r="J633">
        <v>0</v>
      </c>
      <c r="K633">
        <v>0</v>
      </c>
      <c r="L633">
        <v>0</v>
      </c>
      <c r="M633">
        <v>0</v>
      </c>
      <c r="N633">
        <v>0</v>
      </c>
      <c r="O633">
        <v>0</v>
      </c>
      <c r="P633">
        <v>0</v>
      </c>
      <c r="Q633">
        <v>0</v>
      </c>
      <c r="R633">
        <v>0</v>
      </c>
      <c r="S633">
        <v>0</v>
      </c>
      <c r="T633">
        <v>0</v>
      </c>
      <c r="U633">
        <v>0</v>
      </c>
      <c r="V633">
        <v>0</v>
      </c>
      <c r="W633">
        <v>0</v>
      </c>
      <c r="X633">
        <v>0</v>
      </c>
      <c r="Y633">
        <v>0</v>
      </c>
      <c r="Z633">
        <v>0</v>
      </c>
      <c r="AA633">
        <v>0</v>
      </c>
      <c r="AB633">
        <v>0</v>
      </c>
    </row>
    <row r="634" spans="1:28">
      <c r="A634">
        <v>0</v>
      </c>
      <c r="B634">
        <v>0</v>
      </c>
      <c r="C634">
        <v>0</v>
      </c>
      <c r="D634">
        <v>0</v>
      </c>
      <c r="E634">
        <v>0</v>
      </c>
      <c r="F634">
        <v>0</v>
      </c>
      <c r="G634">
        <v>0</v>
      </c>
      <c r="H634">
        <v>0</v>
      </c>
      <c r="I634">
        <v>0</v>
      </c>
      <c r="J634">
        <v>0</v>
      </c>
      <c r="K634">
        <v>0</v>
      </c>
      <c r="L634">
        <v>0</v>
      </c>
      <c r="M634">
        <v>0</v>
      </c>
      <c r="N634">
        <v>0</v>
      </c>
      <c r="O634">
        <v>0</v>
      </c>
      <c r="P634">
        <v>0</v>
      </c>
      <c r="Q634">
        <v>0</v>
      </c>
      <c r="R634">
        <v>0</v>
      </c>
      <c r="S634">
        <v>0</v>
      </c>
      <c r="T634">
        <v>0</v>
      </c>
      <c r="U634">
        <v>0</v>
      </c>
      <c r="V634">
        <v>0</v>
      </c>
      <c r="W634">
        <v>0</v>
      </c>
      <c r="X634">
        <v>0</v>
      </c>
      <c r="Y634">
        <v>0</v>
      </c>
      <c r="Z634">
        <v>0</v>
      </c>
      <c r="AA634">
        <v>0</v>
      </c>
      <c r="AB634">
        <v>0</v>
      </c>
    </row>
    <row r="635" spans="1:28">
      <c r="A635">
        <v>0</v>
      </c>
      <c r="B635">
        <v>0</v>
      </c>
      <c r="C635">
        <v>0</v>
      </c>
      <c r="D635">
        <v>0</v>
      </c>
      <c r="E635">
        <v>0</v>
      </c>
      <c r="F635">
        <v>0</v>
      </c>
      <c r="G635">
        <v>0</v>
      </c>
      <c r="H635">
        <v>0</v>
      </c>
      <c r="I635">
        <v>0</v>
      </c>
      <c r="J635">
        <v>0</v>
      </c>
      <c r="K635">
        <v>0</v>
      </c>
      <c r="L635">
        <v>0</v>
      </c>
      <c r="M635">
        <v>0</v>
      </c>
      <c r="N635">
        <v>0</v>
      </c>
      <c r="O635">
        <v>0</v>
      </c>
      <c r="P635">
        <v>0</v>
      </c>
      <c r="Q635">
        <v>0</v>
      </c>
      <c r="R635">
        <v>0</v>
      </c>
      <c r="S635">
        <v>0</v>
      </c>
      <c r="T635">
        <v>0</v>
      </c>
      <c r="U635">
        <v>0</v>
      </c>
      <c r="V635">
        <v>0</v>
      </c>
      <c r="W635">
        <v>0</v>
      </c>
      <c r="X635">
        <v>0</v>
      </c>
      <c r="Y635">
        <v>0</v>
      </c>
      <c r="Z635">
        <v>0</v>
      </c>
      <c r="AA635">
        <v>0</v>
      </c>
      <c r="AB635">
        <v>0</v>
      </c>
    </row>
    <row r="636" spans="1:28">
      <c r="A636">
        <v>0</v>
      </c>
      <c r="B636">
        <v>0</v>
      </c>
      <c r="C636">
        <v>0</v>
      </c>
      <c r="D636">
        <v>0</v>
      </c>
      <c r="E636">
        <v>0</v>
      </c>
      <c r="F636">
        <v>0</v>
      </c>
      <c r="G636">
        <v>0</v>
      </c>
      <c r="H636">
        <v>0</v>
      </c>
      <c r="I636">
        <v>0</v>
      </c>
      <c r="J636">
        <v>0</v>
      </c>
      <c r="K636">
        <v>0</v>
      </c>
      <c r="L636">
        <v>0</v>
      </c>
      <c r="M636">
        <v>0</v>
      </c>
      <c r="N636">
        <v>0</v>
      </c>
      <c r="O636">
        <v>0</v>
      </c>
      <c r="P636">
        <v>0</v>
      </c>
      <c r="Q636">
        <v>0</v>
      </c>
      <c r="R636">
        <v>0</v>
      </c>
      <c r="S636">
        <v>0</v>
      </c>
      <c r="T636">
        <v>0</v>
      </c>
      <c r="U636">
        <v>0</v>
      </c>
      <c r="V636">
        <v>0</v>
      </c>
      <c r="W636">
        <v>0</v>
      </c>
      <c r="X636">
        <v>0</v>
      </c>
      <c r="Y636">
        <v>0</v>
      </c>
      <c r="Z636">
        <v>0</v>
      </c>
      <c r="AA636">
        <v>0</v>
      </c>
      <c r="AB636">
        <v>0</v>
      </c>
    </row>
    <row r="637" spans="1:28">
      <c r="A637">
        <v>0</v>
      </c>
      <c r="B637">
        <v>0</v>
      </c>
      <c r="C637">
        <v>0</v>
      </c>
      <c r="D637">
        <v>0</v>
      </c>
      <c r="E637">
        <v>0</v>
      </c>
      <c r="F637">
        <v>0</v>
      </c>
      <c r="G637">
        <v>0</v>
      </c>
      <c r="H637">
        <v>0</v>
      </c>
      <c r="I637">
        <v>0</v>
      </c>
      <c r="J637">
        <v>0</v>
      </c>
      <c r="K637">
        <v>0</v>
      </c>
      <c r="L637">
        <v>0</v>
      </c>
      <c r="M637">
        <v>0</v>
      </c>
      <c r="N637">
        <v>0</v>
      </c>
      <c r="O637">
        <v>0</v>
      </c>
      <c r="P637">
        <v>0</v>
      </c>
      <c r="Q637">
        <v>0</v>
      </c>
      <c r="R637">
        <v>0</v>
      </c>
      <c r="S637">
        <v>0</v>
      </c>
      <c r="T637">
        <v>0</v>
      </c>
      <c r="U637">
        <v>0</v>
      </c>
      <c r="V637">
        <v>0</v>
      </c>
      <c r="W637">
        <v>0</v>
      </c>
      <c r="X637">
        <v>0</v>
      </c>
      <c r="Y637">
        <v>0</v>
      </c>
      <c r="Z637">
        <v>0</v>
      </c>
      <c r="AA637">
        <v>0</v>
      </c>
      <c r="AB637">
        <v>0</v>
      </c>
    </row>
    <row r="638" spans="1:28">
      <c r="A638">
        <v>0</v>
      </c>
      <c r="B638">
        <v>0</v>
      </c>
      <c r="C638">
        <v>0</v>
      </c>
      <c r="D638">
        <v>0</v>
      </c>
      <c r="E638">
        <v>0</v>
      </c>
      <c r="F638">
        <v>0</v>
      </c>
      <c r="G638">
        <v>0</v>
      </c>
      <c r="H638">
        <v>0</v>
      </c>
      <c r="I638">
        <v>0</v>
      </c>
      <c r="J638">
        <v>0</v>
      </c>
      <c r="K638">
        <v>0</v>
      </c>
      <c r="L638">
        <v>0</v>
      </c>
      <c r="M638">
        <v>0</v>
      </c>
      <c r="N638">
        <v>0</v>
      </c>
      <c r="O638">
        <v>0</v>
      </c>
      <c r="P638">
        <v>0</v>
      </c>
      <c r="Q638">
        <v>0</v>
      </c>
      <c r="R638">
        <v>0</v>
      </c>
      <c r="S638">
        <v>0</v>
      </c>
      <c r="T638">
        <v>0</v>
      </c>
      <c r="U638">
        <v>0</v>
      </c>
      <c r="V638">
        <v>0</v>
      </c>
      <c r="W638">
        <v>0</v>
      </c>
      <c r="X638">
        <v>0</v>
      </c>
      <c r="Y638">
        <v>0</v>
      </c>
      <c r="Z638">
        <v>0</v>
      </c>
      <c r="AA638">
        <v>0</v>
      </c>
      <c r="AB638">
        <v>0</v>
      </c>
    </row>
    <row r="639" spans="1:28">
      <c r="A639">
        <v>0</v>
      </c>
      <c r="B639">
        <v>0</v>
      </c>
      <c r="C639">
        <v>0</v>
      </c>
      <c r="D639">
        <v>0</v>
      </c>
      <c r="E639">
        <v>0</v>
      </c>
      <c r="F639">
        <v>0</v>
      </c>
      <c r="G639">
        <v>0</v>
      </c>
      <c r="H639">
        <v>0</v>
      </c>
      <c r="I639">
        <v>0</v>
      </c>
      <c r="J639">
        <v>0</v>
      </c>
      <c r="K639">
        <v>0</v>
      </c>
      <c r="L639">
        <v>0</v>
      </c>
      <c r="M639">
        <v>0</v>
      </c>
      <c r="N639">
        <v>0</v>
      </c>
      <c r="O639">
        <v>0</v>
      </c>
      <c r="P639">
        <v>0</v>
      </c>
      <c r="Q639">
        <v>0</v>
      </c>
      <c r="R639">
        <v>0</v>
      </c>
      <c r="S639">
        <v>0</v>
      </c>
      <c r="T639">
        <v>0</v>
      </c>
      <c r="U639">
        <v>0</v>
      </c>
      <c r="V639">
        <v>0</v>
      </c>
      <c r="W639">
        <v>0</v>
      </c>
      <c r="X639">
        <v>0</v>
      </c>
      <c r="Y639">
        <v>0</v>
      </c>
      <c r="Z639">
        <v>0</v>
      </c>
      <c r="AA639">
        <v>0</v>
      </c>
      <c r="AB639">
        <v>0</v>
      </c>
    </row>
    <row r="640" spans="1:28">
      <c r="A640">
        <v>0</v>
      </c>
      <c r="B640">
        <v>0</v>
      </c>
      <c r="C640">
        <v>0</v>
      </c>
      <c r="D640">
        <v>0</v>
      </c>
      <c r="E640">
        <v>0</v>
      </c>
      <c r="F640">
        <v>0</v>
      </c>
      <c r="G640">
        <v>0</v>
      </c>
      <c r="H640">
        <v>0</v>
      </c>
      <c r="I640">
        <v>0</v>
      </c>
      <c r="J640">
        <v>0</v>
      </c>
      <c r="K640">
        <v>0</v>
      </c>
      <c r="L640">
        <v>0</v>
      </c>
      <c r="M640">
        <v>0</v>
      </c>
      <c r="N640">
        <v>0</v>
      </c>
      <c r="O640">
        <v>0</v>
      </c>
      <c r="P640">
        <v>0</v>
      </c>
      <c r="Q640">
        <v>0</v>
      </c>
      <c r="R640">
        <v>0</v>
      </c>
      <c r="S640">
        <v>0</v>
      </c>
      <c r="T640">
        <v>0</v>
      </c>
      <c r="U640">
        <v>0</v>
      </c>
      <c r="V640">
        <v>0</v>
      </c>
      <c r="W640">
        <v>0</v>
      </c>
      <c r="X640">
        <v>0</v>
      </c>
      <c r="Y640">
        <v>0</v>
      </c>
      <c r="Z640">
        <v>0</v>
      </c>
      <c r="AA640">
        <v>0</v>
      </c>
      <c r="AB640">
        <v>0</v>
      </c>
    </row>
    <row r="641" spans="1:28">
      <c r="A641">
        <v>0</v>
      </c>
      <c r="B641">
        <v>0</v>
      </c>
      <c r="C641">
        <v>0</v>
      </c>
      <c r="D641">
        <v>0</v>
      </c>
      <c r="E641">
        <v>0</v>
      </c>
      <c r="F641">
        <v>0</v>
      </c>
      <c r="G641">
        <v>0</v>
      </c>
      <c r="H641">
        <v>0</v>
      </c>
      <c r="I641">
        <v>0</v>
      </c>
      <c r="J641">
        <v>0</v>
      </c>
      <c r="K641">
        <v>0</v>
      </c>
      <c r="L641">
        <v>0</v>
      </c>
      <c r="M641">
        <v>0</v>
      </c>
      <c r="N641">
        <v>0</v>
      </c>
      <c r="O641">
        <v>0</v>
      </c>
      <c r="P641">
        <v>0</v>
      </c>
      <c r="Q641">
        <v>0</v>
      </c>
      <c r="R641">
        <v>0</v>
      </c>
      <c r="S641">
        <v>0</v>
      </c>
      <c r="T641">
        <v>0</v>
      </c>
      <c r="U641">
        <v>0</v>
      </c>
      <c r="V641">
        <v>0</v>
      </c>
      <c r="W641">
        <v>0</v>
      </c>
      <c r="X641">
        <v>0</v>
      </c>
      <c r="Y641">
        <v>0</v>
      </c>
      <c r="Z641">
        <v>0</v>
      </c>
      <c r="AA641">
        <v>0</v>
      </c>
      <c r="AB641">
        <v>0</v>
      </c>
    </row>
    <row r="642" spans="1:28">
      <c r="A642">
        <v>0</v>
      </c>
      <c r="B642">
        <v>0</v>
      </c>
      <c r="C642">
        <v>0</v>
      </c>
      <c r="D642">
        <v>0</v>
      </c>
      <c r="E642">
        <v>0</v>
      </c>
      <c r="F642">
        <v>0</v>
      </c>
      <c r="G642">
        <v>0</v>
      </c>
      <c r="H642">
        <v>0</v>
      </c>
      <c r="I642">
        <v>0</v>
      </c>
      <c r="J642">
        <v>0</v>
      </c>
      <c r="K642">
        <v>0</v>
      </c>
      <c r="L642">
        <v>0</v>
      </c>
      <c r="M642">
        <v>0</v>
      </c>
      <c r="N642">
        <v>0</v>
      </c>
      <c r="O642">
        <v>0</v>
      </c>
      <c r="P642">
        <v>0</v>
      </c>
      <c r="Q642">
        <v>0</v>
      </c>
      <c r="R642">
        <v>0</v>
      </c>
      <c r="S642">
        <v>0</v>
      </c>
      <c r="T642">
        <v>0</v>
      </c>
      <c r="U642">
        <v>0</v>
      </c>
      <c r="V642">
        <v>0</v>
      </c>
      <c r="W642">
        <v>0</v>
      </c>
      <c r="X642">
        <v>0</v>
      </c>
      <c r="Y642">
        <v>0</v>
      </c>
      <c r="Z642">
        <v>0</v>
      </c>
      <c r="AA642">
        <v>0</v>
      </c>
      <c r="AB642">
        <v>0</v>
      </c>
    </row>
    <row r="643" spans="1:28">
      <c r="A643">
        <v>0</v>
      </c>
      <c r="B643">
        <v>0</v>
      </c>
      <c r="C643">
        <v>0</v>
      </c>
      <c r="D643">
        <v>0</v>
      </c>
      <c r="E643">
        <v>0</v>
      </c>
      <c r="F643">
        <v>0</v>
      </c>
      <c r="G643">
        <v>0</v>
      </c>
      <c r="H643">
        <v>0</v>
      </c>
      <c r="I643">
        <v>0</v>
      </c>
      <c r="J643">
        <v>0</v>
      </c>
      <c r="K643">
        <v>0</v>
      </c>
      <c r="L643">
        <v>0</v>
      </c>
      <c r="M643">
        <v>0</v>
      </c>
      <c r="N643">
        <v>0</v>
      </c>
      <c r="O643">
        <v>0</v>
      </c>
      <c r="P643">
        <v>0</v>
      </c>
      <c r="Q643">
        <v>0</v>
      </c>
      <c r="R643">
        <v>0</v>
      </c>
      <c r="S643">
        <v>0</v>
      </c>
      <c r="T643">
        <v>0</v>
      </c>
      <c r="U643">
        <v>0</v>
      </c>
      <c r="V643">
        <v>0</v>
      </c>
      <c r="W643">
        <v>0</v>
      </c>
      <c r="X643">
        <v>0</v>
      </c>
      <c r="Y643">
        <v>0</v>
      </c>
      <c r="Z643">
        <v>0</v>
      </c>
      <c r="AA643">
        <v>0</v>
      </c>
      <c r="AB643">
        <v>0</v>
      </c>
    </row>
    <row r="644" spans="1:28">
      <c r="A644">
        <v>0</v>
      </c>
      <c r="B644">
        <v>0</v>
      </c>
      <c r="C644">
        <v>0</v>
      </c>
      <c r="D644">
        <v>0</v>
      </c>
      <c r="E644">
        <v>0</v>
      </c>
      <c r="F644">
        <v>0</v>
      </c>
      <c r="G644">
        <v>0</v>
      </c>
      <c r="H644">
        <v>0</v>
      </c>
      <c r="I644">
        <v>0</v>
      </c>
      <c r="J644">
        <v>0</v>
      </c>
      <c r="K644">
        <v>0</v>
      </c>
      <c r="L644">
        <v>0</v>
      </c>
      <c r="M644">
        <v>0</v>
      </c>
      <c r="N644">
        <v>0</v>
      </c>
      <c r="O644">
        <v>0</v>
      </c>
      <c r="P644">
        <v>0</v>
      </c>
      <c r="Q644">
        <v>0</v>
      </c>
      <c r="R644">
        <v>0</v>
      </c>
      <c r="S644">
        <v>0</v>
      </c>
      <c r="T644">
        <v>0</v>
      </c>
      <c r="U644">
        <v>0</v>
      </c>
      <c r="V644">
        <v>0</v>
      </c>
      <c r="W644">
        <v>0</v>
      </c>
      <c r="X644">
        <v>0</v>
      </c>
      <c r="Y644">
        <v>0</v>
      </c>
      <c r="Z644">
        <v>0</v>
      </c>
      <c r="AA644">
        <v>0</v>
      </c>
      <c r="AB644">
        <v>0</v>
      </c>
    </row>
    <row r="645" spans="1:28">
      <c r="A645">
        <v>0</v>
      </c>
      <c r="B645">
        <v>0</v>
      </c>
      <c r="C645">
        <v>0</v>
      </c>
      <c r="D645">
        <v>0</v>
      </c>
      <c r="E645">
        <v>0</v>
      </c>
      <c r="F645">
        <v>0</v>
      </c>
      <c r="G645">
        <v>0</v>
      </c>
      <c r="H645">
        <v>0</v>
      </c>
      <c r="I645">
        <v>0</v>
      </c>
      <c r="J645">
        <v>0</v>
      </c>
      <c r="K645">
        <v>0</v>
      </c>
      <c r="L645">
        <v>0</v>
      </c>
      <c r="M645">
        <v>0</v>
      </c>
      <c r="N645">
        <v>0</v>
      </c>
      <c r="O645">
        <v>0</v>
      </c>
      <c r="P645">
        <v>0</v>
      </c>
      <c r="Q645">
        <v>0</v>
      </c>
      <c r="R645">
        <v>0</v>
      </c>
      <c r="S645">
        <v>0</v>
      </c>
      <c r="T645">
        <v>0</v>
      </c>
      <c r="U645">
        <v>0</v>
      </c>
      <c r="V645">
        <v>0</v>
      </c>
      <c r="W645">
        <v>0</v>
      </c>
      <c r="X645">
        <v>0</v>
      </c>
      <c r="Y645">
        <v>0</v>
      </c>
      <c r="Z645">
        <v>0</v>
      </c>
      <c r="AA645">
        <v>0</v>
      </c>
      <c r="AB645">
        <v>0</v>
      </c>
    </row>
    <row r="646" spans="1:28">
      <c r="A646">
        <v>0</v>
      </c>
      <c r="B646">
        <v>0</v>
      </c>
      <c r="C646">
        <v>0</v>
      </c>
      <c r="D646">
        <v>0</v>
      </c>
      <c r="E646">
        <v>0</v>
      </c>
      <c r="F646">
        <v>0</v>
      </c>
      <c r="G646">
        <v>0</v>
      </c>
      <c r="H646">
        <v>0</v>
      </c>
      <c r="I646">
        <v>0</v>
      </c>
      <c r="J646">
        <v>0</v>
      </c>
      <c r="K646">
        <v>0</v>
      </c>
      <c r="L646">
        <v>0</v>
      </c>
      <c r="M646">
        <v>0</v>
      </c>
      <c r="N646">
        <v>0</v>
      </c>
      <c r="O646">
        <v>0</v>
      </c>
      <c r="P646">
        <v>0</v>
      </c>
      <c r="Q646">
        <v>0</v>
      </c>
      <c r="R646">
        <v>0</v>
      </c>
      <c r="S646">
        <v>0</v>
      </c>
      <c r="T646">
        <v>0</v>
      </c>
      <c r="U646">
        <v>0</v>
      </c>
      <c r="V646">
        <v>0</v>
      </c>
      <c r="W646">
        <v>0</v>
      </c>
      <c r="X646">
        <v>0</v>
      </c>
      <c r="Y646">
        <v>0</v>
      </c>
      <c r="Z646">
        <v>0</v>
      </c>
      <c r="AA646">
        <v>0</v>
      </c>
      <c r="AB646">
        <v>0</v>
      </c>
    </row>
    <row r="647" spans="1:28">
      <c r="A647">
        <v>0</v>
      </c>
      <c r="B647">
        <v>0</v>
      </c>
      <c r="C647">
        <v>0</v>
      </c>
      <c r="D647">
        <v>0</v>
      </c>
      <c r="E647">
        <v>0</v>
      </c>
      <c r="F647">
        <v>0</v>
      </c>
      <c r="G647">
        <v>0</v>
      </c>
      <c r="H647">
        <v>0</v>
      </c>
      <c r="I647">
        <v>0</v>
      </c>
      <c r="J647">
        <v>0</v>
      </c>
      <c r="K647">
        <v>0</v>
      </c>
      <c r="L647">
        <v>0</v>
      </c>
      <c r="M647">
        <v>0</v>
      </c>
      <c r="N647">
        <v>0</v>
      </c>
      <c r="O647">
        <v>0</v>
      </c>
      <c r="P647">
        <v>0</v>
      </c>
      <c r="Q647">
        <v>0</v>
      </c>
      <c r="R647">
        <v>0</v>
      </c>
      <c r="S647">
        <v>0</v>
      </c>
      <c r="T647">
        <v>0</v>
      </c>
      <c r="U647">
        <v>0</v>
      </c>
      <c r="V647">
        <v>0</v>
      </c>
      <c r="W647">
        <v>0</v>
      </c>
      <c r="X647">
        <v>0</v>
      </c>
      <c r="Y647">
        <v>0</v>
      </c>
      <c r="Z647">
        <v>0</v>
      </c>
      <c r="AA647">
        <v>0</v>
      </c>
      <c r="AB647">
        <v>0</v>
      </c>
    </row>
    <row r="648" spans="1:28">
      <c r="A648">
        <v>0</v>
      </c>
      <c r="B648">
        <v>0</v>
      </c>
      <c r="C648">
        <v>0</v>
      </c>
      <c r="D648">
        <v>0</v>
      </c>
      <c r="E648">
        <v>0</v>
      </c>
      <c r="F648">
        <v>0</v>
      </c>
      <c r="G648">
        <v>0</v>
      </c>
      <c r="H648">
        <v>0</v>
      </c>
      <c r="I648">
        <v>0</v>
      </c>
      <c r="J648">
        <v>0</v>
      </c>
      <c r="K648">
        <v>0</v>
      </c>
      <c r="L648">
        <v>0</v>
      </c>
      <c r="M648">
        <v>0</v>
      </c>
      <c r="N648">
        <v>0</v>
      </c>
      <c r="O648">
        <v>0</v>
      </c>
      <c r="P648">
        <v>0</v>
      </c>
      <c r="Q648">
        <v>0</v>
      </c>
      <c r="R648">
        <v>0</v>
      </c>
      <c r="S648">
        <v>0</v>
      </c>
      <c r="T648">
        <v>0</v>
      </c>
      <c r="U648">
        <v>0</v>
      </c>
      <c r="V648">
        <v>0</v>
      </c>
      <c r="W648">
        <v>0</v>
      </c>
      <c r="X648">
        <v>0</v>
      </c>
      <c r="Y648">
        <v>0</v>
      </c>
      <c r="Z648">
        <v>0</v>
      </c>
      <c r="AA648">
        <v>0</v>
      </c>
      <c r="AB648">
        <v>0</v>
      </c>
    </row>
    <row r="649" spans="1:28">
      <c r="A649">
        <v>0</v>
      </c>
      <c r="B649">
        <v>0</v>
      </c>
      <c r="C649">
        <v>0</v>
      </c>
      <c r="D649">
        <v>0</v>
      </c>
      <c r="E649">
        <v>0</v>
      </c>
      <c r="F649">
        <v>0</v>
      </c>
      <c r="G649">
        <v>0</v>
      </c>
      <c r="H649">
        <v>0</v>
      </c>
      <c r="I649">
        <v>0</v>
      </c>
      <c r="J649">
        <v>0</v>
      </c>
      <c r="K649">
        <v>0</v>
      </c>
      <c r="L649">
        <v>0</v>
      </c>
      <c r="M649">
        <v>0</v>
      </c>
      <c r="N649">
        <v>0</v>
      </c>
      <c r="O649">
        <v>0</v>
      </c>
      <c r="P649">
        <v>0</v>
      </c>
      <c r="Q649">
        <v>0</v>
      </c>
      <c r="R649">
        <v>0</v>
      </c>
      <c r="S649">
        <v>0</v>
      </c>
      <c r="T649">
        <v>0</v>
      </c>
      <c r="U649">
        <v>0</v>
      </c>
      <c r="V649">
        <v>0</v>
      </c>
      <c r="W649">
        <v>0</v>
      </c>
      <c r="X649">
        <v>0</v>
      </c>
      <c r="Y649">
        <v>0</v>
      </c>
      <c r="Z649">
        <v>0</v>
      </c>
      <c r="AA649">
        <v>0</v>
      </c>
      <c r="AB649">
        <v>0</v>
      </c>
    </row>
    <row r="650" spans="1:28">
      <c r="A650">
        <v>0</v>
      </c>
      <c r="B650">
        <v>0</v>
      </c>
      <c r="C650">
        <v>0</v>
      </c>
      <c r="D650">
        <v>0</v>
      </c>
      <c r="E650">
        <v>0</v>
      </c>
      <c r="F650">
        <v>0</v>
      </c>
      <c r="G650">
        <v>0</v>
      </c>
      <c r="H650">
        <v>0</v>
      </c>
      <c r="I650">
        <v>0</v>
      </c>
      <c r="J650">
        <v>0</v>
      </c>
      <c r="K650">
        <v>0</v>
      </c>
      <c r="L650">
        <v>0</v>
      </c>
      <c r="M650">
        <v>0</v>
      </c>
      <c r="N650">
        <v>0</v>
      </c>
      <c r="O650">
        <v>0</v>
      </c>
      <c r="P650">
        <v>0</v>
      </c>
      <c r="Q650">
        <v>0</v>
      </c>
      <c r="R650">
        <v>0</v>
      </c>
      <c r="S650">
        <v>0</v>
      </c>
      <c r="T650">
        <v>0</v>
      </c>
      <c r="U650">
        <v>0</v>
      </c>
      <c r="V650">
        <v>0</v>
      </c>
      <c r="W650">
        <v>0</v>
      </c>
      <c r="X650">
        <v>0</v>
      </c>
      <c r="Y650">
        <v>0</v>
      </c>
      <c r="Z650">
        <v>0</v>
      </c>
      <c r="AA650">
        <v>0</v>
      </c>
      <c r="AB650">
        <v>0</v>
      </c>
    </row>
    <row r="651" spans="1:28">
      <c r="A651">
        <v>0</v>
      </c>
      <c r="B651">
        <v>0</v>
      </c>
      <c r="C651">
        <v>0</v>
      </c>
      <c r="D651">
        <v>0</v>
      </c>
      <c r="E651">
        <v>0</v>
      </c>
      <c r="F651">
        <v>0</v>
      </c>
      <c r="G651">
        <v>0</v>
      </c>
      <c r="H651">
        <v>0</v>
      </c>
      <c r="I651">
        <v>0</v>
      </c>
      <c r="J651">
        <v>0</v>
      </c>
      <c r="K651">
        <v>0</v>
      </c>
      <c r="L651">
        <v>0</v>
      </c>
      <c r="M651">
        <v>0</v>
      </c>
      <c r="N651">
        <v>0</v>
      </c>
      <c r="O651">
        <v>0</v>
      </c>
      <c r="P651">
        <v>0</v>
      </c>
      <c r="Q651">
        <v>0</v>
      </c>
      <c r="R651">
        <v>0</v>
      </c>
      <c r="S651">
        <v>0</v>
      </c>
      <c r="T651">
        <v>0</v>
      </c>
      <c r="U651">
        <v>0</v>
      </c>
      <c r="V651">
        <v>0</v>
      </c>
      <c r="W651">
        <v>0</v>
      </c>
      <c r="X651">
        <v>0</v>
      </c>
      <c r="Y651">
        <v>0</v>
      </c>
      <c r="Z651">
        <v>0</v>
      </c>
      <c r="AA651">
        <v>0</v>
      </c>
      <c r="AB651">
        <v>0</v>
      </c>
    </row>
    <row r="652" spans="1:28">
      <c r="A652">
        <v>0</v>
      </c>
      <c r="B652">
        <v>0</v>
      </c>
      <c r="C652">
        <v>0</v>
      </c>
      <c r="D652">
        <v>0</v>
      </c>
      <c r="E652">
        <v>0</v>
      </c>
      <c r="F652">
        <v>0</v>
      </c>
      <c r="G652">
        <v>0</v>
      </c>
      <c r="H652">
        <v>0</v>
      </c>
      <c r="I652">
        <v>0</v>
      </c>
      <c r="J652">
        <v>0</v>
      </c>
      <c r="K652">
        <v>0</v>
      </c>
      <c r="L652">
        <v>0</v>
      </c>
      <c r="M652">
        <v>0</v>
      </c>
      <c r="N652">
        <v>0</v>
      </c>
      <c r="O652">
        <v>0</v>
      </c>
      <c r="P652">
        <v>0</v>
      </c>
      <c r="Q652">
        <v>0</v>
      </c>
      <c r="R652">
        <v>0</v>
      </c>
      <c r="S652">
        <v>0</v>
      </c>
      <c r="T652">
        <v>0</v>
      </c>
      <c r="U652">
        <v>0</v>
      </c>
      <c r="V652">
        <v>0</v>
      </c>
      <c r="W652">
        <v>0</v>
      </c>
      <c r="X652">
        <v>0</v>
      </c>
      <c r="Y652">
        <v>0</v>
      </c>
      <c r="Z652">
        <v>0</v>
      </c>
      <c r="AA652">
        <v>0</v>
      </c>
      <c r="AB652">
        <v>0</v>
      </c>
    </row>
    <row r="653" spans="1:28">
      <c r="A653">
        <v>0</v>
      </c>
      <c r="B653">
        <v>0</v>
      </c>
      <c r="C653">
        <v>0</v>
      </c>
      <c r="D653">
        <v>0</v>
      </c>
      <c r="E653">
        <v>0</v>
      </c>
      <c r="F653">
        <v>0</v>
      </c>
      <c r="G653">
        <v>0</v>
      </c>
      <c r="H653">
        <v>0</v>
      </c>
      <c r="I653">
        <v>0</v>
      </c>
      <c r="J653">
        <v>0</v>
      </c>
      <c r="K653">
        <v>0</v>
      </c>
      <c r="L653">
        <v>0</v>
      </c>
      <c r="M653">
        <v>0</v>
      </c>
      <c r="N653">
        <v>0</v>
      </c>
      <c r="O653">
        <v>0</v>
      </c>
      <c r="P653">
        <v>0</v>
      </c>
      <c r="Q653">
        <v>0</v>
      </c>
      <c r="R653">
        <v>0</v>
      </c>
      <c r="S653">
        <v>0</v>
      </c>
      <c r="T653">
        <v>0</v>
      </c>
      <c r="U653">
        <v>0</v>
      </c>
      <c r="V653">
        <v>0</v>
      </c>
      <c r="W653">
        <v>0</v>
      </c>
      <c r="X653">
        <v>0</v>
      </c>
      <c r="Y653">
        <v>0</v>
      </c>
      <c r="Z653">
        <v>0</v>
      </c>
      <c r="AA653">
        <v>0</v>
      </c>
      <c r="AB653">
        <v>0</v>
      </c>
    </row>
    <row r="654" spans="1:28">
      <c r="A654">
        <v>0</v>
      </c>
      <c r="B654">
        <v>0</v>
      </c>
      <c r="C654">
        <v>0</v>
      </c>
      <c r="D654">
        <v>0</v>
      </c>
      <c r="E654">
        <v>0</v>
      </c>
      <c r="F654">
        <v>0</v>
      </c>
      <c r="G654">
        <v>0</v>
      </c>
      <c r="H654">
        <v>0</v>
      </c>
      <c r="I654">
        <v>0</v>
      </c>
      <c r="J654">
        <v>0</v>
      </c>
      <c r="K654">
        <v>0</v>
      </c>
      <c r="L654">
        <v>0</v>
      </c>
      <c r="M654">
        <v>0</v>
      </c>
      <c r="N654">
        <v>0</v>
      </c>
      <c r="O654">
        <v>0</v>
      </c>
      <c r="P654">
        <v>0</v>
      </c>
      <c r="Q654">
        <v>0</v>
      </c>
      <c r="R654">
        <v>0</v>
      </c>
      <c r="S654">
        <v>0</v>
      </c>
      <c r="T654">
        <v>0</v>
      </c>
      <c r="U654">
        <v>0</v>
      </c>
      <c r="V654">
        <v>0</v>
      </c>
      <c r="W654">
        <v>0</v>
      </c>
      <c r="X654">
        <v>0</v>
      </c>
      <c r="Y654">
        <v>0</v>
      </c>
      <c r="Z654">
        <v>0</v>
      </c>
      <c r="AA654">
        <v>0</v>
      </c>
      <c r="AB654">
        <v>0</v>
      </c>
    </row>
    <row r="655" spans="1:28">
      <c r="A655">
        <v>0</v>
      </c>
      <c r="B655">
        <v>0</v>
      </c>
      <c r="C655">
        <v>0</v>
      </c>
      <c r="D655">
        <v>0</v>
      </c>
      <c r="E655">
        <v>0</v>
      </c>
      <c r="F655">
        <v>0</v>
      </c>
      <c r="G655">
        <v>0</v>
      </c>
      <c r="H655">
        <v>0</v>
      </c>
      <c r="I655">
        <v>0</v>
      </c>
      <c r="J655">
        <v>0</v>
      </c>
      <c r="K655">
        <v>0</v>
      </c>
      <c r="L655">
        <v>0</v>
      </c>
      <c r="M655">
        <v>0</v>
      </c>
      <c r="N655">
        <v>0</v>
      </c>
      <c r="O655">
        <v>0</v>
      </c>
      <c r="P655">
        <v>0</v>
      </c>
      <c r="Q655">
        <v>0</v>
      </c>
      <c r="R655">
        <v>0</v>
      </c>
      <c r="S655">
        <v>0</v>
      </c>
      <c r="T655">
        <v>0</v>
      </c>
      <c r="U655">
        <v>0</v>
      </c>
      <c r="V655">
        <v>0</v>
      </c>
      <c r="W655">
        <v>0</v>
      </c>
      <c r="X655">
        <v>0</v>
      </c>
      <c r="Y655">
        <v>0</v>
      </c>
      <c r="Z655">
        <v>0</v>
      </c>
      <c r="AA655">
        <v>0</v>
      </c>
      <c r="AB655">
        <v>0</v>
      </c>
    </row>
    <row r="656" spans="1:28">
      <c r="A656">
        <v>0</v>
      </c>
      <c r="B656">
        <v>0</v>
      </c>
      <c r="C656">
        <v>0</v>
      </c>
      <c r="D656">
        <v>0</v>
      </c>
      <c r="E656">
        <v>0</v>
      </c>
      <c r="F656">
        <v>0</v>
      </c>
      <c r="G656">
        <v>0</v>
      </c>
      <c r="H656">
        <v>0</v>
      </c>
      <c r="I656">
        <v>0</v>
      </c>
      <c r="J656">
        <v>0</v>
      </c>
      <c r="K656">
        <v>0</v>
      </c>
      <c r="L656">
        <v>0</v>
      </c>
      <c r="M656">
        <v>0</v>
      </c>
      <c r="N656">
        <v>0</v>
      </c>
      <c r="O656">
        <v>0</v>
      </c>
      <c r="P656">
        <v>0</v>
      </c>
      <c r="Q656">
        <v>0</v>
      </c>
      <c r="R656">
        <v>0</v>
      </c>
      <c r="S656">
        <v>0</v>
      </c>
      <c r="T656">
        <v>0</v>
      </c>
      <c r="U656">
        <v>0</v>
      </c>
      <c r="V656">
        <v>0</v>
      </c>
      <c r="W656">
        <v>0</v>
      </c>
      <c r="X656">
        <v>0</v>
      </c>
      <c r="Y656">
        <v>0</v>
      </c>
      <c r="Z656">
        <v>0</v>
      </c>
      <c r="AA656">
        <v>0</v>
      </c>
      <c r="AB656">
        <v>0</v>
      </c>
    </row>
    <row r="657" spans="1:28">
      <c r="A657">
        <v>0</v>
      </c>
      <c r="B657">
        <v>0</v>
      </c>
      <c r="C657">
        <v>0</v>
      </c>
      <c r="D657">
        <v>0</v>
      </c>
      <c r="E657">
        <v>0</v>
      </c>
      <c r="F657">
        <v>0</v>
      </c>
      <c r="G657">
        <v>0</v>
      </c>
      <c r="H657">
        <v>0</v>
      </c>
      <c r="I657">
        <v>0</v>
      </c>
      <c r="J657">
        <v>0</v>
      </c>
      <c r="K657">
        <v>0</v>
      </c>
      <c r="L657">
        <v>0</v>
      </c>
      <c r="M657">
        <v>0</v>
      </c>
      <c r="N657">
        <v>0</v>
      </c>
      <c r="O657">
        <v>0</v>
      </c>
      <c r="P657">
        <v>0</v>
      </c>
      <c r="Q657">
        <v>0</v>
      </c>
      <c r="R657">
        <v>0</v>
      </c>
      <c r="S657">
        <v>0</v>
      </c>
      <c r="T657">
        <v>0</v>
      </c>
      <c r="U657">
        <v>0</v>
      </c>
      <c r="V657">
        <v>0</v>
      </c>
      <c r="W657">
        <v>0</v>
      </c>
      <c r="X657">
        <v>0</v>
      </c>
      <c r="Y657">
        <v>0</v>
      </c>
      <c r="Z657">
        <v>0</v>
      </c>
      <c r="AA657">
        <v>0</v>
      </c>
      <c r="AB657">
        <v>0</v>
      </c>
    </row>
    <row r="658" spans="1:28">
      <c r="A658">
        <v>0</v>
      </c>
      <c r="B658">
        <v>0</v>
      </c>
      <c r="C658">
        <v>0</v>
      </c>
      <c r="D658">
        <v>0</v>
      </c>
      <c r="E658">
        <v>0</v>
      </c>
      <c r="F658">
        <v>0</v>
      </c>
      <c r="G658">
        <v>0</v>
      </c>
      <c r="H658">
        <v>0</v>
      </c>
      <c r="I658">
        <v>0</v>
      </c>
      <c r="J658">
        <v>0</v>
      </c>
      <c r="K658">
        <v>0</v>
      </c>
      <c r="L658">
        <v>0</v>
      </c>
      <c r="M658">
        <v>0</v>
      </c>
      <c r="N658">
        <v>0</v>
      </c>
      <c r="O658">
        <v>0</v>
      </c>
      <c r="P658">
        <v>0</v>
      </c>
      <c r="Q658">
        <v>0</v>
      </c>
      <c r="R658">
        <v>0</v>
      </c>
      <c r="S658">
        <v>0</v>
      </c>
      <c r="T658">
        <v>0</v>
      </c>
      <c r="U658">
        <v>0</v>
      </c>
      <c r="V658">
        <v>0</v>
      </c>
      <c r="W658">
        <v>0</v>
      </c>
      <c r="X658">
        <v>0</v>
      </c>
      <c r="Y658">
        <v>0</v>
      </c>
      <c r="Z658">
        <v>0</v>
      </c>
      <c r="AA658">
        <v>0</v>
      </c>
      <c r="AB658">
        <v>0</v>
      </c>
    </row>
    <row r="659" spans="1:28">
      <c r="A659">
        <v>0</v>
      </c>
      <c r="B659">
        <v>0</v>
      </c>
      <c r="C659">
        <v>0</v>
      </c>
      <c r="D659">
        <v>0</v>
      </c>
      <c r="E659">
        <v>0</v>
      </c>
      <c r="F659">
        <v>0</v>
      </c>
      <c r="G659">
        <v>0</v>
      </c>
      <c r="H659">
        <v>0</v>
      </c>
      <c r="I659">
        <v>0</v>
      </c>
      <c r="J659">
        <v>0</v>
      </c>
      <c r="K659">
        <v>0</v>
      </c>
      <c r="L659">
        <v>0</v>
      </c>
      <c r="M659">
        <v>0</v>
      </c>
      <c r="N659">
        <v>0</v>
      </c>
      <c r="O659">
        <v>0</v>
      </c>
      <c r="P659">
        <v>0</v>
      </c>
      <c r="Q659">
        <v>0</v>
      </c>
      <c r="R659">
        <v>0</v>
      </c>
      <c r="S659">
        <v>0</v>
      </c>
      <c r="T659">
        <v>0</v>
      </c>
      <c r="U659">
        <v>0</v>
      </c>
      <c r="V659">
        <v>0</v>
      </c>
      <c r="W659">
        <v>0</v>
      </c>
      <c r="X659">
        <v>0</v>
      </c>
      <c r="Y659">
        <v>0</v>
      </c>
      <c r="Z659">
        <v>0</v>
      </c>
      <c r="AA659">
        <v>0</v>
      </c>
      <c r="AB659">
        <v>0</v>
      </c>
    </row>
    <row r="660" spans="1:28">
      <c r="A660">
        <v>0</v>
      </c>
      <c r="B660">
        <v>0</v>
      </c>
      <c r="C660">
        <v>0</v>
      </c>
      <c r="D660">
        <v>0</v>
      </c>
      <c r="E660">
        <v>0</v>
      </c>
      <c r="F660">
        <v>0</v>
      </c>
      <c r="G660">
        <v>0</v>
      </c>
      <c r="H660">
        <v>0</v>
      </c>
      <c r="I660">
        <v>0</v>
      </c>
      <c r="J660">
        <v>0</v>
      </c>
      <c r="K660">
        <v>0</v>
      </c>
      <c r="L660">
        <v>0</v>
      </c>
      <c r="M660">
        <v>0</v>
      </c>
      <c r="N660">
        <v>0</v>
      </c>
      <c r="O660">
        <v>0</v>
      </c>
      <c r="P660">
        <v>0</v>
      </c>
      <c r="Q660">
        <v>0</v>
      </c>
      <c r="R660">
        <v>0</v>
      </c>
      <c r="S660">
        <v>0</v>
      </c>
      <c r="T660">
        <v>0</v>
      </c>
      <c r="U660">
        <v>0</v>
      </c>
      <c r="V660">
        <v>0</v>
      </c>
      <c r="W660">
        <v>0</v>
      </c>
      <c r="X660">
        <v>0</v>
      </c>
      <c r="Y660">
        <v>0</v>
      </c>
      <c r="Z660">
        <v>0</v>
      </c>
      <c r="AA660">
        <v>0</v>
      </c>
      <c r="AB660">
        <v>0</v>
      </c>
    </row>
    <row r="661" spans="1:28">
      <c r="A661">
        <v>0</v>
      </c>
      <c r="B661">
        <v>0</v>
      </c>
      <c r="C661">
        <v>0</v>
      </c>
      <c r="D661">
        <v>0</v>
      </c>
      <c r="E661">
        <v>0</v>
      </c>
      <c r="F661">
        <v>0</v>
      </c>
      <c r="G661">
        <v>0</v>
      </c>
      <c r="H661">
        <v>0</v>
      </c>
      <c r="I661">
        <v>0</v>
      </c>
      <c r="J661">
        <v>0</v>
      </c>
      <c r="K661">
        <v>0</v>
      </c>
      <c r="L661">
        <v>0</v>
      </c>
      <c r="M661">
        <v>0</v>
      </c>
      <c r="N661">
        <v>0</v>
      </c>
      <c r="O661">
        <v>0</v>
      </c>
      <c r="P661">
        <v>0</v>
      </c>
      <c r="Q661">
        <v>0</v>
      </c>
      <c r="R661">
        <v>0</v>
      </c>
      <c r="S661">
        <v>0</v>
      </c>
      <c r="T661">
        <v>0</v>
      </c>
      <c r="U661">
        <v>0</v>
      </c>
      <c r="V661">
        <v>0</v>
      </c>
      <c r="W661">
        <v>0</v>
      </c>
      <c r="X661">
        <v>0</v>
      </c>
      <c r="Y661">
        <v>0</v>
      </c>
      <c r="Z661">
        <v>0</v>
      </c>
      <c r="AA661">
        <v>0</v>
      </c>
      <c r="AB661">
        <v>0</v>
      </c>
    </row>
    <row r="662" spans="1:28">
      <c r="A662">
        <v>0</v>
      </c>
      <c r="B662">
        <v>0</v>
      </c>
      <c r="C662">
        <v>0</v>
      </c>
      <c r="D662">
        <v>0</v>
      </c>
      <c r="E662">
        <v>0</v>
      </c>
      <c r="F662">
        <v>0</v>
      </c>
      <c r="G662">
        <v>0</v>
      </c>
      <c r="H662">
        <v>0</v>
      </c>
      <c r="I662">
        <v>0</v>
      </c>
      <c r="J662">
        <v>0</v>
      </c>
      <c r="K662">
        <v>0</v>
      </c>
      <c r="L662">
        <v>0</v>
      </c>
      <c r="M662">
        <v>0</v>
      </c>
      <c r="N662">
        <v>0</v>
      </c>
      <c r="O662">
        <v>0</v>
      </c>
      <c r="P662">
        <v>0</v>
      </c>
      <c r="Q662">
        <v>0</v>
      </c>
      <c r="R662">
        <v>0</v>
      </c>
      <c r="S662">
        <v>0</v>
      </c>
      <c r="T662">
        <v>0</v>
      </c>
      <c r="U662">
        <v>0</v>
      </c>
      <c r="V662">
        <v>0</v>
      </c>
      <c r="W662">
        <v>0</v>
      </c>
      <c r="X662">
        <v>0</v>
      </c>
      <c r="Y662">
        <v>0</v>
      </c>
      <c r="Z662">
        <v>0</v>
      </c>
      <c r="AA662">
        <v>0</v>
      </c>
      <c r="AB662">
        <v>0</v>
      </c>
    </row>
    <row r="663" spans="1:28">
      <c r="A663">
        <v>0</v>
      </c>
      <c r="B663">
        <v>0</v>
      </c>
      <c r="C663">
        <v>0</v>
      </c>
      <c r="D663">
        <v>0</v>
      </c>
      <c r="E663">
        <v>0</v>
      </c>
      <c r="F663">
        <v>0</v>
      </c>
      <c r="G663">
        <v>0</v>
      </c>
      <c r="H663">
        <v>0</v>
      </c>
      <c r="I663">
        <v>0</v>
      </c>
      <c r="J663">
        <v>0</v>
      </c>
      <c r="K663">
        <v>0</v>
      </c>
      <c r="L663">
        <v>0</v>
      </c>
      <c r="M663">
        <v>0</v>
      </c>
      <c r="N663">
        <v>0</v>
      </c>
      <c r="O663">
        <v>0</v>
      </c>
      <c r="P663">
        <v>0</v>
      </c>
      <c r="Q663">
        <v>0</v>
      </c>
      <c r="R663">
        <v>0</v>
      </c>
      <c r="S663">
        <v>0</v>
      </c>
      <c r="T663">
        <v>0</v>
      </c>
      <c r="U663">
        <v>0</v>
      </c>
      <c r="V663">
        <v>0</v>
      </c>
      <c r="W663">
        <v>0</v>
      </c>
      <c r="X663">
        <v>0</v>
      </c>
      <c r="Y663">
        <v>0</v>
      </c>
      <c r="Z663">
        <v>0</v>
      </c>
      <c r="AA663">
        <v>0</v>
      </c>
      <c r="AB663">
        <v>0</v>
      </c>
    </row>
    <row r="664" spans="1:28">
      <c r="A664">
        <v>0</v>
      </c>
      <c r="B664">
        <v>0</v>
      </c>
      <c r="C664">
        <v>0</v>
      </c>
      <c r="D664">
        <v>0</v>
      </c>
      <c r="E664">
        <v>0</v>
      </c>
      <c r="F664">
        <v>0</v>
      </c>
      <c r="G664">
        <v>0</v>
      </c>
      <c r="H664">
        <v>0</v>
      </c>
      <c r="I664">
        <v>0</v>
      </c>
      <c r="J664">
        <v>0</v>
      </c>
      <c r="K664">
        <v>0</v>
      </c>
      <c r="L664">
        <v>0</v>
      </c>
      <c r="M664">
        <v>0</v>
      </c>
      <c r="N664">
        <v>0</v>
      </c>
      <c r="O664">
        <v>0</v>
      </c>
      <c r="P664">
        <v>0</v>
      </c>
      <c r="Q664">
        <v>0</v>
      </c>
      <c r="R664">
        <v>0</v>
      </c>
      <c r="S664">
        <v>0</v>
      </c>
      <c r="T664">
        <v>0</v>
      </c>
      <c r="U664">
        <v>0</v>
      </c>
      <c r="V664">
        <v>0</v>
      </c>
      <c r="W664">
        <v>0</v>
      </c>
      <c r="X664">
        <v>0</v>
      </c>
      <c r="Y664">
        <v>0</v>
      </c>
      <c r="Z664">
        <v>0</v>
      </c>
      <c r="AA664">
        <v>0</v>
      </c>
      <c r="AB664">
        <v>0</v>
      </c>
    </row>
    <row r="665" spans="1:28">
      <c r="A665">
        <v>0</v>
      </c>
      <c r="B665">
        <v>0</v>
      </c>
      <c r="C665">
        <v>0</v>
      </c>
      <c r="D665">
        <v>0</v>
      </c>
      <c r="E665">
        <v>0</v>
      </c>
      <c r="F665">
        <v>0</v>
      </c>
      <c r="G665">
        <v>0</v>
      </c>
      <c r="H665">
        <v>0</v>
      </c>
      <c r="I665">
        <v>0</v>
      </c>
      <c r="J665">
        <v>0</v>
      </c>
      <c r="K665">
        <v>0</v>
      </c>
      <c r="L665">
        <v>0</v>
      </c>
      <c r="M665">
        <v>0</v>
      </c>
      <c r="N665">
        <v>0</v>
      </c>
      <c r="O665">
        <v>0</v>
      </c>
      <c r="P665">
        <v>0</v>
      </c>
      <c r="Q665">
        <v>0</v>
      </c>
      <c r="R665">
        <v>0</v>
      </c>
      <c r="S665">
        <v>0</v>
      </c>
      <c r="T665">
        <v>0</v>
      </c>
      <c r="U665">
        <v>0</v>
      </c>
      <c r="V665">
        <v>0</v>
      </c>
      <c r="W665">
        <v>0</v>
      </c>
      <c r="X665">
        <v>0</v>
      </c>
      <c r="Y665">
        <v>0</v>
      </c>
      <c r="Z665">
        <v>0</v>
      </c>
      <c r="AA665">
        <v>0</v>
      </c>
      <c r="AB665">
        <v>0</v>
      </c>
    </row>
    <row r="666" spans="1:28">
      <c r="A666">
        <v>0</v>
      </c>
      <c r="B666">
        <v>0</v>
      </c>
      <c r="C666">
        <v>0</v>
      </c>
      <c r="D666">
        <v>0</v>
      </c>
      <c r="E666">
        <v>0</v>
      </c>
      <c r="F666">
        <v>0</v>
      </c>
      <c r="G666">
        <v>0</v>
      </c>
      <c r="H666">
        <v>0</v>
      </c>
      <c r="I666">
        <v>0</v>
      </c>
      <c r="J666">
        <v>0</v>
      </c>
      <c r="K666">
        <v>0</v>
      </c>
      <c r="L666">
        <v>0</v>
      </c>
      <c r="M666">
        <v>0</v>
      </c>
      <c r="N666">
        <v>0</v>
      </c>
      <c r="O666">
        <v>0</v>
      </c>
      <c r="P666">
        <v>0</v>
      </c>
      <c r="Q666">
        <v>0</v>
      </c>
      <c r="R666">
        <v>0</v>
      </c>
      <c r="S666">
        <v>0</v>
      </c>
      <c r="T666">
        <v>0</v>
      </c>
      <c r="U666">
        <v>0</v>
      </c>
      <c r="V666">
        <v>0</v>
      </c>
      <c r="W666">
        <v>0</v>
      </c>
      <c r="X666">
        <v>0</v>
      </c>
      <c r="Y666">
        <v>0</v>
      </c>
      <c r="Z666">
        <v>0</v>
      </c>
      <c r="AA666">
        <v>0</v>
      </c>
      <c r="AB666">
        <v>0</v>
      </c>
    </row>
    <row r="667" spans="1:28">
      <c r="A667">
        <v>0</v>
      </c>
      <c r="B667">
        <v>0</v>
      </c>
      <c r="C667">
        <v>0</v>
      </c>
      <c r="D667">
        <v>0</v>
      </c>
      <c r="E667">
        <v>0</v>
      </c>
      <c r="F667">
        <v>0</v>
      </c>
      <c r="G667">
        <v>0</v>
      </c>
      <c r="H667">
        <v>0</v>
      </c>
      <c r="I667">
        <v>0</v>
      </c>
      <c r="J667">
        <v>0</v>
      </c>
      <c r="K667">
        <v>0</v>
      </c>
      <c r="L667">
        <v>0</v>
      </c>
      <c r="M667">
        <v>0</v>
      </c>
      <c r="N667">
        <v>0</v>
      </c>
      <c r="O667">
        <v>0</v>
      </c>
      <c r="P667">
        <v>0</v>
      </c>
      <c r="Q667">
        <v>0</v>
      </c>
      <c r="R667">
        <v>0</v>
      </c>
      <c r="S667">
        <v>0</v>
      </c>
      <c r="T667">
        <v>0</v>
      </c>
      <c r="U667">
        <v>0</v>
      </c>
      <c r="V667">
        <v>0</v>
      </c>
      <c r="W667">
        <v>0</v>
      </c>
      <c r="X667">
        <v>0</v>
      </c>
      <c r="Y667">
        <v>0</v>
      </c>
      <c r="Z667">
        <v>0</v>
      </c>
      <c r="AA667">
        <v>0</v>
      </c>
      <c r="AB667">
        <v>0</v>
      </c>
    </row>
    <row r="668" spans="1:28">
      <c r="A668">
        <v>0</v>
      </c>
      <c r="B668">
        <v>0</v>
      </c>
      <c r="C668">
        <v>0</v>
      </c>
      <c r="D668">
        <v>0</v>
      </c>
      <c r="E668">
        <v>0</v>
      </c>
      <c r="F668">
        <v>0</v>
      </c>
      <c r="G668">
        <v>0</v>
      </c>
      <c r="H668">
        <v>0</v>
      </c>
      <c r="I668">
        <v>0</v>
      </c>
      <c r="J668">
        <v>0</v>
      </c>
      <c r="K668">
        <v>0</v>
      </c>
      <c r="L668">
        <v>0</v>
      </c>
      <c r="M668">
        <v>0</v>
      </c>
      <c r="N668">
        <v>0</v>
      </c>
      <c r="O668">
        <v>0</v>
      </c>
      <c r="P668">
        <v>0</v>
      </c>
      <c r="Q668">
        <v>0</v>
      </c>
      <c r="R668">
        <v>0</v>
      </c>
      <c r="S668">
        <v>0</v>
      </c>
      <c r="T668">
        <v>0</v>
      </c>
      <c r="U668">
        <v>0</v>
      </c>
      <c r="V668">
        <v>0</v>
      </c>
      <c r="W668">
        <v>0</v>
      </c>
      <c r="X668">
        <v>0</v>
      </c>
      <c r="Y668">
        <v>0</v>
      </c>
      <c r="Z668">
        <v>0</v>
      </c>
      <c r="AA668">
        <v>0</v>
      </c>
      <c r="AB668">
        <v>0</v>
      </c>
    </row>
    <row r="669" spans="1:28">
      <c r="A669">
        <v>0</v>
      </c>
      <c r="B669">
        <v>0</v>
      </c>
      <c r="C669">
        <v>0</v>
      </c>
      <c r="D669">
        <v>0</v>
      </c>
      <c r="E669">
        <v>0</v>
      </c>
      <c r="F669">
        <v>0</v>
      </c>
      <c r="G669">
        <v>0</v>
      </c>
      <c r="H669">
        <v>0</v>
      </c>
      <c r="I669">
        <v>0</v>
      </c>
      <c r="J669">
        <v>0</v>
      </c>
      <c r="K669">
        <v>0</v>
      </c>
      <c r="L669">
        <v>0</v>
      </c>
      <c r="M669">
        <v>0</v>
      </c>
      <c r="N669">
        <v>0</v>
      </c>
      <c r="O669">
        <v>0</v>
      </c>
      <c r="P669">
        <v>0</v>
      </c>
      <c r="Q669">
        <v>0</v>
      </c>
      <c r="R669">
        <v>0</v>
      </c>
      <c r="S669">
        <v>0</v>
      </c>
      <c r="T669">
        <v>0</v>
      </c>
      <c r="U669">
        <v>0</v>
      </c>
      <c r="V669">
        <v>0</v>
      </c>
      <c r="W669">
        <v>0</v>
      </c>
      <c r="X669">
        <v>0</v>
      </c>
      <c r="Y669">
        <v>0</v>
      </c>
      <c r="Z669">
        <v>0</v>
      </c>
      <c r="AA669">
        <v>0</v>
      </c>
      <c r="AB669">
        <v>0</v>
      </c>
    </row>
    <row r="670" spans="1:28">
      <c r="A670">
        <v>0</v>
      </c>
      <c r="B670">
        <v>0</v>
      </c>
      <c r="C670">
        <v>0</v>
      </c>
      <c r="D670">
        <v>0</v>
      </c>
      <c r="E670">
        <v>0</v>
      </c>
      <c r="F670">
        <v>0</v>
      </c>
      <c r="G670">
        <v>0</v>
      </c>
      <c r="H670">
        <v>0</v>
      </c>
      <c r="I670">
        <v>0</v>
      </c>
      <c r="J670">
        <v>0</v>
      </c>
      <c r="K670">
        <v>0</v>
      </c>
      <c r="L670">
        <v>0</v>
      </c>
      <c r="M670">
        <v>0</v>
      </c>
      <c r="N670">
        <v>0</v>
      </c>
      <c r="O670">
        <v>0</v>
      </c>
      <c r="P670">
        <v>0</v>
      </c>
      <c r="Q670">
        <v>0</v>
      </c>
      <c r="R670">
        <v>0</v>
      </c>
      <c r="S670">
        <v>0</v>
      </c>
      <c r="T670">
        <v>0</v>
      </c>
      <c r="U670">
        <v>0</v>
      </c>
      <c r="V670">
        <v>0</v>
      </c>
      <c r="W670">
        <v>0</v>
      </c>
      <c r="X670">
        <v>0</v>
      </c>
      <c r="Y670">
        <v>0</v>
      </c>
      <c r="Z670">
        <v>0</v>
      </c>
      <c r="AA670">
        <v>0</v>
      </c>
      <c r="AB670">
        <v>0</v>
      </c>
    </row>
    <row r="671" spans="1:28">
      <c r="A671">
        <v>0</v>
      </c>
      <c r="B671">
        <v>0</v>
      </c>
      <c r="C671">
        <v>0</v>
      </c>
      <c r="D671">
        <v>0</v>
      </c>
      <c r="E671">
        <v>0</v>
      </c>
      <c r="F671">
        <v>0</v>
      </c>
      <c r="G671">
        <v>0</v>
      </c>
      <c r="H671">
        <v>0</v>
      </c>
      <c r="I671">
        <v>0</v>
      </c>
      <c r="J671">
        <v>0</v>
      </c>
      <c r="K671">
        <v>0</v>
      </c>
      <c r="L671">
        <v>0</v>
      </c>
      <c r="M671">
        <v>0</v>
      </c>
      <c r="N671">
        <v>0</v>
      </c>
      <c r="O671">
        <v>0</v>
      </c>
      <c r="P671">
        <v>0</v>
      </c>
      <c r="Q671">
        <v>0</v>
      </c>
      <c r="R671">
        <v>0</v>
      </c>
      <c r="S671">
        <v>0</v>
      </c>
      <c r="T671">
        <v>0</v>
      </c>
      <c r="U671">
        <v>0</v>
      </c>
      <c r="V671">
        <v>0</v>
      </c>
      <c r="W671">
        <v>0</v>
      </c>
      <c r="X671">
        <v>0</v>
      </c>
      <c r="Y671">
        <v>0</v>
      </c>
      <c r="Z671">
        <v>0</v>
      </c>
      <c r="AA671">
        <v>0</v>
      </c>
      <c r="AB671">
        <v>0</v>
      </c>
    </row>
    <row r="672" spans="1:28">
      <c r="A672">
        <v>0</v>
      </c>
      <c r="B672">
        <v>0</v>
      </c>
      <c r="C672">
        <v>0</v>
      </c>
      <c r="D672">
        <v>0</v>
      </c>
      <c r="E672">
        <v>0</v>
      </c>
      <c r="F672">
        <v>0</v>
      </c>
      <c r="G672">
        <v>0</v>
      </c>
      <c r="H672">
        <v>0</v>
      </c>
      <c r="I672">
        <v>0</v>
      </c>
      <c r="J672">
        <v>0</v>
      </c>
      <c r="K672">
        <v>0</v>
      </c>
      <c r="L672">
        <v>0</v>
      </c>
      <c r="M672">
        <v>0</v>
      </c>
      <c r="N672">
        <v>0</v>
      </c>
      <c r="O672">
        <v>0</v>
      </c>
      <c r="P672">
        <v>0</v>
      </c>
      <c r="Q672">
        <v>0</v>
      </c>
      <c r="R672">
        <v>0</v>
      </c>
      <c r="S672">
        <v>0</v>
      </c>
      <c r="T672">
        <v>0</v>
      </c>
      <c r="U672">
        <v>0</v>
      </c>
      <c r="V672">
        <v>0</v>
      </c>
      <c r="W672">
        <v>0</v>
      </c>
      <c r="X672">
        <v>0</v>
      </c>
      <c r="Y672">
        <v>0</v>
      </c>
      <c r="Z672">
        <v>0</v>
      </c>
      <c r="AA672">
        <v>0</v>
      </c>
      <c r="AB672">
        <v>0</v>
      </c>
    </row>
    <row r="673" spans="1:28">
      <c r="A673">
        <v>0</v>
      </c>
      <c r="B673">
        <v>0</v>
      </c>
      <c r="C673">
        <v>0</v>
      </c>
      <c r="D673">
        <v>0</v>
      </c>
      <c r="E673">
        <v>0</v>
      </c>
      <c r="F673">
        <v>0</v>
      </c>
      <c r="G673">
        <v>0</v>
      </c>
      <c r="H673">
        <v>0</v>
      </c>
      <c r="I673">
        <v>0</v>
      </c>
      <c r="J673">
        <v>0</v>
      </c>
      <c r="K673">
        <v>0</v>
      </c>
      <c r="L673">
        <v>0</v>
      </c>
      <c r="M673">
        <v>0</v>
      </c>
      <c r="N673">
        <v>0</v>
      </c>
      <c r="O673">
        <v>0</v>
      </c>
      <c r="P673">
        <v>0</v>
      </c>
      <c r="Q673">
        <v>0</v>
      </c>
      <c r="R673">
        <v>0</v>
      </c>
      <c r="S673">
        <v>0</v>
      </c>
      <c r="T673">
        <v>0</v>
      </c>
      <c r="U673">
        <v>0</v>
      </c>
      <c r="V673">
        <v>0</v>
      </c>
      <c r="W673">
        <v>0</v>
      </c>
      <c r="X673">
        <v>0</v>
      </c>
      <c r="Y673">
        <v>0</v>
      </c>
      <c r="Z673">
        <v>0</v>
      </c>
      <c r="AA673">
        <v>0</v>
      </c>
      <c r="AB673">
        <v>0</v>
      </c>
    </row>
    <row r="674" spans="1:28">
      <c r="A674">
        <v>0</v>
      </c>
      <c r="B674">
        <v>0</v>
      </c>
      <c r="C674">
        <v>0</v>
      </c>
      <c r="D674">
        <v>0</v>
      </c>
      <c r="E674">
        <v>0</v>
      </c>
      <c r="F674">
        <v>0</v>
      </c>
      <c r="G674">
        <v>0</v>
      </c>
      <c r="H674">
        <v>0</v>
      </c>
      <c r="I674">
        <v>0</v>
      </c>
      <c r="J674">
        <v>0</v>
      </c>
      <c r="K674">
        <v>0</v>
      </c>
      <c r="L674">
        <v>0</v>
      </c>
      <c r="M674">
        <v>0</v>
      </c>
      <c r="N674">
        <v>0</v>
      </c>
      <c r="O674">
        <v>0</v>
      </c>
      <c r="P674">
        <v>0</v>
      </c>
      <c r="Q674">
        <v>0</v>
      </c>
      <c r="R674">
        <v>0</v>
      </c>
      <c r="S674">
        <v>0</v>
      </c>
      <c r="T674">
        <v>0</v>
      </c>
      <c r="U674">
        <v>0</v>
      </c>
      <c r="V674">
        <v>0</v>
      </c>
      <c r="W674">
        <v>0</v>
      </c>
      <c r="X674">
        <v>0</v>
      </c>
      <c r="Y674">
        <v>0</v>
      </c>
      <c r="Z674">
        <v>0</v>
      </c>
      <c r="AA674">
        <v>0</v>
      </c>
      <c r="AB674">
        <v>0</v>
      </c>
    </row>
    <row r="675" spans="1:28">
      <c r="A675">
        <v>0</v>
      </c>
      <c r="B675">
        <v>0</v>
      </c>
      <c r="C675">
        <v>0</v>
      </c>
      <c r="D675">
        <v>0</v>
      </c>
      <c r="E675">
        <v>0</v>
      </c>
      <c r="F675">
        <v>0</v>
      </c>
      <c r="G675">
        <v>0</v>
      </c>
      <c r="H675">
        <v>0</v>
      </c>
      <c r="I675">
        <v>0</v>
      </c>
      <c r="J675">
        <v>0</v>
      </c>
      <c r="K675">
        <v>0</v>
      </c>
      <c r="L675">
        <v>0</v>
      </c>
      <c r="M675">
        <v>0</v>
      </c>
      <c r="N675">
        <v>0</v>
      </c>
      <c r="O675">
        <v>0</v>
      </c>
      <c r="P675">
        <v>0</v>
      </c>
      <c r="Q675">
        <v>0</v>
      </c>
      <c r="R675">
        <v>0</v>
      </c>
      <c r="S675">
        <v>0</v>
      </c>
      <c r="T675">
        <v>0</v>
      </c>
      <c r="U675">
        <v>0</v>
      </c>
      <c r="V675">
        <v>0</v>
      </c>
      <c r="W675">
        <v>0</v>
      </c>
      <c r="X675">
        <v>0</v>
      </c>
      <c r="Y675">
        <v>0</v>
      </c>
      <c r="Z675">
        <v>0</v>
      </c>
      <c r="AA675">
        <v>0</v>
      </c>
      <c r="AB675">
        <v>0</v>
      </c>
    </row>
    <row r="676" spans="1:28">
      <c r="A676">
        <v>0</v>
      </c>
      <c r="B676">
        <v>0</v>
      </c>
      <c r="C676">
        <v>0</v>
      </c>
      <c r="D676">
        <v>0</v>
      </c>
      <c r="E676">
        <v>0</v>
      </c>
      <c r="F676">
        <v>0</v>
      </c>
      <c r="G676">
        <v>0</v>
      </c>
      <c r="H676">
        <v>0</v>
      </c>
      <c r="I676">
        <v>0</v>
      </c>
      <c r="J676">
        <v>0</v>
      </c>
      <c r="K676">
        <v>0</v>
      </c>
      <c r="L676">
        <v>0</v>
      </c>
      <c r="M676">
        <v>0</v>
      </c>
      <c r="N676">
        <v>0</v>
      </c>
      <c r="O676">
        <v>0</v>
      </c>
      <c r="P676">
        <v>0</v>
      </c>
      <c r="Q676">
        <v>0</v>
      </c>
      <c r="R676">
        <v>0</v>
      </c>
      <c r="S676">
        <v>0</v>
      </c>
      <c r="T676">
        <v>0</v>
      </c>
      <c r="U676">
        <v>0</v>
      </c>
      <c r="V676">
        <v>0</v>
      </c>
      <c r="W676">
        <v>0</v>
      </c>
      <c r="X676">
        <v>0</v>
      </c>
      <c r="Y676">
        <v>0</v>
      </c>
      <c r="Z676">
        <v>0</v>
      </c>
      <c r="AA676">
        <v>0</v>
      </c>
      <c r="AB676">
        <v>0</v>
      </c>
    </row>
    <row r="677" spans="1:28">
      <c r="A677">
        <v>0</v>
      </c>
      <c r="B677">
        <v>0</v>
      </c>
      <c r="C677">
        <v>0</v>
      </c>
      <c r="D677">
        <v>0</v>
      </c>
      <c r="E677">
        <v>0</v>
      </c>
      <c r="F677">
        <v>0</v>
      </c>
      <c r="G677">
        <v>0</v>
      </c>
      <c r="H677">
        <v>0</v>
      </c>
      <c r="I677">
        <v>0</v>
      </c>
      <c r="J677">
        <v>0</v>
      </c>
      <c r="K677">
        <v>0</v>
      </c>
      <c r="L677">
        <v>0</v>
      </c>
      <c r="M677">
        <v>0</v>
      </c>
      <c r="N677">
        <v>0</v>
      </c>
      <c r="O677">
        <v>0</v>
      </c>
      <c r="P677">
        <v>0</v>
      </c>
      <c r="Q677">
        <v>0</v>
      </c>
      <c r="R677">
        <v>0</v>
      </c>
      <c r="S677">
        <v>0</v>
      </c>
      <c r="T677">
        <v>0</v>
      </c>
      <c r="U677">
        <v>0</v>
      </c>
      <c r="V677">
        <v>0</v>
      </c>
      <c r="W677">
        <v>0</v>
      </c>
      <c r="X677">
        <v>0</v>
      </c>
      <c r="Y677">
        <v>0</v>
      </c>
      <c r="Z677">
        <v>0</v>
      </c>
      <c r="AA677">
        <v>0</v>
      </c>
      <c r="AB677">
        <v>0</v>
      </c>
    </row>
    <row r="678" spans="1:28">
      <c r="A678">
        <v>0</v>
      </c>
      <c r="B678">
        <v>0</v>
      </c>
      <c r="C678">
        <v>0</v>
      </c>
      <c r="D678">
        <v>0</v>
      </c>
      <c r="E678">
        <v>0</v>
      </c>
      <c r="F678">
        <v>0</v>
      </c>
      <c r="G678">
        <v>0</v>
      </c>
      <c r="H678">
        <v>0</v>
      </c>
      <c r="I678">
        <v>0</v>
      </c>
      <c r="J678">
        <v>0</v>
      </c>
      <c r="K678">
        <v>0</v>
      </c>
      <c r="L678">
        <v>0</v>
      </c>
      <c r="M678">
        <v>0</v>
      </c>
      <c r="N678">
        <v>0</v>
      </c>
      <c r="O678">
        <v>0</v>
      </c>
      <c r="P678">
        <v>0</v>
      </c>
      <c r="Q678">
        <v>0</v>
      </c>
      <c r="R678">
        <v>0</v>
      </c>
      <c r="S678">
        <v>0</v>
      </c>
      <c r="T678">
        <v>0</v>
      </c>
      <c r="U678">
        <v>0</v>
      </c>
      <c r="V678">
        <v>0</v>
      </c>
      <c r="W678">
        <v>0</v>
      </c>
      <c r="X678">
        <v>0</v>
      </c>
      <c r="Y678">
        <v>0</v>
      </c>
      <c r="Z678">
        <v>0</v>
      </c>
      <c r="AA678">
        <v>0</v>
      </c>
      <c r="AB678">
        <v>0</v>
      </c>
    </row>
    <row r="679" spans="1:28">
      <c r="A679">
        <v>0</v>
      </c>
      <c r="B679">
        <v>0</v>
      </c>
      <c r="C679">
        <v>0</v>
      </c>
      <c r="D679">
        <v>0</v>
      </c>
      <c r="E679">
        <v>0</v>
      </c>
      <c r="F679">
        <v>0</v>
      </c>
      <c r="G679">
        <v>0</v>
      </c>
      <c r="H679">
        <v>0</v>
      </c>
      <c r="I679">
        <v>0</v>
      </c>
      <c r="J679">
        <v>0</v>
      </c>
      <c r="K679">
        <v>0</v>
      </c>
      <c r="L679">
        <v>0</v>
      </c>
      <c r="M679">
        <v>0</v>
      </c>
      <c r="N679">
        <v>0</v>
      </c>
      <c r="O679">
        <v>0</v>
      </c>
      <c r="P679">
        <v>0</v>
      </c>
      <c r="Q679">
        <v>0</v>
      </c>
      <c r="R679">
        <v>0</v>
      </c>
      <c r="S679">
        <v>0</v>
      </c>
      <c r="T679">
        <v>0</v>
      </c>
      <c r="U679">
        <v>0</v>
      </c>
      <c r="V679">
        <v>0</v>
      </c>
      <c r="W679">
        <v>0</v>
      </c>
      <c r="X679">
        <v>0</v>
      </c>
      <c r="Y679">
        <v>0</v>
      </c>
      <c r="Z679">
        <v>0</v>
      </c>
      <c r="AA679">
        <v>0</v>
      </c>
      <c r="AB679">
        <v>0</v>
      </c>
    </row>
    <row r="680" spans="1:28">
      <c r="A680">
        <v>0</v>
      </c>
      <c r="B680">
        <v>0</v>
      </c>
      <c r="C680">
        <v>0</v>
      </c>
      <c r="D680">
        <v>0</v>
      </c>
      <c r="E680">
        <v>0</v>
      </c>
      <c r="F680">
        <v>0</v>
      </c>
      <c r="G680">
        <v>0</v>
      </c>
      <c r="H680">
        <v>0</v>
      </c>
      <c r="I680">
        <v>0</v>
      </c>
      <c r="J680">
        <v>0</v>
      </c>
      <c r="K680">
        <v>0</v>
      </c>
      <c r="L680">
        <v>0</v>
      </c>
      <c r="M680">
        <v>0</v>
      </c>
      <c r="N680">
        <v>0</v>
      </c>
      <c r="O680">
        <v>0</v>
      </c>
      <c r="P680">
        <v>0</v>
      </c>
      <c r="Q680">
        <v>0</v>
      </c>
      <c r="R680">
        <v>0</v>
      </c>
      <c r="S680">
        <v>0</v>
      </c>
      <c r="T680">
        <v>0</v>
      </c>
      <c r="U680">
        <v>0</v>
      </c>
      <c r="V680">
        <v>0</v>
      </c>
      <c r="W680">
        <v>0</v>
      </c>
      <c r="X680">
        <v>0</v>
      </c>
      <c r="Y680">
        <v>0</v>
      </c>
      <c r="Z680">
        <v>0</v>
      </c>
      <c r="AA680">
        <v>0</v>
      </c>
      <c r="AB680">
        <v>0</v>
      </c>
    </row>
    <row r="681" spans="1:28">
      <c r="A681">
        <v>0</v>
      </c>
      <c r="B681">
        <v>0</v>
      </c>
      <c r="C681">
        <v>0</v>
      </c>
      <c r="D681">
        <v>0</v>
      </c>
      <c r="E681">
        <v>0</v>
      </c>
      <c r="F681">
        <v>0</v>
      </c>
      <c r="G681">
        <v>0</v>
      </c>
      <c r="H681">
        <v>0</v>
      </c>
      <c r="I681">
        <v>0</v>
      </c>
      <c r="J681">
        <v>0</v>
      </c>
      <c r="K681">
        <v>0</v>
      </c>
      <c r="L681">
        <v>0</v>
      </c>
      <c r="M681">
        <v>0</v>
      </c>
      <c r="N681">
        <v>0</v>
      </c>
      <c r="O681">
        <v>0</v>
      </c>
      <c r="P681">
        <v>0</v>
      </c>
      <c r="Q681">
        <v>0</v>
      </c>
      <c r="R681">
        <v>0</v>
      </c>
      <c r="S681">
        <v>0</v>
      </c>
      <c r="T681">
        <v>0</v>
      </c>
      <c r="U681">
        <v>0</v>
      </c>
      <c r="V681">
        <v>0</v>
      </c>
      <c r="W681">
        <v>0</v>
      </c>
      <c r="X681">
        <v>0</v>
      </c>
      <c r="Y681">
        <v>0</v>
      </c>
      <c r="Z681">
        <v>0</v>
      </c>
      <c r="AA681">
        <v>0</v>
      </c>
      <c r="AB681">
        <v>0</v>
      </c>
    </row>
    <row r="682" spans="1:28">
      <c r="A682">
        <v>0</v>
      </c>
      <c r="B682">
        <v>0</v>
      </c>
      <c r="C682">
        <v>0</v>
      </c>
      <c r="D682">
        <v>0</v>
      </c>
      <c r="E682">
        <v>0</v>
      </c>
      <c r="F682">
        <v>0</v>
      </c>
      <c r="G682">
        <v>0</v>
      </c>
      <c r="H682">
        <v>0</v>
      </c>
      <c r="I682">
        <v>0</v>
      </c>
      <c r="J682">
        <v>0</v>
      </c>
      <c r="K682">
        <v>0</v>
      </c>
      <c r="L682">
        <v>0</v>
      </c>
      <c r="M682">
        <v>0</v>
      </c>
      <c r="N682">
        <v>0</v>
      </c>
      <c r="O682">
        <v>0</v>
      </c>
      <c r="P682">
        <v>0</v>
      </c>
      <c r="Q682">
        <v>0</v>
      </c>
      <c r="R682">
        <v>0</v>
      </c>
      <c r="S682">
        <v>0</v>
      </c>
      <c r="T682">
        <v>0</v>
      </c>
      <c r="U682">
        <v>0</v>
      </c>
      <c r="V682">
        <v>0</v>
      </c>
      <c r="W682">
        <v>0</v>
      </c>
      <c r="X682">
        <v>0</v>
      </c>
      <c r="Y682">
        <v>0</v>
      </c>
      <c r="Z682">
        <v>0</v>
      </c>
      <c r="AA682">
        <v>0</v>
      </c>
      <c r="AB682">
        <v>0</v>
      </c>
    </row>
    <row r="683" spans="1:28">
      <c r="A683">
        <v>0</v>
      </c>
      <c r="B683">
        <v>0</v>
      </c>
      <c r="C683">
        <v>0</v>
      </c>
      <c r="D683">
        <v>0</v>
      </c>
      <c r="E683">
        <v>0</v>
      </c>
      <c r="F683">
        <v>0</v>
      </c>
      <c r="G683">
        <v>0</v>
      </c>
      <c r="H683">
        <v>0</v>
      </c>
      <c r="I683">
        <v>0</v>
      </c>
      <c r="J683">
        <v>0</v>
      </c>
      <c r="K683">
        <v>0</v>
      </c>
      <c r="L683">
        <v>0</v>
      </c>
      <c r="M683">
        <v>0</v>
      </c>
      <c r="N683">
        <v>0</v>
      </c>
      <c r="O683">
        <v>0</v>
      </c>
      <c r="P683">
        <v>0</v>
      </c>
      <c r="Q683">
        <v>0</v>
      </c>
      <c r="R683">
        <v>0</v>
      </c>
      <c r="S683">
        <v>0</v>
      </c>
      <c r="T683">
        <v>0</v>
      </c>
      <c r="U683">
        <v>0</v>
      </c>
      <c r="V683">
        <v>0</v>
      </c>
      <c r="W683">
        <v>0</v>
      </c>
      <c r="X683">
        <v>0</v>
      </c>
      <c r="Y683">
        <v>0</v>
      </c>
      <c r="Z683">
        <v>0</v>
      </c>
      <c r="AA683">
        <v>0</v>
      </c>
      <c r="AB683">
        <v>0</v>
      </c>
    </row>
    <row r="684" spans="1:28">
      <c r="A684">
        <v>0</v>
      </c>
      <c r="B684">
        <v>0</v>
      </c>
      <c r="C684">
        <v>0</v>
      </c>
      <c r="D684">
        <v>0</v>
      </c>
      <c r="E684">
        <v>0</v>
      </c>
      <c r="F684">
        <v>0</v>
      </c>
      <c r="G684">
        <v>0</v>
      </c>
      <c r="H684">
        <v>0</v>
      </c>
      <c r="I684">
        <v>0</v>
      </c>
      <c r="J684">
        <v>0</v>
      </c>
      <c r="K684">
        <v>0</v>
      </c>
      <c r="L684">
        <v>0</v>
      </c>
      <c r="M684">
        <v>0</v>
      </c>
      <c r="N684">
        <v>0</v>
      </c>
      <c r="O684">
        <v>0</v>
      </c>
      <c r="P684">
        <v>0</v>
      </c>
      <c r="Q684">
        <v>0</v>
      </c>
      <c r="R684">
        <v>0</v>
      </c>
      <c r="S684">
        <v>0</v>
      </c>
      <c r="T684">
        <v>0</v>
      </c>
      <c r="U684">
        <v>0</v>
      </c>
      <c r="V684">
        <v>0</v>
      </c>
      <c r="W684">
        <v>0</v>
      </c>
      <c r="X684">
        <v>0</v>
      </c>
      <c r="Y684">
        <v>0</v>
      </c>
      <c r="Z684">
        <v>0</v>
      </c>
      <c r="AA684">
        <v>0</v>
      </c>
      <c r="AB684">
        <v>0</v>
      </c>
    </row>
    <row r="685" spans="1:28">
      <c r="A685">
        <v>0</v>
      </c>
      <c r="B685">
        <v>0</v>
      </c>
      <c r="C685">
        <v>0</v>
      </c>
      <c r="D685">
        <v>0</v>
      </c>
      <c r="E685">
        <v>0</v>
      </c>
      <c r="F685">
        <v>0</v>
      </c>
      <c r="G685">
        <v>0</v>
      </c>
      <c r="H685">
        <v>0</v>
      </c>
      <c r="I685">
        <v>0</v>
      </c>
      <c r="J685">
        <v>0</v>
      </c>
      <c r="K685">
        <v>0</v>
      </c>
      <c r="L685">
        <v>0</v>
      </c>
      <c r="M685">
        <v>0</v>
      </c>
      <c r="N685">
        <v>0</v>
      </c>
      <c r="O685">
        <v>0</v>
      </c>
      <c r="P685">
        <v>0</v>
      </c>
      <c r="Q685">
        <v>0</v>
      </c>
      <c r="R685">
        <v>0</v>
      </c>
      <c r="S685">
        <v>0</v>
      </c>
      <c r="T685">
        <v>0</v>
      </c>
      <c r="U685">
        <v>0</v>
      </c>
      <c r="V685">
        <v>0</v>
      </c>
      <c r="W685">
        <v>0</v>
      </c>
      <c r="X685">
        <v>0</v>
      </c>
      <c r="Y685">
        <v>0</v>
      </c>
      <c r="Z685">
        <v>0</v>
      </c>
      <c r="AA685">
        <v>0</v>
      </c>
      <c r="AB685">
        <v>0</v>
      </c>
    </row>
    <row r="686" spans="1:28">
      <c r="A686">
        <v>0</v>
      </c>
      <c r="B686">
        <v>0</v>
      </c>
      <c r="C686">
        <v>0</v>
      </c>
      <c r="D686">
        <v>0</v>
      </c>
      <c r="E686">
        <v>0</v>
      </c>
      <c r="F686">
        <v>0</v>
      </c>
      <c r="G686">
        <v>0</v>
      </c>
      <c r="H686">
        <v>0</v>
      </c>
      <c r="I686">
        <v>0</v>
      </c>
      <c r="J686">
        <v>0</v>
      </c>
      <c r="K686">
        <v>0</v>
      </c>
      <c r="L686">
        <v>0</v>
      </c>
      <c r="M686">
        <v>0</v>
      </c>
      <c r="N686">
        <v>0</v>
      </c>
      <c r="O686">
        <v>0</v>
      </c>
      <c r="P686">
        <v>0</v>
      </c>
      <c r="Q686">
        <v>0</v>
      </c>
      <c r="R686">
        <v>0</v>
      </c>
      <c r="S686">
        <v>0</v>
      </c>
      <c r="T686">
        <v>0</v>
      </c>
      <c r="U686">
        <v>0</v>
      </c>
      <c r="V686">
        <v>0</v>
      </c>
      <c r="W686">
        <v>0</v>
      </c>
      <c r="X686">
        <v>0</v>
      </c>
      <c r="Y686">
        <v>0</v>
      </c>
      <c r="Z686">
        <v>0</v>
      </c>
      <c r="AA686">
        <v>0</v>
      </c>
      <c r="AB686">
        <v>0</v>
      </c>
    </row>
    <row r="687" spans="1:28">
      <c r="A687">
        <v>0</v>
      </c>
      <c r="B687">
        <v>0</v>
      </c>
      <c r="C687">
        <v>0</v>
      </c>
      <c r="D687">
        <v>0</v>
      </c>
      <c r="E687">
        <v>0</v>
      </c>
      <c r="F687">
        <v>0</v>
      </c>
      <c r="G687">
        <v>0</v>
      </c>
      <c r="H687">
        <v>0</v>
      </c>
      <c r="I687">
        <v>0</v>
      </c>
      <c r="J687">
        <v>0</v>
      </c>
      <c r="K687">
        <v>0</v>
      </c>
      <c r="L687">
        <v>0</v>
      </c>
      <c r="M687">
        <v>0</v>
      </c>
      <c r="N687">
        <v>0</v>
      </c>
      <c r="O687">
        <v>0</v>
      </c>
      <c r="P687">
        <v>0</v>
      </c>
      <c r="Q687">
        <v>0</v>
      </c>
      <c r="R687">
        <v>0</v>
      </c>
      <c r="S687">
        <v>0</v>
      </c>
      <c r="T687">
        <v>0</v>
      </c>
      <c r="U687">
        <v>0</v>
      </c>
      <c r="V687">
        <v>0</v>
      </c>
      <c r="W687">
        <v>0</v>
      </c>
      <c r="X687">
        <v>0</v>
      </c>
      <c r="Y687">
        <v>0</v>
      </c>
      <c r="Z687">
        <v>0</v>
      </c>
      <c r="AA687">
        <v>0</v>
      </c>
      <c r="AB687">
        <v>0</v>
      </c>
    </row>
    <row r="688" spans="1:28">
      <c r="A688">
        <v>0</v>
      </c>
      <c r="B688">
        <v>0</v>
      </c>
      <c r="C688">
        <v>0</v>
      </c>
      <c r="D688">
        <v>0</v>
      </c>
      <c r="E688">
        <v>0</v>
      </c>
      <c r="F688">
        <v>0</v>
      </c>
      <c r="G688">
        <v>0</v>
      </c>
      <c r="H688">
        <v>0</v>
      </c>
      <c r="I688">
        <v>0</v>
      </c>
      <c r="J688">
        <v>0</v>
      </c>
      <c r="K688">
        <v>0</v>
      </c>
      <c r="L688">
        <v>0</v>
      </c>
      <c r="M688">
        <v>0</v>
      </c>
      <c r="N688">
        <v>0</v>
      </c>
      <c r="O688">
        <v>0</v>
      </c>
      <c r="P688">
        <v>0</v>
      </c>
      <c r="Q688">
        <v>0</v>
      </c>
      <c r="R688">
        <v>0</v>
      </c>
      <c r="S688">
        <v>0</v>
      </c>
      <c r="T688">
        <v>0</v>
      </c>
      <c r="U688">
        <v>0</v>
      </c>
      <c r="V688">
        <v>0</v>
      </c>
      <c r="W688">
        <v>0</v>
      </c>
      <c r="X688">
        <v>0</v>
      </c>
      <c r="Y688">
        <v>0</v>
      </c>
      <c r="Z688">
        <v>0</v>
      </c>
      <c r="AA688">
        <v>0</v>
      </c>
      <c r="AB688">
        <v>0</v>
      </c>
    </row>
    <row r="689" spans="1:28">
      <c r="A689">
        <v>0</v>
      </c>
      <c r="B689">
        <v>0</v>
      </c>
      <c r="C689">
        <v>0</v>
      </c>
      <c r="D689">
        <v>0</v>
      </c>
      <c r="E689">
        <v>0</v>
      </c>
      <c r="F689">
        <v>0</v>
      </c>
      <c r="G689">
        <v>0</v>
      </c>
      <c r="H689">
        <v>0</v>
      </c>
      <c r="I689">
        <v>0</v>
      </c>
      <c r="J689">
        <v>0</v>
      </c>
      <c r="K689">
        <v>0</v>
      </c>
      <c r="L689">
        <v>0</v>
      </c>
      <c r="M689">
        <v>0</v>
      </c>
      <c r="N689">
        <v>0</v>
      </c>
      <c r="O689">
        <v>0</v>
      </c>
      <c r="P689">
        <v>0</v>
      </c>
      <c r="Q689">
        <v>0</v>
      </c>
      <c r="R689">
        <v>0</v>
      </c>
      <c r="S689">
        <v>0</v>
      </c>
      <c r="T689">
        <v>0</v>
      </c>
      <c r="U689">
        <v>0</v>
      </c>
      <c r="V689">
        <v>0</v>
      </c>
      <c r="W689">
        <v>0</v>
      </c>
      <c r="X689">
        <v>0</v>
      </c>
      <c r="Y689">
        <v>0</v>
      </c>
      <c r="Z689">
        <v>0</v>
      </c>
      <c r="AA689">
        <v>0</v>
      </c>
      <c r="AB689">
        <v>0</v>
      </c>
    </row>
    <row r="690" spans="1:28">
      <c r="A690">
        <v>0</v>
      </c>
      <c r="B690">
        <v>0</v>
      </c>
      <c r="C690">
        <v>0</v>
      </c>
      <c r="D690">
        <v>0</v>
      </c>
      <c r="E690">
        <v>0</v>
      </c>
      <c r="F690">
        <v>0</v>
      </c>
      <c r="G690">
        <v>0</v>
      </c>
      <c r="H690">
        <v>0</v>
      </c>
      <c r="I690">
        <v>0</v>
      </c>
      <c r="J690">
        <v>0</v>
      </c>
      <c r="K690">
        <v>0</v>
      </c>
      <c r="L690">
        <v>0</v>
      </c>
      <c r="M690">
        <v>0</v>
      </c>
      <c r="N690">
        <v>0</v>
      </c>
      <c r="O690">
        <v>0</v>
      </c>
      <c r="P690">
        <v>0</v>
      </c>
      <c r="Q690">
        <v>0</v>
      </c>
      <c r="R690">
        <v>0</v>
      </c>
      <c r="S690">
        <v>0</v>
      </c>
      <c r="T690">
        <v>0</v>
      </c>
      <c r="U690">
        <v>0</v>
      </c>
      <c r="V690">
        <v>0</v>
      </c>
      <c r="W690">
        <v>0</v>
      </c>
      <c r="X690">
        <v>0</v>
      </c>
      <c r="Y690">
        <v>0</v>
      </c>
      <c r="Z690">
        <v>0</v>
      </c>
      <c r="AA690">
        <v>0</v>
      </c>
      <c r="AB690">
        <v>0</v>
      </c>
    </row>
    <row r="691" spans="1:28">
      <c r="A691">
        <v>0</v>
      </c>
      <c r="B691">
        <v>0</v>
      </c>
      <c r="C691">
        <v>0</v>
      </c>
      <c r="D691">
        <v>0</v>
      </c>
      <c r="E691">
        <v>0</v>
      </c>
      <c r="F691">
        <v>0</v>
      </c>
      <c r="G691">
        <v>0</v>
      </c>
      <c r="H691">
        <v>0</v>
      </c>
      <c r="I691">
        <v>0</v>
      </c>
      <c r="J691">
        <v>0</v>
      </c>
      <c r="K691">
        <v>0</v>
      </c>
      <c r="L691">
        <v>0</v>
      </c>
      <c r="M691">
        <v>0</v>
      </c>
      <c r="N691">
        <v>0</v>
      </c>
      <c r="O691">
        <v>0</v>
      </c>
      <c r="P691">
        <v>0</v>
      </c>
      <c r="Q691">
        <v>0</v>
      </c>
      <c r="R691">
        <v>0</v>
      </c>
      <c r="S691">
        <v>0</v>
      </c>
      <c r="T691">
        <v>0</v>
      </c>
      <c r="U691">
        <v>0</v>
      </c>
      <c r="V691">
        <v>0</v>
      </c>
      <c r="W691">
        <v>0</v>
      </c>
      <c r="X691">
        <v>0</v>
      </c>
      <c r="Y691">
        <v>0</v>
      </c>
      <c r="Z691">
        <v>0</v>
      </c>
      <c r="AA691">
        <v>0</v>
      </c>
      <c r="AB691">
        <v>0</v>
      </c>
    </row>
    <row r="692" spans="1:28">
      <c r="A692">
        <v>0</v>
      </c>
      <c r="B692">
        <v>0</v>
      </c>
      <c r="C692">
        <v>0</v>
      </c>
      <c r="D692">
        <v>0</v>
      </c>
      <c r="E692">
        <v>0</v>
      </c>
      <c r="F692">
        <v>0</v>
      </c>
      <c r="G692">
        <v>0</v>
      </c>
      <c r="H692">
        <v>0</v>
      </c>
      <c r="I692">
        <v>0</v>
      </c>
      <c r="J692">
        <v>0</v>
      </c>
      <c r="K692">
        <v>0</v>
      </c>
      <c r="L692">
        <v>0</v>
      </c>
      <c r="M692">
        <v>0</v>
      </c>
      <c r="N692">
        <v>0</v>
      </c>
      <c r="O692">
        <v>0</v>
      </c>
      <c r="P692">
        <v>0</v>
      </c>
      <c r="Q692">
        <v>0</v>
      </c>
      <c r="R692">
        <v>0</v>
      </c>
      <c r="S692">
        <v>0</v>
      </c>
      <c r="T692">
        <v>0</v>
      </c>
      <c r="U692">
        <v>0</v>
      </c>
      <c r="V692">
        <v>0</v>
      </c>
      <c r="W692">
        <v>0</v>
      </c>
      <c r="X692">
        <v>0</v>
      </c>
      <c r="Y692">
        <v>0</v>
      </c>
      <c r="Z692">
        <v>0</v>
      </c>
      <c r="AA692">
        <v>0</v>
      </c>
      <c r="AB692">
        <v>0</v>
      </c>
    </row>
    <row r="693" spans="1:28">
      <c r="A693">
        <v>0</v>
      </c>
      <c r="B693">
        <v>0</v>
      </c>
      <c r="C693">
        <v>0</v>
      </c>
      <c r="D693">
        <v>0</v>
      </c>
      <c r="E693">
        <v>0</v>
      </c>
      <c r="F693">
        <v>0</v>
      </c>
      <c r="G693">
        <v>0</v>
      </c>
      <c r="H693">
        <v>0</v>
      </c>
      <c r="I693">
        <v>0</v>
      </c>
      <c r="J693">
        <v>0</v>
      </c>
      <c r="K693">
        <v>0</v>
      </c>
      <c r="L693">
        <v>0</v>
      </c>
      <c r="M693">
        <v>0</v>
      </c>
      <c r="N693">
        <v>0</v>
      </c>
      <c r="O693">
        <v>0</v>
      </c>
      <c r="P693">
        <v>0</v>
      </c>
      <c r="Q693">
        <v>0</v>
      </c>
      <c r="R693">
        <v>0</v>
      </c>
      <c r="S693">
        <v>0</v>
      </c>
      <c r="T693">
        <v>0</v>
      </c>
      <c r="U693">
        <v>0</v>
      </c>
      <c r="V693">
        <v>0</v>
      </c>
      <c r="W693">
        <v>0</v>
      </c>
      <c r="X693">
        <v>0</v>
      </c>
      <c r="Y693">
        <v>0</v>
      </c>
      <c r="Z693">
        <v>0</v>
      </c>
      <c r="AA693">
        <v>0</v>
      </c>
      <c r="AB693">
        <v>0</v>
      </c>
    </row>
    <row r="694" spans="1:28">
      <c r="A694">
        <v>0</v>
      </c>
      <c r="B694">
        <v>0</v>
      </c>
      <c r="C694">
        <v>0</v>
      </c>
      <c r="D694">
        <v>0</v>
      </c>
      <c r="E694">
        <v>0</v>
      </c>
      <c r="F694">
        <v>0</v>
      </c>
      <c r="G694">
        <v>0</v>
      </c>
      <c r="H694">
        <v>0</v>
      </c>
      <c r="I694">
        <v>0</v>
      </c>
      <c r="J694">
        <v>0</v>
      </c>
      <c r="K694">
        <v>0</v>
      </c>
      <c r="L694">
        <v>0</v>
      </c>
      <c r="M694">
        <v>0</v>
      </c>
      <c r="N694">
        <v>0</v>
      </c>
      <c r="O694">
        <v>0</v>
      </c>
      <c r="P694">
        <v>0</v>
      </c>
      <c r="Q694">
        <v>0</v>
      </c>
      <c r="R694">
        <v>0</v>
      </c>
      <c r="S694">
        <v>0</v>
      </c>
      <c r="T694">
        <v>0</v>
      </c>
      <c r="U694">
        <v>0</v>
      </c>
      <c r="V694">
        <v>0</v>
      </c>
      <c r="W694">
        <v>0</v>
      </c>
      <c r="X694">
        <v>0</v>
      </c>
      <c r="Y694">
        <v>0</v>
      </c>
      <c r="Z694">
        <v>0</v>
      </c>
      <c r="AA694">
        <v>0</v>
      </c>
      <c r="AB694">
        <v>0</v>
      </c>
    </row>
    <row r="695" spans="1:28">
      <c r="A695">
        <v>0</v>
      </c>
      <c r="B695">
        <v>0</v>
      </c>
      <c r="C695">
        <v>0</v>
      </c>
      <c r="D695">
        <v>0</v>
      </c>
      <c r="E695">
        <v>0</v>
      </c>
      <c r="F695">
        <v>0</v>
      </c>
      <c r="G695">
        <v>0</v>
      </c>
      <c r="H695">
        <v>0</v>
      </c>
      <c r="I695">
        <v>0</v>
      </c>
      <c r="J695">
        <v>0</v>
      </c>
      <c r="K695">
        <v>0</v>
      </c>
      <c r="L695">
        <v>0</v>
      </c>
      <c r="M695">
        <v>0</v>
      </c>
      <c r="N695">
        <v>0</v>
      </c>
      <c r="O695">
        <v>0</v>
      </c>
      <c r="P695">
        <v>0</v>
      </c>
      <c r="Q695">
        <v>0</v>
      </c>
      <c r="R695">
        <v>0</v>
      </c>
      <c r="S695">
        <v>0</v>
      </c>
      <c r="T695">
        <v>0</v>
      </c>
      <c r="U695">
        <v>0</v>
      </c>
      <c r="V695">
        <v>0</v>
      </c>
      <c r="W695">
        <v>0</v>
      </c>
      <c r="X695">
        <v>0</v>
      </c>
      <c r="Y695">
        <v>0</v>
      </c>
      <c r="Z695">
        <v>0</v>
      </c>
      <c r="AA695">
        <v>0</v>
      </c>
      <c r="AB695">
        <v>0</v>
      </c>
    </row>
    <row r="696" spans="1:28">
      <c r="A696">
        <v>0</v>
      </c>
      <c r="B696">
        <v>0</v>
      </c>
      <c r="C696">
        <v>0</v>
      </c>
      <c r="D696">
        <v>0</v>
      </c>
      <c r="E696">
        <v>0</v>
      </c>
      <c r="F696">
        <v>0</v>
      </c>
      <c r="G696">
        <v>0</v>
      </c>
      <c r="H696">
        <v>0</v>
      </c>
      <c r="I696">
        <v>0</v>
      </c>
      <c r="J696">
        <v>0</v>
      </c>
      <c r="K696">
        <v>0</v>
      </c>
      <c r="L696">
        <v>0</v>
      </c>
      <c r="M696">
        <v>0</v>
      </c>
      <c r="N696">
        <v>0</v>
      </c>
      <c r="O696">
        <v>0</v>
      </c>
      <c r="P696">
        <v>0</v>
      </c>
      <c r="Q696">
        <v>0</v>
      </c>
      <c r="R696">
        <v>0</v>
      </c>
      <c r="S696">
        <v>0</v>
      </c>
      <c r="T696">
        <v>0</v>
      </c>
      <c r="U696">
        <v>0</v>
      </c>
      <c r="V696">
        <v>0</v>
      </c>
      <c r="W696">
        <v>0</v>
      </c>
      <c r="X696">
        <v>0</v>
      </c>
      <c r="Y696">
        <v>0</v>
      </c>
      <c r="Z696">
        <v>0</v>
      </c>
      <c r="AA696">
        <v>0</v>
      </c>
      <c r="AB696">
        <v>0</v>
      </c>
    </row>
    <row r="697" spans="1:28">
      <c r="A697">
        <v>0</v>
      </c>
      <c r="B697">
        <v>0</v>
      </c>
      <c r="C697">
        <v>0</v>
      </c>
      <c r="D697">
        <v>0</v>
      </c>
      <c r="E697">
        <v>0</v>
      </c>
      <c r="F697">
        <v>0</v>
      </c>
      <c r="G697">
        <v>0</v>
      </c>
      <c r="H697">
        <v>0</v>
      </c>
      <c r="I697">
        <v>0</v>
      </c>
      <c r="J697">
        <v>0</v>
      </c>
      <c r="K697">
        <v>0</v>
      </c>
      <c r="L697">
        <v>0</v>
      </c>
      <c r="M697">
        <v>0</v>
      </c>
      <c r="N697">
        <v>0</v>
      </c>
      <c r="O697">
        <v>0</v>
      </c>
      <c r="P697">
        <v>0</v>
      </c>
      <c r="Q697">
        <v>0</v>
      </c>
      <c r="R697">
        <v>0</v>
      </c>
      <c r="S697">
        <v>0</v>
      </c>
      <c r="T697">
        <v>0</v>
      </c>
      <c r="U697">
        <v>0</v>
      </c>
      <c r="V697">
        <v>0</v>
      </c>
      <c r="W697">
        <v>0</v>
      </c>
      <c r="X697">
        <v>0</v>
      </c>
      <c r="Y697">
        <v>0</v>
      </c>
      <c r="Z697">
        <v>0</v>
      </c>
      <c r="AA697">
        <v>0</v>
      </c>
      <c r="AB697">
        <v>0</v>
      </c>
    </row>
    <row r="698" spans="1:28">
      <c r="A698">
        <v>0</v>
      </c>
      <c r="B698">
        <v>0</v>
      </c>
      <c r="C698">
        <v>0</v>
      </c>
      <c r="D698">
        <v>0</v>
      </c>
      <c r="E698">
        <v>0</v>
      </c>
      <c r="F698">
        <v>0</v>
      </c>
      <c r="G698">
        <v>0</v>
      </c>
      <c r="H698">
        <v>0</v>
      </c>
      <c r="I698">
        <v>0</v>
      </c>
      <c r="J698">
        <v>0</v>
      </c>
      <c r="K698">
        <v>0</v>
      </c>
      <c r="L698">
        <v>0</v>
      </c>
      <c r="M698">
        <v>0</v>
      </c>
      <c r="N698">
        <v>0</v>
      </c>
      <c r="O698">
        <v>0</v>
      </c>
      <c r="P698">
        <v>0</v>
      </c>
      <c r="Q698">
        <v>0</v>
      </c>
      <c r="R698">
        <v>0</v>
      </c>
      <c r="S698">
        <v>0</v>
      </c>
      <c r="T698">
        <v>0</v>
      </c>
      <c r="U698">
        <v>0</v>
      </c>
      <c r="V698">
        <v>0</v>
      </c>
      <c r="W698">
        <v>0</v>
      </c>
      <c r="X698">
        <v>0</v>
      </c>
      <c r="Y698">
        <v>0</v>
      </c>
      <c r="Z698">
        <v>0</v>
      </c>
      <c r="AA698">
        <v>0</v>
      </c>
      <c r="AB698">
        <v>0</v>
      </c>
    </row>
    <row r="699" spans="1:28">
      <c r="A699">
        <v>0</v>
      </c>
      <c r="B699">
        <v>0</v>
      </c>
      <c r="C699">
        <v>0</v>
      </c>
      <c r="D699">
        <v>0</v>
      </c>
      <c r="E699">
        <v>0</v>
      </c>
      <c r="F699">
        <v>0</v>
      </c>
      <c r="G699">
        <v>0</v>
      </c>
      <c r="H699">
        <v>0</v>
      </c>
      <c r="I699">
        <v>0</v>
      </c>
      <c r="J699">
        <v>0</v>
      </c>
      <c r="K699">
        <v>0</v>
      </c>
      <c r="L699">
        <v>0</v>
      </c>
      <c r="M699">
        <v>0</v>
      </c>
      <c r="N699">
        <v>0</v>
      </c>
      <c r="O699">
        <v>0</v>
      </c>
      <c r="P699">
        <v>0</v>
      </c>
      <c r="Q699">
        <v>0</v>
      </c>
      <c r="R699">
        <v>0</v>
      </c>
      <c r="S699">
        <v>0</v>
      </c>
      <c r="T699">
        <v>0</v>
      </c>
      <c r="U699">
        <v>0</v>
      </c>
      <c r="V699">
        <v>0</v>
      </c>
      <c r="W699">
        <v>0</v>
      </c>
      <c r="X699">
        <v>0</v>
      </c>
      <c r="Y699">
        <v>0</v>
      </c>
      <c r="Z699">
        <v>0</v>
      </c>
      <c r="AA699">
        <v>0</v>
      </c>
      <c r="AB699">
        <v>0</v>
      </c>
    </row>
    <row r="700" spans="1:28">
      <c r="A700">
        <v>0</v>
      </c>
      <c r="B700">
        <v>0</v>
      </c>
      <c r="C700">
        <v>0</v>
      </c>
      <c r="D700">
        <v>0</v>
      </c>
      <c r="E700">
        <v>0</v>
      </c>
      <c r="F700">
        <v>0</v>
      </c>
      <c r="G700">
        <v>0</v>
      </c>
      <c r="H700">
        <v>0</v>
      </c>
      <c r="I700">
        <v>0</v>
      </c>
      <c r="J700">
        <v>0</v>
      </c>
      <c r="K700">
        <v>0</v>
      </c>
      <c r="L700">
        <v>0</v>
      </c>
      <c r="M700">
        <v>0</v>
      </c>
      <c r="N700">
        <v>0</v>
      </c>
      <c r="O700">
        <v>0</v>
      </c>
      <c r="P700">
        <v>0</v>
      </c>
      <c r="Q700">
        <v>0</v>
      </c>
      <c r="R700">
        <v>0</v>
      </c>
      <c r="S700">
        <v>0</v>
      </c>
      <c r="T700">
        <v>0</v>
      </c>
      <c r="U700">
        <v>0</v>
      </c>
      <c r="V700">
        <v>0</v>
      </c>
      <c r="W700">
        <v>0</v>
      </c>
      <c r="X700">
        <v>0</v>
      </c>
      <c r="Y700">
        <v>0</v>
      </c>
      <c r="Z700">
        <v>0</v>
      </c>
      <c r="AA700">
        <v>0</v>
      </c>
      <c r="AB700">
        <v>0</v>
      </c>
    </row>
    <row r="701" spans="1:28">
      <c r="A701">
        <v>0</v>
      </c>
      <c r="B701">
        <v>0</v>
      </c>
      <c r="C701">
        <v>0</v>
      </c>
      <c r="D701">
        <v>0</v>
      </c>
      <c r="E701">
        <v>0</v>
      </c>
      <c r="F701">
        <v>0</v>
      </c>
      <c r="G701">
        <v>0</v>
      </c>
      <c r="H701">
        <v>0</v>
      </c>
      <c r="I701">
        <v>0</v>
      </c>
      <c r="J701">
        <v>0</v>
      </c>
      <c r="K701">
        <v>0</v>
      </c>
      <c r="L701">
        <v>0</v>
      </c>
      <c r="M701">
        <v>0</v>
      </c>
      <c r="N701">
        <v>0</v>
      </c>
      <c r="O701">
        <v>0</v>
      </c>
      <c r="P701">
        <v>0</v>
      </c>
      <c r="Q701">
        <v>0</v>
      </c>
      <c r="R701">
        <v>0</v>
      </c>
      <c r="S701">
        <v>0</v>
      </c>
      <c r="T701">
        <v>0</v>
      </c>
      <c r="U701">
        <v>0</v>
      </c>
      <c r="V701">
        <v>0</v>
      </c>
      <c r="W701">
        <v>0</v>
      </c>
      <c r="X701">
        <v>0</v>
      </c>
      <c r="Y701">
        <v>0</v>
      </c>
      <c r="Z701">
        <v>0</v>
      </c>
      <c r="AA701">
        <v>0</v>
      </c>
      <c r="AB701">
        <v>0</v>
      </c>
    </row>
    <row r="702" spans="1:28">
      <c r="A702">
        <v>0</v>
      </c>
      <c r="B702">
        <v>0</v>
      </c>
      <c r="C702">
        <v>0</v>
      </c>
      <c r="D702">
        <v>0</v>
      </c>
      <c r="E702">
        <v>0</v>
      </c>
      <c r="F702">
        <v>0</v>
      </c>
      <c r="G702">
        <v>0</v>
      </c>
      <c r="H702">
        <v>0</v>
      </c>
      <c r="I702">
        <v>0</v>
      </c>
      <c r="J702">
        <v>0</v>
      </c>
      <c r="K702">
        <v>0</v>
      </c>
      <c r="L702">
        <v>0</v>
      </c>
      <c r="M702">
        <v>0</v>
      </c>
      <c r="N702">
        <v>0</v>
      </c>
      <c r="O702">
        <v>0</v>
      </c>
      <c r="P702">
        <v>0</v>
      </c>
      <c r="Q702">
        <v>0</v>
      </c>
      <c r="R702">
        <v>0</v>
      </c>
      <c r="S702">
        <v>0</v>
      </c>
      <c r="T702">
        <v>0</v>
      </c>
      <c r="U702">
        <v>0</v>
      </c>
      <c r="V702">
        <v>0</v>
      </c>
      <c r="W702">
        <v>0</v>
      </c>
      <c r="X702">
        <v>0</v>
      </c>
      <c r="Y702">
        <v>0</v>
      </c>
      <c r="Z702">
        <v>0</v>
      </c>
      <c r="AA702">
        <v>0</v>
      </c>
      <c r="AB702">
        <v>0</v>
      </c>
    </row>
    <row r="703" spans="1:28">
      <c r="A703">
        <v>0</v>
      </c>
      <c r="B703">
        <v>0</v>
      </c>
      <c r="C703">
        <v>0</v>
      </c>
      <c r="D703">
        <v>0</v>
      </c>
      <c r="E703">
        <v>0</v>
      </c>
      <c r="F703">
        <v>0</v>
      </c>
      <c r="G703">
        <v>0</v>
      </c>
      <c r="H703">
        <v>0</v>
      </c>
      <c r="I703">
        <v>0</v>
      </c>
      <c r="J703">
        <v>0</v>
      </c>
      <c r="K703">
        <v>0</v>
      </c>
      <c r="L703">
        <v>0</v>
      </c>
      <c r="M703">
        <v>0</v>
      </c>
      <c r="N703">
        <v>0</v>
      </c>
      <c r="O703">
        <v>0</v>
      </c>
      <c r="P703">
        <v>0</v>
      </c>
      <c r="Q703">
        <v>0</v>
      </c>
      <c r="R703">
        <v>0</v>
      </c>
      <c r="S703">
        <v>0</v>
      </c>
      <c r="T703">
        <v>0</v>
      </c>
      <c r="U703">
        <v>0</v>
      </c>
      <c r="V703">
        <v>0</v>
      </c>
      <c r="W703">
        <v>0</v>
      </c>
      <c r="X703">
        <v>0</v>
      </c>
      <c r="Y703">
        <v>0</v>
      </c>
      <c r="Z703">
        <v>0</v>
      </c>
      <c r="AA703">
        <v>0</v>
      </c>
      <c r="AB703">
        <v>0</v>
      </c>
    </row>
    <row r="704" spans="1:28">
      <c r="A704">
        <v>0</v>
      </c>
      <c r="B704">
        <v>0</v>
      </c>
      <c r="C704">
        <v>0</v>
      </c>
      <c r="D704">
        <v>0</v>
      </c>
      <c r="E704">
        <v>0</v>
      </c>
      <c r="F704">
        <v>0</v>
      </c>
      <c r="G704">
        <v>0</v>
      </c>
      <c r="H704">
        <v>0</v>
      </c>
      <c r="I704">
        <v>0</v>
      </c>
      <c r="J704">
        <v>0</v>
      </c>
      <c r="K704">
        <v>0</v>
      </c>
      <c r="L704">
        <v>0</v>
      </c>
      <c r="M704">
        <v>0</v>
      </c>
      <c r="N704">
        <v>0</v>
      </c>
      <c r="O704">
        <v>0</v>
      </c>
      <c r="P704">
        <v>0</v>
      </c>
      <c r="Q704">
        <v>0</v>
      </c>
      <c r="R704">
        <v>0</v>
      </c>
      <c r="S704">
        <v>0</v>
      </c>
      <c r="T704">
        <v>0</v>
      </c>
      <c r="U704">
        <v>0</v>
      </c>
      <c r="V704">
        <v>0</v>
      </c>
      <c r="W704">
        <v>0</v>
      </c>
      <c r="X704">
        <v>0</v>
      </c>
      <c r="Y704">
        <v>0</v>
      </c>
      <c r="Z704">
        <v>0</v>
      </c>
      <c r="AA704">
        <v>0</v>
      </c>
      <c r="AB704">
        <v>0</v>
      </c>
    </row>
    <row r="705" spans="1:28">
      <c r="A705">
        <v>0</v>
      </c>
      <c r="B705">
        <v>0</v>
      </c>
      <c r="C705">
        <v>0</v>
      </c>
      <c r="D705">
        <v>0</v>
      </c>
      <c r="E705">
        <v>0</v>
      </c>
      <c r="F705">
        <v>0</v>
      </c>
      <c r="G705">
        <v>0</v>
      </c>
      <c r="H705">
        <v>0</v>
      </c>
      <c r="I705">
        <v>0</v>
      </c>
      <c r="J705">
        <v>0</v>
      </c>
      <c r="K705">
        <v>0</v>
      </c>
      <c r="L705">
        <v>0</v>
      </c>
      <c r="M705">
        <v>0</v>
      </c>
      <c r="N705">
        <v>0</v>
      </c>
      <c r="O705">
        <v>0</v>
      </c>
      <c r="P705">
        <v>0</v>
      </c>
      <c r="Q705">
        <v>0</v>
      </c>
      <c r="R705">
        <v>0</v>
      </c>
      <c r="S705">
        <v>0</v>
      </c>
      <c r="T705">
        <v>0</v>
      </c>
      <c r="U705">
        <v>0</v>
      </c>
      <c r="V705">
        <v>0</v>
      </c>
      <c r="W705">
        <v>0</v>
      </c>
      <c r="X705">
        <v>0</v>
      </c>
      <c r="Y705">
        <v>0</v>
      </c>
      <c r="Z705">
        <v>0</v>
      </c>
      <c r="AA705">
        <v>0</v>
      </c>
      <c r="AB705">
        <v>0</v>
      </c>
    </row>
    <row r="706" spans="1:28">
      <c r="A706">
        <v>0</v>
      </c>
      <c r="B706">
        <v>0</v>
      </c>
      <c r="C706">
        <v>0</v>
      </c>
      <c r="D706">
        <v>0</v>
      </c>
      <c r="E706">
        <v>0</v>
      </c>
      <c r="F706">
        <v>0</v>
      </c>
      <c r="G706">
        <v>0</v>
      </c>
      <c r="H706">
        <v>0</v>
      </c>
      <c r="I706">
        <v>0</v>
      </c>
      <c r="J706">
        <v>0</v>
      </c>
      <c r="K706">
        <v>0</v>
      </c>
      <c r="L706">
        <v>0</v>
      </c>
      <c r="M706">
        <v>0</v>
      </c>
      <c r="N706">
        <v>0</v>
      </c>
      <c r="O706">
        <v>0</v>
      </c>
      <c r="P706">
        <v>0</v>
      </c>
      <c r="Q706">
        <v>0</v>
      </c>
      <c r="R706">
        <v>0</v>
      </c>
      <c r="S706">
        <v>0</v>
      </c>
      <c r="T706">
        <v>0</v>
      </c>
      <c r="U706">
        <v>0</v>
      </c>
      <c r="V706">
        <v>0</v>
      </c>
      <c r="W706">
        <v>0</v>
      </c>
      <c r="X706">
        <v>0</v>
      </c>
      <c r="Y706">
        <v>0</v>
      </c>
      <c r="Z706">
        <v>0</v>
      </c>
      <c r="AA706">
        <v>0</v>
      </c>
      <c r="AB706">
        <v>0</v>
      </c>
    </row>
    <row r="707" spans="1:28">
      <c r="A707">
        <v>0</v>
      </c>
      <c r="B707">
        <v>0</v>
      </c>
      <c r="C707">
        <v>0</v>
      </c>
      <c r="D707">
        <v>0</v>
      </c>
      <c r="E707">
        <v>0</v>
      </c>
      <c r="F707">
        <v>0</v>
      </c>
      <c r="G707">
        <v>0</v>
      </c>
      <c r="H707">
        <v>0</v>
      </c>
      <c r="I707">
        <v>0</v>
      </c>
      <c r="J707">
        <v>0</v>
      </c>
      <c r="K707">
        <v>0</v>
      </c>
      <c r="L707">
        <v>0</v>
      </c>
      <c r="M707">
        <v>0</v>
      </c>
      <c r="N707">
        <v>0</v>
      </c>
      <c r="O707">
        <v>0</v>
      </c>
      <c r="P707">
        <v>0</v>
      </c>
      <c r="Q707">
        <v>0</v>
      </c>
      <c r="R707">
        <v>0</v>
      </c>
      <c r="S707">
        <v>0</v>
      </c>
      <c r="T707">
        <v>0</v>
      </c>
      <c r="U707">
        <v>0</v>
      </c>
      <c r="V707">
        <v>0</v>
      </c>
      <c r="W707">
        <v>0</v>
      </c>
      <c r="X707">
        <v>0</v>
      </c>
      <c r="Y707">
        <v>0</v>
      </c>
      <c r="Z707">
        <v>0</v>
      </c>
      <c r="AA707">
        <v>0</v>
      </c>
      <c r="AB707">
        <v>0</v>
      </c>
    </row>
    <row r="708" spans="1:28">
      <c r="A708">
        <v>0</v>
      </c>
      <c r="B708">
        <v>0</v>
      </c>
      <c r="C708">
        <v>0</v>
      </c>
      <c r="D708">
        <v>0</v>
      </c>
      <c r="E708">
        <v>0</v>
      </c>
      <c r="F708">
        <v>0</v>
      </c>
      <c r="G708">
        <v>0</v>
      </c>
      <c r="H708">
        <v>0</v>
      </c>
      <c r="I708">
        <v>0</v>
      </c>
      <c r="J708">
        <v>0</v>
      </c>
      <c r="K708">
        <v>0</v>
      </c>
      <c r="L708">
        <v>0</v>
      </c>
      <c r="M708">
        <v>0</v>
      </c>
      <c r="N708">
        <v>0</v>
      </c>
      <c r="O708">
        <v>0</v>
      </c>
      <c r="P708">
        <v>0</v>
      </c>
      <c r="Q708">
        <v>0</v>
      </c>
      <c r="R708">
        <v>0</v>
      </c>
      <c r="S708">
        <v>0</v>
      </c>
      <c r="T708">
        <v>0</v>
      </c>
      <c r="U708">
        <v>0</v>
      </c>
      <c r="V708">
        <v>0</v>
      </c>
      <c r="W708">
        <v>0</v>
      </c>
      <c r="X708">
        <v>0</v>
      </c>
      <c r="Y708">
        <v>0</v>
      </c>
      <c r="Z708">
        <v>0</v>
      </c>
      <c r="AA708">
        <v>0</v>
      </c>
      <c r="AB708">
        <v>0</v>
      </c>
    </row>
    <row r="709" spans="1:28">
      <c r="A709">
        <v>0</v>
      </c>
      <c r="B709">
        <v>0</v>
      </c>
      <c r="C709">
        <v>0</v>
      </c>
      <c r="D709">
        <v>0</v>
      </c>
      <c r="E709">
        <v>0</v>
      </c>
      <c r="F709">
        <v>0</v>
      </c>
      <c r="G709">
        <v>0</v>
      </c>
      <c r="H709">
        <v>0</v>
      </c>
      <c r="I709">
        <v>0</v>
      </c>
      <c r="J709">
        <v>0</v>
      </c>
      <c r="K709">
        <v>0</v>
      </c>
      <c r="L709">
        <v>0</v>
      </c>
      <c r="M709">
        <v>0</v>
      </c>
      <c r="N709">
        <v>0</v>
      </c>
      <c r="O709">
        <v>0</v>
      </c>
      <c r="P709">
        <v>0</v>
      </c>
      <c r="Q709">
        <v>0</v>
      </c>
      <c r="R709">
        <v>0</v>
      </c>
      <c r="S709">
        <v>0</v>
      </c>
      <c r="T709">
        <v>0</v>
      </c>
      <c r="U709">
        <v>0</v>
      </c>
      <c r="V709">
        <v>0</v>
      </c>
      <c r="W709">
        <v>0</v>
      </c>
      <c r="X709">
        <v>0</v>
      </c>
      <c r="Y709">
        <v>0</v>
      </c>
      <c r="Z709">
        <v>0</v>
      </c>
      <c r="AA709">
        <v>0</v>
      </c>
      <c r="AB709">
        <v>0</v>
      </c>
    </row>
    <row r="710" spans="1:28">
      <c r="A710">
        <v>0</v>
      </c>
      <c r="B710">
        <v>0</v>
      </c>
      <c r="C710">
        <v>0</v>
      </c>
      <c r="D710">
        <v>0</v>
      </c>
      <c r="E710">
        <v>0</v>
      </c>
      <c r="F710">
        <v>0</v>
      </c>
      <c r="G710">
        <v>0</v>
      </c>
      <c r="H710">
        <v>0</v>
      </c>
      <c r="I710">
        <v>0</v>
      </c>
      <c r="J710">
        <v>0</v>
      </c>
      <c r="K710">
        <v>0</v>
      </c>
      <c r="L710">
        <v>0</v>
      </c>
      <c r="M710">
        <v>0</v>
      </c>
      <c r="N710">
        <v>0</v>
      </c>
      <c r="O710">
        <v>0</v>
      </c>
      <c r="P710">
        <v>0</v>
      </c>
      <c r="Q710">
        <v>0</v>
      </c>
      <c r="R710">
        <v>0</v>
      </c>
      <c r="S710">
        <v>0</v>
      </c>
      <c r="T710">
        <v>0</v>
      </c>
      <c r="U710">
        <v>0</v>
      </c>
      <c r="V710">
        <v>0</v>
      </c>
      <c r="W710">
        <v>0</v>
      </c>
      <c r="X710">
        <v>0</v>
      </c>
      <c r="Y710">
        <v>0</v>
      </c>
      <c r="Z710">
        <v>0</v>
      </c>
      <c r="AA710">
        <v>0</v>
      </c>
      <c r="AB710">
        <v>0</v>
      </c>
    </row>
    <row r="711" spans="1:28">
      <c r="A711">
        <v>0</v>
      </c>
      <c r="B711">
        <v>0</v>
      </c>
      <c r="C711">
        <v>0</v>
      </c>
      <c r="D711">
        <v>0</v>
      </c>
      <c r="E711">
        <v>0</v>
      </c>
      <c r="F711">
        <v>0</v>
      </c>
      <c r="G711">
        <v>0</v>
      </c>
      <c r="H711">
        <v>0</v>
      </c>
      <c r="I711">
        <v>0</v>
      </c>
      <c r="J711">
        <v>0</v>
      </c>
      <c r="K711">
        <v>0</v>
      </c>
      <c r="L711">
        <v>0</v>
      </c>
      <c r="M711">
        <v>0</v>
      </c>
      <c r="N711">
        <v>0</v>
      </c>
      <c r="O711">
        <v>0</v>
      </c>
      <c r="P711">
        <v>0</v>
      </c>
      <c r="Q711">
        <v>0</v>
      </c>
      <c r="R711">
        <v>0</v>
      </c>
      <c r="S711">
        <v>0</v>
      </c>
      <c r="T711">
        <v>0</v>
      </c>
      <c r="U711">
        <v>0</v>
      </c>
      <c r="V711">
        <v>0</v>
      </c>
      <c r="W711">
        <v>0</v>
      </c>
      <c r="X711">
        <v>0</v>
      </c>
      <c r="Y711">
        <v>0</v>
      </c>
      <c r="Z711">
        <v>0</v>
      </c>
      <c r="AA711">
        <v>0</v>
      </c>
      <c r="AB711">
        <v>0</v>
      </c>
    </row>
    <row r="712" spans="1:28">
      <c r="A712">
        <v>0</v>
      </c>
      <c r="B712">
        <v>0</v>
      </c>
      <c r="C712">
        <v>0</v>
      </c>
      <c r="D712">
        <v>0</v>
      </c>
      <c r="E712">
        <v>0</v>
      </c>
      <c r="F712">
        <v>0</v>
      </c>
      <c r="G712">
        <v>0</v>
      </c>
      <c r="H712">
        <v>0</v>
      </c>
      <c r="I712">
        <v>0</v>
      </c>
      <c r="J712">
        <v>0</v>
      </c>
      <c r="K712">
        <v>0</v>
      </c>
      <c r="L712">
        <v>0</v>
      </c>
      <c r="M712">
        <v>0</v>
      </c>
      <c r="N712">
        <v>0</v>
      </c>
      <c r="O712">
        <v>0</v>
      </c>
      <c r="P712">
        <v>0</v>
      </c>
      <c r="Q712">
        <v>0</v>
      </c>
      <c r="R712">
        <v>0</v>
      </c>
      <c r="S712">
        <v>0</v>
      </c>
      <c r="T712">
        <v>0</v>
      </c>
      <c r="U712">
        <v>0</v>
      </c>
      <c r="V712">
        <v>0</v>
      </c>
      <c r="W712">
        <v>0</v>
      </c>
      <c r="X712">
        <v>0</v>
      </c>
      <c r="Y712">
        <v>0</v>
      </c>
      <c r="Z712">
        <v>0</v>
      </c>
      <c r="AA712">
        <v>0</v>
      </c>
      <c r="AB712">
        <v>0</v>
      </c>
    </row>
    <row r="713" spans="1:28">
      <c r="A713">
        <v>0</v>
      </c>
      <c r="B713">
        <v>0</v>
      </c>
      <c r="C713">
        <v>0</v>
      </c>
      <c r="D713">
        <v>0</v>
      </c>
      <c r="E713">
        <v>0</v>
      </c>
      <c r="F713">
        <v>0</v>
      </c>
      <c r="G713">
        <v>0</v>
      </c>
      <c r="H713">
        <v>0</v>
      </c>
      <c r="I713">
        <v>0</v>
      </c>
      <c r="J713">
        <v>0</v>
      </c>
      <c r="K713">
        <v>0</v>
      </c>
      <c r="L713">
        <v>0</v>
      </c>
      <c r="M713">
        <v>0</v>
      </c>
      <c r="N713">
        <v>0</v>
      </c>
      <c r="O713">
        <v>0</v>
      </c>
      <c r="P713">
        <v>0</v>
      </c>
      <c r="Q713">
        <v>0</v>
      </c>
      <c r="R713">
        <v>0</v>
      </c>
      <c r="S713">
        <v>0</v>
      </c>
      <c r="T713">
        <v>0</v>
      </c>
      <c r="U713">
        <v>0</v>
      </c>
      <c r="V713">
        <v>0</v>
      </c>
      <c r="W713">
        <v>0</v>
      </c>
      <c r="X713">
        <v>0</v>
      </c>
      <c r="Y713">
        <v>0</v>
      </c>
      <c r="Z713">
        <v>0</v>
      </c>
      <c r="AA713">
        <v>0</v>
      </c>
      <c r="AB713">
        <v>0</v>
      </c>
    </row>
    <row r="714" spans="1:28">
      <c r="A714">
        <v>0</v>
      </c>
      <c r="B714">
        <v>0</v>
      </c>
      <c r="C714">
        <v>0</v>
      </c>
      <c r="D714">
        <v>0</v>
      </c>
      <c r="E714">
        <v>0</v>
      </c>
      <c r="F714">
        <v>0</v>
      </c>
      <c r="G714">
        <v>0</v>
      </c>
      <c r="H714">
        <v>0</v>
      </c>
      <c r="I714">
        <v>0</v>
      </c>
      <c r="J714">
        <v>0</v>
      </c>
      <c r="K714">
        <v>0</v>
      </c>
      <c r="L714">
        <v>0</v>
      </c>
      <c r="M714">
        <v>0</v>
      </c>
      <c r="N714">
        <v>0</v>
      </c>
      <c r="O714">
        <v>0</v>
      </c>
      <c r="P714">
        <v>0</v>
      </c>
      <c r="Q714">
        <v>0</v>
      </c>
      <c r="R714">
        <v>0</v>
      </c>
      <c r="S714">
        <v>0</v>
      </c>
      <c r="T714">
        <v>0</v>
      </c>
      <c r="U714">
        <v>0</v>
      </c>
      <c r="V714">
        <v>0</v>
      </c>
      <c r="W714">
        <v>0</v>
      </c>
      <c r="X714">
        <v>0</v>
      </c>
      <c r="Y714">
        <v>0</v>
      </c>
      <c r="Z714">
        <v>0</v>
      </c>
      <c r="AA714">
        <v>0</v>
      </c>
      <c r="AB714">
        <v>0</v>
      </c>
    </row>
    <row r="715" spans="1:28">
      <c r="A715">
        <v>0</v>
      </c>
      <c r="B715">
        <v>0</v>
      </c>
      <c r="C715">
        <v>0</v>
      </c>
      <c r="D715">
        <v>0</v>
      </c>
      <c r="E715">
        <v>0</v>
      </c>
      <c r="F715">
        <v>0</v>
      </c>
      <c r="G715">
        <v>0</v>
      </c>
      <c r="H715">
        <v>0</v>
      </c>
      <c r="I715">
        <v>0</v>
      </c>
      <c r="J715">
        <v>0</v>
      </c>
      <c r="K715">
        <v>0</v>
      </c>
      <c r="L715">
        <v>0</v>
      </c>
      <c r="M715">
        <v>0</v>
      </c>
      <c r="N715">
        <v>0</v>
      </c>
      <c r="O715">
        <v>0</v>
      </c>
      <c r="P715">
        <v>0</v>
      </c>
      <c r="Q715">
        <v>0</v>
      </c>
      <c r="R715">
        <v>0</v>
      </c>
      <c r="S715">
        <v>0</v>
      </c>
      <c r="T715">
        <v>0</v>
      </c>
      <c r="U715">
        <v>0</v>
      </c>
      <c r="V715">
        <v>0</v>
      </c>
      <c r="W715">
        <v>0</v>
      </c>
      <c r="X715">
        <v>0</v>
      </c>
      <c r="Y715">
        <v>0</v>
      </c>
      <c r="Z715">
        <v>0</v>
      </c>
      <c r="AA715">
        <v>0</v>
      </c>
      <c r="AB715">
        <v>0</v>
      </c>
    </row>
    <row r="716" spans="1:28">
      <c r="A716">
        <v>0</v>
      </c>
      <c r="B716">
        <v>0</v>
      </c>
      <c r="C716">
        <v>0</v>
      </c>
      <c r="D716">
        <v>0</v>
      </c>
      <c r="E716">
        <v>0</v>
      </c>
      <c r="F716">
        <v>0</v>
      </c>
      <c r="G716">
        <v>0</v>
      </c>
      <c r="H716">
        <v>0</v>
      </c>
      <c r="I716">
        <v>0</v>
      </c>
      <c r="J716">
        <v>0</v>
      </c>
      <c r="K716">
        <v>0</v>
      </c>
      <c r="L716">
        <v>0</v>
      </c>
      <c r="M716">
        <v>0</v>
      </c>
      <c r="N716">
        <v>0</v>
      </c>
      <c r="O716">
        <v>0</v>
      </c>
      <c r="P716">
        <v>0</v>
      </c>
      <c r="Q716">
        <v>0</v>
      </c>
      <c r="R716">
        <v>0</v>
      </c>
      <c r="S716">
        <v>0</v>
      </c>
      <c r="T716">
        <v>0</v>
      </c>
      <c r="U716">
        <v>0</v>
      </c>
      <c r="V716">
        <v>0</v>
      </c>
      <c r="W716">
        <v>0</v>
      </c>
      <c r="X716">
        <v>0</v>
      </c>
      <c r="Y716">
        <v>0</v>
      </c>
      <c r="Z716">
        <v>0</v>
      </c>
      <c r="AA716">
        <v>0</v>
      </c>
      <c r="AB716">
        <v>0</v>
      </c>
    </row>
    <row r="717" spans="1:28">
      <c r="A717">
        <v>0</v>
      </c>
      <c r="B717">
        <v>0</v>
      </c>
      <c r="C717">
        <v>0</v>
      </c>
      <c r="D717">
        <v>0</v>
      </c>
      <c r="E717">
        <v>0</v>
      </c>
      <c r="F717">
        <v>0</v>
      </c>
      <c r="G717">
        <v>0</v>
      </c>
      <c r="H717">
        <v>0</v>
      </c>
      <c r="I717">
        <v>0</v>
      </c>
      <c r="J717">
        <v>0</v>
      </c>
      <c r="K717">
        <v>0</v>
      </c>
      <c r="L717">
        <v>0</v>
      </c>
      <c r="M717">
        <v>0</v>
      </c>
      <c r="N717">
        <v>0</v>
      </c>
      <c r="O717">
        <v>0</v>
      </c>
      <c r="P717">
        <v>0</v>
      </c>
      <c r="Q717">
        <v>0</v>
      </c>
      <c r="R717">
        <v>0</v>
      </c>
      <c r="S717">
        <v>0</v>
      </c>
      <c r="T717">
        <v>0</v>
      </c>
      <c r="U717">
        <v>0</v>
      </c>
      <c r="V717">
        <v>0</v>
      </c>
      <c r="W717">
        <v>0</v>
      </c>
      <c r="X717">
        <v>0</v>
      </c>
      <c r="Y717">
        <v>0</v>
      </c>
      <c r="Z717">
        <v>0</v>
      </c>
      <c r="AA717">
        <v>0</v>
      </c>
      <c r="AB717">
        <v>0</v>
      </c>
    </row>
    <row r="718" spans="1:28">
      <c r="A718">
        <v>0</v>
      </c>
      <c r="B718">
        <v>0</v>
      </c>
      <c r="C718">
        <v>0</v>
      </c>
      <c r="D718">
        <v>0</v>
      </c>
      <c r="E718">
        <v>0</v>
      </c>
      <c r="F718">
        <v>0</v>
      </c>
      <c r="G718">
        <v>0</v>
      </c>
      <c r="H718">
        <v>0</v>
      </c>
      <c r="I718">
        <v>0</v>
      </c>
      <c r="J718">
        <v>0</v>
      </c>
      <c r="K718">
        <v>0</v>
      </c>
      <c r="L718">
        <v>0</v>
      </c>
      <c r="M718">
        <v>0</v>
      </c>
      <c r="N718">
        <v>0</v>
      </c>
      <c r="O718">
        <v>0</v>
      </c>
      <c r="P718">
        <v>0</v>
      </c>
      <c r="Q718">
        <v>0</v>
      </c>
      <c r="R718">
        <v>0</v>
      </c>
      <c r="S718">
        <v>0</v>
      </c>
      <c r="T718">
        <v>0</v>
      </c>
      <c r="U718">
        <v>0</v>
      </c>
      <c r="V718">
        <v>0</v>
      </c>
      <c r="W718">
        <v>0</v>
      </c>
      <c r="X718">
        <v>0</v>
      </c>
      <c r="Y718">
        <v>0</v>
      </c>
      <c r="Z718">
        <v>0</v>
      </c>
      <c r="AA718">
        <v>0</v>
      </c>
      <c r="AB718">
        <v>0</v>
      </c>
    </row>
    <row r="719" spans="1:28">
      <c r="A719">
        <v>0</v>
      </c>
      <c r="B719">
        <v>0</v>
      </c>
      <c r="C719">
        <v>0</v>
      </c>
      <c r="D719">
        <v>0</v>
      </c>
      <c r="E719">
        <v>0</v>
      </c>
      <c r="F719">
        <v>0</v>
      </c>
      <c r="G719">
        <v>0</v>
      </c>
      <c r="H719">
        <v>0</v>
      </c>
      <c r="I719">
        <v>0</v>
      </c>
      <c r="J719">
        <v>0</v>
      </c>
      <c r="K719">
        <v>0</v>
      </c>
      <c r="L719">
        <v>0</v>
      </c>
      <c r="M719">
        <v>0</v>
      </c>
      <c r="N719">
        <v>0</v>
      </c>
      <c r="O719">
        <v>0</v>
      </c>
      <c r="P719">
        <v>0</v>
      </c>
      <c r="Q719">
        <v>0</v>
      </c>
      <c r="R719">
        <v>0</v>
      </c>
      <c r="S719">
        <v>0</v>
      </c>
      <c r="T719">
        <v>0</v>
      </c>
      <c r="U719">
        <v>0</v>
      </c>
      <c r="V719">
        <v>0</v>
      </c>
      <c r="W719">
        <v>0</v>
      </c>
      <c r="X719">
        <v>0</v>
      </c>
      <c r="Y719">
        <v>0</v>
      </c>
      <c r="Z719">
        <v>0</v>
      </c>
      <c r="AA719">
        <v>0</v>
      </c>
      <c r="AB719">
        <v>0</v>
      </c>
    </row>
    <row r="720" spans="1:28">
      <c r="A720">
        <v>0</v>
      </c>
      <c r="B720">
        <v>0</v>
      </c>
      <c r="C720">
        <v>0</v>
      </c>
      <c r="D720">
        <v>0</v>
      </c>
      <c r="E720">
        <v>0</v>
      </c>
      <c r="F720">
        <v>0</v>
      </c>
      <c r="G720">
        <v>0</v>
      </c>
      <c r="H720">
        <v>0</v>
      </c>
      <c r="I720">
        <v>0</v>
      </c>
      <c r="J720">
        <v>0</v>
      </c>
      <c r="K720">
        <v>0</v>
      </c>
      <c r="L720">
        <v>0</v>
      </c>
      <c r="M720">
        <v>0</v>
      </c>
      <c r="N720">
        <v>0</v>
      </c>
      <c r="O720">
        <v>0</v>
      </c>
      <c r="P720">
        <v>0</v>
      </c>
      <c r="Q720">
        <v>0</v>
      </c>
      <c r="R720">
        <v>0</v>
      </c>
      <c r="S720">
        <v>0</v>
      </c>
      <c r="T720">
        <v>0</v>
      </c>
      <c r="U720">
        <v>0</v>
      </c>
      <c r="V720">
        <v>0</v>
      </c>
      <c r="W720">
        <v>0</v>
      </c>
      <c r="X720">
        <v>0</v>
      </c>
      <c r="Y720">
        <v>0</v>
      </c>
      <c r="Z720">
        <v>0</v>
      </c>
      <c r="AA720">
        <v>0</v>
      </c>
      <c r="AB720">
        <v>0</v>
      </c>
    </row>
    <row r="721" spans="1:28">
      <c r="A721">
        <v>0</v>
      </c>
      <c r="B721">
        <v>0</v>
      </c>
      <c r="C721">
        <v>0</v>
      </c>
      <c r="D721">
        <v>0</v>
      </c>
      <c r="E721">
        <v>0</v>
      </c>
      <c r="F721">
        <v>0</v>
      </c>
      <c r="G721">
        <v>0</v>
      </c>
      <c r="H721">
        <v>0</v>
      </c>
      <c r="I721">
        <v>0</v>
      </c>
      <c r="J721">
        <v>0</v>
      </c>
      <c r="K721">
        <v>0</v>
      </c>
      <c r="L721">
        <v>0</v>
      </c>
      <c r="M721">
        <v>0</v>
      </c>
      <c r="N721">
        <v>0</v>
      </c>
      <c r="O721">
        <v>0</v>
      </c>
      <c r="P721">
        <v>0</v>
      </c>
      <c r="Q721">
        <v>0</v>
      </c>
      <c r="R721">
        <v>0</v>
      </c>
      <c r="S721">
        <v>0</v>
      </c>
      <c r="T721">
        <v>0</v>
      </c>
      <c r="U721">
        <v>0</v>
      </c>
      <c r="V721">
        <v>0</v>
      </c>
      <c r="W721">
        <v>0</v>
      </c>
      <c r="X721">
        <v>0</v>
      </c>
      <c r="Y721">
        <v>0</v>
      </c>
      <c r="Z721">
        <v>0</v>
      </c>
      <c r="AA721">
        <v>0</v>
      </c>
      <c r="AB721">
        <v>0</v>
      </c>
    </row>
    <row r="722" spans="1:28">
      <c r="A722">
        <v>0</v>
      </c>
      <c r="B722">
        <v>0</v>
      </c>
      <c r="C722">
        <v>0</v>
      </c>
      <c r="D722">
        <v>0</v>
      </c>
      <c r="E722">
        <v>0</v>
      </c>
      <c r="F722">
        <v>0</v>
      </c>
      <c r="G722">
        <v>0</v>
      </c>
      <c r="H722">
        <v>0</v>
      </c>
      <c r="I722">
        <v>0</v>
      </c>
      <c r="J722">
        <v>0</v>
      </c>
      <c r="K722">
        <v>0</v>
      </c>
      <c r="L722">
        <v>0</v>
      </c>
      <c r="M722">
        <v>0</v>
      </c>
      <c r="N722">
        <v>0</v>
      </c>
      <c r="O722">
        <v>0</v>
      </c>
      <c r="P722">
        <v>0</v>
      </c>
      <c r="Q722">
        <v>0</v>
      </c>
      <c r="R722">
        <v>0</v>
      </c>
      <c r="S722">
        <v>0</v>
      </c>
      <c r="T722">
        <v>0</v>
      </c>
      <c r="U722">
        <v>0</v>
      </c>
      <c r="V722">
        <v>0</v>
      </c>
      <c r="W722">
        <v>0</v>
      </c>
      <c r="X722">
        <v>0</v>
      </c>
      <c r="Y722">
        <v>0</v>
      </c>
      <c r="Z722">
        <v>0</v>
      </c>
      <c r="AA722">
        <v>0</v>
      </c>
      <c r="AB722">
        <v>0</v>
      </c>
    </row>
    <row r="723" spans="1:28">
      <c r="A723">
        <v>0</v>
      </c>
      <c r="B723">
        <v>0</v>
      </c>
      <c r="C723">
        <v>0</v>
      </c>
      <c r="D723">
        <v>0</v>
      </c>
      <c r="E723">
        <v>0</v>
      </c>
      <c r="F723">
        <v>0</v>
      </c>
      <c r="G723">
        <v>0</v>
      </c>
      <c r="H723">
        <v>0</v>
      </c>
      <c r="I723">
        <v>0</v>
      </c>
      <c r="J723">
        <v>0</v>
      </c>
      <c r="K723">
        <v>0</v>
      </c>
      <c r="L723">
        <v>0</v>
      </c>
      <c r="M723">
        <v>0</v>
      </c>
      <c r="N723">
        <v>0</v>
      </c>
      <c r="O723">
        <v>0</v>
      </c>
      <c r="P723">
        <v>0</v>
      </c>
      <c r="Q723">
        <v>0</v>
      </c>
      <c r="R723">
        <v>0</v>
      </c>
      <c r="S723">
        <v>0</v>
      </c>
      <c r="T723">
        <v>0</v>
      </c>
      <c r="U723">
        <v>0</v>
      </c>
      <c r="V723">
        <v>0</v>
      </c>
      <c r="W723">
        <v>0</v>
      </c>
      <c r="X723">
        <v>0</v>
      </c>
      <c r="Y723">
        <v>0</v>
      </c>
      <c r="Z723">
        <v>0</v>
      </c>
      <c r="AA723">
        <v>0</v>
      </c>
      <c r="AB723">
        <v>0</v>
      </c>
    </row>
    <row r="724" spans="1:28">
      <c r="A724">
        <v>0</v>
      </c>
      <c r="B724">
        <v>0</v>
      </c>
      <c r="C724">
        <v>0</v>
      </c>
      <c r="D724">
        <v>0</v>
      </c>
      <c r="E724">
        <v>0</v>
      </c>
      <c r="F724">
        <v>0</v>
      </c>
      <c r="G724">
        <v>0</v>
      </c>
      <c r="H724">
        <v>0</v>
      </c>
      <c r="I724">
        <v>0</v>
      </c>
      <c r="J724">
        <v>0</v>
      </c>
      <c r="K724">
        <v>0</v>
      </c>
      <c r="L724">
        <v>0</v>
      </c>
      <c r="M724">
        <v>0</v>
      </c>
      <c r="N724">
        <v>0</v>
      </c>
      <c r="O724">
        <v>0</v>
      </c>
      <c r="P724">
        <v>0</v>
      </c>
      <c r="Q724">
        <v>0</v>
      </c>
      <c r="R724">
        <v>0</v>
      </c>
      <c r="S724">
        <v>0</v>
      </c>
      <c r="T724">
        <v>0</v>
      </c>
      <c r="U724">
        <v>0</v>
      </c>
      <c r="V724">
        <v>0</v>
      </c>
      <c r="W724">
        <v>0</v>
      </c>
      <c r="X724">
        <v>0</v>
      </c>
      <c r="Y724">
        <v>0</v>
      </c>
      <c r="Z724">
        <v>0</v>
      </c>
      <c r="AA724">
        <v>0</v>
      </c>
      <c r="AB724">
        <v>0</v>
      </c>
    </row>
    <row r="725" spans="1:28">
      <c r="A725">
        <v>0</v>
      </c>
      <c r="B725">
        <v>0</v>
      </c>
      <c r="C725">
        <v>0</v>
      </c>
      <c r="D725">
        <v>0</v>
      </c>
      <c r="E725">
        <v>0</v>
      </c>
      <c r="F725">
        <v>0</v>
      </c>
      <c r="G725">
        <v>0</v>
      </c>
      <c r="H725">
        <v>0</v>
      </c>
      <c r="I725">
        <v>0</v>
      </c>
      <c r="J725">
        <v>0</v>
      </c>
      <c r="K725">
        <v>0</v>
      </c>
      <c r="L725">
        <v>0</v>
      </c>
      <c r="M725">
        <v>0</v>
      </c>
      <c r="N725">
        <v>0</v>
      </c>
      <c r="O725">
        <v>0</v>
      </c>
      <c r="P725">
        <v>0</v>
      </c>
      <c r="Q725">
        <v>0</v>
      </c>
      <c r="R725">
        <v>0</v>
      </c>
      <c r="S725">
        <v>0</v>
      </c>
      <c r="T725">
        <v>0</v>
      </c>
      <c r="U725">
        <v>0</v>
      </c>
      <c r="V725">
        <v>0</v>
      </c>
      <c r="W725">
        <v>0</v>
      </c>
      <c r="X725">
        <v>0</v>
      </c>
      <c r="Y725">
        <v>0</v>
      </c>
      <c r="Z725">
        <v>0</v>
      </c>
      <c r="AA725">
        <v>0</v>
      </c>
      <c r="AB725">
        <v>0</v>
      </c>
    </row>
    <row r="726" spans="1:28">
      <c r="A726">
        <v>0</v>
      </c>
      <c r="B726">
        <v>0</v>
      </c>
      <c r="C726">
        <v>0</v>
      </c>
      <c r="D726">
        <v>0</v>
      </c>
      <c r="E726">
        <v>0</v>
      </c>
      <c r="F726">
        <v>0</v>
      </c>
      <c r="G726">
        <v>0</v>
      </c>
      <c r="H726">
        <v>0</v>
      </c>
      <c r="I726">
        <v>0</v>
      </c>
      <c r="J726">
        <v>0</v>
      </c>
      <c r="K726">
        <v>0</v>
      </c>
      <c r="L726">
        <v>0</v>
      </c>
      <c r="M726">
        <v>0</v>
      </c>
      <c r="N726">
        <v>0</v>
      </c>
      <c r="O726">
        <v>0</v>
      </c>
      <c r="P726">
        <v>0</v>
      </c>
      <c r="Q726">
        <v>0</v>
      </c>
      <c r="R726">
        <v>0</v>
      </c>
      <c r="S726">
        <v>0</v>
      </c>
      <c r="T726">
        <v>0</v>
      </c>
      <c r="U726">
        <v>0</v>
      </c>
      <c r="V726">
        <v>0</v>
      </c>
      <c r="W726">
        <v>0</v>
      </c>
      <c r="X726">
        <v>0</v>
      </c>
      <c r="Y726">
        <v>0</v>
      </c>
      <c r="Z726">
        <v>0</v>
      </c>
      <c r="AA726">
        <v>0</v>
      </c>
      <c r="AB726">
        <v>0</v>
      </c>
    </row>
    <row r="727" spans="1:28">
      <c r="A727">
        <v>0</v>
      </c>
      <c r="B727">
        <v>0</v>
      </c>
      <c r="C727">
        <v>0</v>
      </c>
      <c r="D727">
        <v>0</v>
      </c>
      <c r="E727">
        <v>0</v>
      </c>
      <c r="F727">
        <v>0</v>
      </c>
      <c r="G727">
        <v>0</v>
      </c>
      <c r="H727">
        <v>0</v>
      </c>
      <c r="I727">
        <v>0</v>
      </c>
      <c r="J727">
        <v>0</v>
      </c>
      <c r="K727">
        <v>0</v>
      </c>
      <c r="L727">
        <v>0</v>
      </c>
      <c r="M727">
        <v>0</v>
      </c>
      <c r="N727">
        <v>0</v>
      </c>
      <c r="O727">
        <v>0</v>
      </c>
      <c r="P727">
        <v>0</v>
      </c>
      <c r="Q727">
        <v>0</v>
      </c>
      <c r="R727">
        <v>0</v>
      </c>
      <c r="S727">
        <v>0</v>
      </c>
      <c r="T727">
        <v>0</v>
      </c>
      <c r="U727">
        <v>0</v>
      </c>
      <c r="V727">
        <v>0</v>
      </c>
      <c r="W727">
        <v>0</v>
      </c>
      <c r="X727">
        <v>0</v>
      </c>
      <c r="Y727">
        <v>0</v>
      </c>
      <c r="Z727">
        <v>0</v>
      </c>
      <c r="AA727">
        <v>0</v>
      </c>
      <c r="AB727">
        <v>0</v>
      </c>
    </row>
    <row r="728" spans="1:28">
      <c r="A728">
        <v>0</v>
      </c>
      <c r="B728">
        <v>0</v>
      </c>
      <c r="C728">
        <v>0</v>
      </c>
      <c r="D728">
        <v>0</v>
      </c>
      <c r="E728">
        <v>0</v>
      </c>
      <c r="F728">
        <v>0</v>
      </c>
      <c r="G728">
        <v>0</v>
      </c>
      <c r="H728">
        <v>0</v>
      </c>
      <c r="I728">
        <v>0</v>
      </c>
      <c r="J728">
        <v>0</v>
      </c>
      <c r="K728">
        <v>0</v>
      </c>
      <c r="L728">
        <v>0</v>
      </c>
      <c r="M728">
        <v>0</v>
      </c>
      <c r="N728">
        <v>0</v>
      </c>
      <c r="O728">
        <v>0</v>
      </c>
      <c r="P728">
        <v>0</v>
      </c>
      <c r="Q728">
        <v>0</v>
      </c>
      <c r="R728">
        <v>0</v>
      </c>
      <c r="S728">
        <v>0</v>
      </c>
      <c r="T728">
        <v>0</v>
      </c>
      <c r="U728">
        <v>0</v>
      </c>
      <c r="V728">
        <v>0</v>
      </c>
      <c r="W728">
        <v>0</v>
      </c>
      <c r="X728">
        <v>0</v>
      </c>
      <c r="Y728">
        <v>0</v>
      </c>
      <c r="Z728">
        <v>0</v>
      </c>
      <c r="AA728">
        <v>0</v>
      </c>
      <c r="AB728">
        <v>0</v>
      </c>
    </row>
    <row r="729" spans="1:28">
      <c r="A729">
        <v>0</v>
      </c>
      <c r="B729">
        <v>0</v>
      </c>
      <c r="C729">
        <v>0</v>
      </c>
      <c r="D729">
        <v>0</v>
      </c>
      <c r="E729">
        <v>0</v>
      </c>
      <c r="F729">
        <v>0</v>
      </c>
      <c r="G729">
        <v>0</v>
      </c>
      <c r="H729">
        <v>0</v>
      </c>
      <c r="I729">
        <v>0</v>
      </c>
      <c r="J729">
        <v>0</v>
      </c>
      <c r="K729">
        <v>0</v>
      </c>
      <c r="L729">
        <v>0</v>
      </c>
      <c r="M729">
        <v>0</v>
      </c>
      <c r="N729">
        <v>0</v>
      </c>
      <c r="O729">
        <v>0</v>
      </c>
      <c r="P729">
        <v>0</v>
      </c>
      <c r="Q729">
        <v>0</v>
      </c>
      <c r="R729">
        <v>0</v>
      </c>
      <c r="S729">
        <v>0</v>
      </c>
      <c r="T729">
        <v>0</v>
      </c>
      <c r="U729">
        <v>0</v>
      </c>
      <c r="V729">
        <v>0</v>
      </c>
      <c r="W729">
        <v>0</v>
      </c>
      <c r="X729">
        <v>0</v>
      </c>
      <c r="Y729">
        <v>0</v>
      </c>
      <c r="Z729">
        <v>0</v>
      </c>
      <c r="AA729">
        <v>0</v>
      </c>
      <c r="AB729">
        <v>0</v>
      </c>
    </row>
    <row r="730" spans="1:28">
      <c r="A730">
        <v>0</v>
      </c>
      <c r="B730">
        <v>0</v>
      </c>
      <c r="C730">
        <v>0</v>
      </c>
      <c r="D730">
        <v>0</v>
      </c>
      <c r="E730">
        <v>0</v>
      </c>
      <c r="F730">
        <v>0</v>
      </c>
      <c r="G730">
        <v>0</v>
      </c>
      <c r="H730">
        <v>0</v>
      </c>
      <c r="I730">
        <v>0</v>
      </c>
      <c r="J730">
        <v>0</v>
      </c>
      <c r="K730">
        <v>0</v>
      </c>
      <c r="L730">
        <v>0</v>
      </c>
      <c r="M730">
        <v>0</v>
      </c>
      <c r="N730">
        <v>0</v>
      </c>
      <c r="O730">
        <v>0</v>
      </c>
      <c r="P730">
        <v>0</v>
      </c>
      <c r="Q730">
        <v>0</v>
      </c>
      <c r="R730">
        <v>0</v>
      </c>
      <c r="S730">
        <v>0</v>
      </c>
      <c r="T730">
        <v>0</v>
      </c>
      <c r="U730">
        <v>0</v>
      </c>
      <c r="V730">
        <v>0</v>
      </c>
      <c r="W730">
        <v>0</v>
      </c>
      <c r="X730">
        <v>0</v>
      </c>
      <c r="Y730">
        <v>0</v>
      </c>
      <c r="Z730">
        <v>0</v>
      </c>
      <c r="AA730">
        <v>0</v>
      </c>
      <c r="AB730">
        <v>0</v>
      </c>
    </row>
    <row r="731" spans="1:28">
      <c r="A731">
        <v>0</v>
      </c>
      <c r="B731">
        <v>0</v>
      </c>
      <c r="C731">
        <v>0</v>
      </c>
      <c r="D731">
        <v>0</v>
      </c>
      <c r="E731">
        <v>0</v>
      </c>
      <c r="F731">
        <v>0</v>
      </c>
      <c r="G731">
        <v>0</v>
      </c>
      <c r="H731">
        <v>0</v>
      </c>
      <c r="I731">
        <v>0</v>
      </c>
      <c r="J731">
        <v>0</v>
      </c>
      <c r="K731">
        <v>0</v>
      </c>
      <c r="L731">
        <v>0</v>
      </c>
      <c r="M731">
        <v>0</v>
      </c>
      <c r="N731">
        <v>0</v>
      </c>
      <c r="O731">
        <v>0</v>
      </c>
      <c r="P731">
        <v>0</v>
      </c>
      <c r="Q731">
        <v>0</v>
      </c>
      <c r="R731">
        <v>0</v>
      </c>
      <c r="S731">
        <v>0</v>
      </c>
      <c r="T731">
        <v>0</v>
      </c>
      <c r="U731">
        <v>0</v>
      </c>
      <c r="V731">
        <v>0</v>
      </c>
      <c r="W731">
        <v>0</v>
      </c>
      <c r="X731">
        <v>0</v>
      </c>
      <c r="Y731">
        <v>0</v>
      </c>
      <c r="Z731">
        <v>0</v>
      </c>
      <c r="AA731">
        <v>0</v>
      </c>
      <c r="AB731">
        <v>0</v>
      </c>
    </row>
    <row r="732" spans="1:28">
      <c r="A732">
        <v>0</v>
      </c>
      <c r="B732">
        <v>0</v>
      </c>
      <c r="C732">
        <v>0</v>
      </c>
      <c r="D732">
        <v>0</v>
      </c>
      <c r="E732">
        <v>0</v>
      </c>
      <c r="F732">
        <v>0</v>
      </c>
      <c r="G732">
        <v>0</v>
      </c>
      <c r="H732">
        <v>0</v>
      </c>
      <c r="I732">
        <v>0</v>
      </c>
      <c r="J732">
        <v>0</v>
      </c>
      <c r="K732">
        <v>0</v>
      </c>
      <c r="L732">
        <v>0</v>
      </c>
      <c r="M732">
        <v>0</v>
      </c>
      <c r="N732">
        <v>0</v>
      </c>
      <c r="O732">
        <v>0</v>
      </c>
      <c r="P732">
        <v>0</v>
      </c>
      <c r="Q732">
        <v>0</v>
      </c>
      <c r="R732">
        <v>0</v>
      </c>
      <c r="S732">
        <v>0</v>
      </c>
      <c r="T732">
        <v>0</v>
      </c>
      <c r="U732">
        <v>0</v>
      </c>
      <c r="V732">
        <v>0</v>
      </c>
      <c r="W732">
        <v>0</v>
      </c>
      <c r="X732">
        <v>0</v>
      </c>
      <c r="Y732">
        <v>0</v>
      </c>
      <c r="Z732">
        <v>0</v>
      </c>
      <c r="AA732">
        <v>0</v>
      </c>
      <c r="AB732">
        <v>0</v>
      </c>
    </row>
    <row r="733" spans="1:28">
      <c r="A733">
        <v>0</v>
      </c>
      <c r="B733">
        <v>0</v>
      </c>
      <c r="C733">
        <v>0</v>
      </c>
      <c r="D733">
        <v>0</v>
      </c>
      <c r="E733">
        <v>0</v>
      </c>
      <c r="F733">
        <v>0</v>
      </c>
      <c r="G733">
        <v>0</v>
      </c>
      <c r="H733">
        <v>0</v>
      </c>
      <c r="I733">
        <v>0</v>
      </c>
      <c r="J733">
        <v>0</v>
      </c>
      <c r="K733">
        <v>0</v>
      </c>
      <c r="L733">
        <v>0</v>
      </c>
      <c r="M733">
        <v>0</v>
      </c>
      <c r="N733">
        <v>0</v>
      </c>
      <c r="O733">
        <v>0</v>
      </c>
      <c r="P733">
        <v>0</v>
      </c>
      <c r="Q733">
        <v>0</v>
      </c>
      <c r="R733">
        <v>0</v>
      </c>
      <c r="S733">
        <v>0</v>
      </c>
      <c r="T733">
        <v>0</v>
      </c>
      <c r="U733">
        <v>0</v>
      </c>
      <c r="V733">
        <v>0</v>
      </c>
      <c r="W733">
        <v>0</v>
      </c>
      <c r="X733">
        <v>0</v>
      </c>
      <c r="Y733">
        <v>0</v>
      </c>
      <c r="Z733">
        <v>0</v>
      </c>
      <c r="AA733">
        <v>0</v>
      </c>
      <c r="AB733">
        <v>0</v>
      </c>
    </row>
    <row r="734" spans="1:28">
      <c r="A734">
        <v>0</v>
      </c>
      <c r="B734">
        <v>0</v>
      </c>
      <c r="C734">
        <v>0</v>
      </c>
      <c r="D734">
        <v>0</v>
      </c>
      <c r="E734">
        <v>0</v>
      </c>
      <c r="F734">
        <v>0</v>
      </c>
      <c r="G734">
        <v>0</v>
      </c>
      <c r="H734">
        <v>0</v>
      </c>
      <c r="I734">
        <v>0</v>
      </c>
      <c r="J734">
        <v>0</v>
      </c>
      <c r="K734">
        <v>0</v>
      </c>
      <c r="L734">
        <v>0</v>
      </c>
      <c r="M734">
        <v>0</v>
      </c>
      <c r="N734">
        <v>0</v>
      </c>
      <c r="O734">
        <v>0</v>
      </c>
      <c r="P734">
        <v>0</v>
      </c>
      <c r="Q734">
        <v>0</v>
      </c>
      <c r="R734">
        <v>0</v>
      </c>
      <c r="S734">
        <v>0</v>
      </c>
      <c r="T734">
        <v>0</v>
      </c>
      <c r="U734">
        <v>0</v>
      </c>
      <c r="V734">
        <v>0</v>
      </c>
      <c r="W734">
        <v>0</v>
      </c>
      <c r="X734">
        <v>0</v>
      </c>
      <c r="Y734">
        <v>0</v>
      </c>
      <c r="Z734">
        <v>0</v>
      </c>
      <c r="AA734">
        <v>0</v>
      </c>
      <c r="AB734">
        <v>0</v>
      </c>
    </row>
    <row r="735" spans="1:28">
      <c r="A735">
        <v>0</v>
      </c>
      <c r="B735">
        <v>0</v>
      </c>
      <c r="C735">
        <v>0</v>
      </c>
      <c r="D735">
        <v>0</v>
      </c>
      <c r="E735">
        <v>0</v>
      </c>
      <c r="F735">
        <v>0</v>
      </c>
      <c r="G735">
        <v>0</v>
      </c>
      <c r="H735">
        <v>0</v>
      </c>
      <c r="I735">
        <v>0</v>
      </c>
      <c r="J735">
        <v>0</v>
      </c>
      <c r="K735">
        <v>0</v>
      </c>
      <c r="L735">
        <v>0</v>
      </c>
      <c r="M735">
        <v>0</v>
      </c>
      <c r="N735">
        <v>0</v>
      </c>
      <c r="O735">
        <v>0</v>
      </c>
      <c r="P735">
        <v>0</v>
      </c>
      <c r="Q735">
        <v>0</v>
      </c>
      <c r="R735">
        <v>0</v>
      </c>
      <c r="S735">
        <v>0</v>
      </c>
      <c r="T735">
        <v>0</v>
      </c>
      <c r="U735">
        <v>0</v>
      </c>
      <c r="V735">
        <v>0</v>
      </c>
      <c r="W735">
        <v>0</v>
      </c>
      <c r="X735">
        <v>0</v>
      </c>
      <c r="Y735">
        <v>0</v>
      </c>
      <c r="Z735">
        <v>0</v>
      </c>
      <c r="AA735">
        <v>0</v>
      </c>
      <c r="AB735">
        <v>0</v>
      </c>
    </row>
    <row r="736" spans="1:28">
      <c r="A736">
        <v>0</v>
      </c>
      <c r="B736">
        <v>0</v>
      </c>
      <c r="C736">
        <v>0</v>
      </c>
      <c r="D736">
        <v>0</v>
      </c>
      <c r="E736">
        <v>0</v>
      </c>
      <c r="F736">
        <v>0</v>
      </c>
      <c r="G736">
        <v>0</v>
      </c>
      <c r="H736">
        <v>0</v>
      </c>
      <c r="I736">
        <v>0</v>
      </c>
      <c r="J736">
        <v>0</v>
      </c>
      <c r="K736">
        <v>0</v>
      </c>
      <c r="L736">
        <v>0</v>
      </c>
      <c r="M736">
        <v>0</v>
      </c>
      <c r="N736">
        <v>0</v>
      </c>
      <c r="O736">
        <v>0</v>
      </c>
      <c r="P736">
        <v>0</v>
      </c>
      <c r="Q736">
        <v>0</v>
      </c>
      <c r="R736">
        <v>0</v>
      </c>
      <c r="S736">
        <v>0</v>
      </c>
      <c r="T736">
        <v>0</v>
      </c>
      <c r="U736">
        <v>0</v>
      </c>
      <c r="V736">
        <v>0</v>
      </c>
      <c r="W736">
        <v>0</v>
      </c>
      <c r="X736">
        <v>0</v>
      </c>
      <c r="Y736">
        <v>0</v>
      </c>
      <c r="Z736">
        <v>0</v>
      </c>
      <c r="AA736">
        <v>0</v>
      </c>
      <c r="AB736">
        <v>0</v>
      </c>
    </row>
    <row r="737" spans="1:28">
      <c r="A737">
        <v>0</v>
      </c>
      <c r="B737">
        <v>0</v>
      </c>
      <c r="C737">
        <v>0</v>
      </c>
      <c r="D737">
        <v>0</v>
      </c>
      <c r="E737">
        <v>0</v>
      </c>
      <c r="F737">
        <v>0</v>
      </c>
      <c r="G737">
        <v>0</v>
      </c>
      <c r="H737">
        <v>0</v>
      </c>
      <c r="I737">
        <v>0</v>
      </c>
      <c r="J737">
        <v>0</v>
      </c>
      <c r="K737">
        <v>0</v>
      </c>
      <c r="L737">
        <v>0</v>
      </c>
      <c r="M737">
        <v>0</v>
      </c>
      <c r="N737">
        <v>0</v>
      </c>
      <c r="O737">
        <v>0</v>
      </c>
      <c r="P737">
        <v>0</v>
      </c>
      <c r="Q737">
        <v>0</v>
      </c>
      <c r="R737">
        <v>0</v>
      </c>
      <c r="S737">
        <v>0</v>
      </c>
      <c r="T737">
        <v>0</v>
      </c>
      <c r="U737">
        <v>0</v>
      </c>
      <c r="V737">
        <v>0</v>
      </c>
      <c r="W737">
        <v>0</v>
      </c>
      <c r="X737">
        <v>0</v>
      </c>
      <c r="Y737">
        <v>0</v>
      </c>
      <c r="Z737">
        <v>0</v>
      </c>
      <c r="AA737">
        <v>0</v>
      </c>
      <c r="AB737">
        <v>0</v>
      </c>
    </row>
    <row r="738" spans="1:28">
      <c r="A738">
        <v>0</v>
      </c>
      <c r="B738">
        <v>0</v>
      </c>
      <c r="C738">
        <v>0</v>
      </c>
      <c r="D738">
        <v>0</v>
      </c>
      <c r="E738">
        <v>0</v>
      </c>
      <c r="F738">
        <v>0</v>
      </c>
      <c r="G738">
        <v>0</v>
      </c>
      <c r="H738">
        <v>0</v>
      </c>
      <c r="I738">
        <v>0</v>
      </c>
      <c r="J738">
        <v>0</v>
      </c>
      <c r="K738">
        <v>0</v>
      </c>
      <c r="L738">
        <v>0</v>
      </c>
      <c r="M738">
        <v>0</v>
      </c>
      <c r="N738">
        <v>0</v>
      </c>
      <c r="O738">
        <v>0</v>
      </c>
      <c r="P738">
        <v>0</v>
      </c>
      <c r="Q738">
        <v>0</v>
      </c>
      <c r="R738">
        <v>0</v>
      </c>
      <c r="S738">
        <v>0</v>
      </c>
      <c r="T738">
        <v>0</v>
      </c>
      <c r="U738">
        <v>0</v>
      </c>
      <c r="V738">
        <v>0</v>
      </c>
      <c r="W738">
        <v>0</v>
      </c>
      <c r="X738">
        <v>0</v>
      </c>
      <c r="Y738">
        <v>0</v>
      </c>
      <c r="Z738">
        <v>0</v>
      </c>
      <c r="AA738">
        <v>0</v>
      </c>
      <c r="AB738">
        <v>0</v>
      </c>
    </row>
    <row r="739" spans="1:28">
      <c r="A739">
        <v>0</v>
      </c>
      <c r="B739">
        <v>0</v>
      </c>
      <c r="C739">
        <v>0</v>
      </c>
      <c r="D739">
        <v>0</v>
      </c>
      <c r="E739">
        <v>0</v>
      </c>
      <c r="F739">
        <v>0</v>
      </c>
      <c r="G739">
        <v>0</v>
      </c>
      <c r="H739">
        <v>0</v>
      </c>
      <c r="I739">
        <v>0</v>
      </c>
      <c r="J739">
        <v>0</v>
      </c>
      <c r="K739">
        <v>0</v>
      </c>
      <c r="L739">
        <v>0</v>
      </c>
      <c r="M739">
        <v>0</v>
      </c>
      <c r="N739">
        <v>0</v>
      </c>
      <c r="O739">
        <v>0</v>
      </c>
      <c r="P739">
        <v>0</v>
      </c>
      <c r="Q739">
        <v>0</v>
      </c>
      <c r="R739">
        <v>0</v>
      </c>
      <c r="S739">
        <v>0</v>
      </c>
      <c r="T739">
        <v>0</v>
      </c>
      <c r="U739">
        <v>0</v>
      </c>
      <c r="V739">
        <v>0</v>
      </c>
      <c r="W739">
        <v>0</v>
      </c>
      <c r="X739">
        <v>0</v>
      </c>
      <c r="Y739">
        <v>0</v>
      </c>
      <c r="Z739">
        <v>0</v>
      </c>
      <c r="AA739">
        <v>0</v>
      </c>
      <c r="AB739">
        <v>0</v>
      </c>
    </row>
    <row r="740" spans="1:28">
      <c r="A740">
        <v>0</v>
      </c>
      <c r="B740">
        <v>0</v>
      </c>
      <c r="C740">
        <v>0</v>
      </c>
      <c r="D740">
        <v>0</v>
      </c>
      <c r="E740">
        <v>0</v>
      </c>
      <c r="F740">
        <v>0</v>
      </c>
      <c r="G740">
        <v>0</v>
      </c>
      <c r="H740">
        <v>0</v>
      </c>
      <c r="I740">
        <v>0</v>
      </c>
      <c r="J740">
        <v>0</v>
      </c>
      <c r="K740">
        <v>0</v>
      </c>
      <c r="L740">
        <v>0</v>
      </c>
      <c r="M740">
        <v>0</v>
      </c>
      <c r="N740">
        <v>0</v>
      </c>
      <c r="O740">
        <v>0</v>
      </c>
      <c r="P740">
        <v>0</v>
      </c>
      <c r="Q740">
        <v>0</v>
      </c>
      <c r="R740">
        <v>0</v>
      </c>
      <c r="S740">
        <v>0</v>
      </c>
      <c r="T740">
        <v>0</v>
      </c>
      <c r="U740">
        <v>0</v>
      </c>
      <c r="V740">
        <v>0</v>
      </c>
      <c r="W740">
        <v>0</v>
      </c>
      <c r="X740">
        <v>0</v>
      </c>
      <c r="Y740">
        <v>0</v>
      </c>
      <c r="Z740">
        <v>0</v>
      </c>
      <c r="AA740">
        <v>0</v>
      </c>
      <c r="AB740">
        <v>0</v>
      </c>
    </row>
    <row r="741" spans="1:28">
      <c r="A741">
        <v>0</v>
      </c>
      <c r="B741">
        <v>0</v>
      </c>
      <c r="C741">
        <v>0</v>
      </c>
      <c r="D741">
        <v>0</v>
      </c>
      <c r="E741">
        <v>0</v>
      </c>
      <c r="F741">
        <v>0</v>
      </c>
      <c r="G741">
        <v>0</v>
      </c>
      <c r="H741">
        <v>0</v>
      </c>
      <c r="I741">
        <v>0</v>
      </c>
      <c r="J741">
        <v>0</v>
      </c>
      <c r="K741">
        <v>0</v>
      </c>
      <c r="L741">
        <v>0</v>
      </c>
      <c r="M741">
        <v>0</v>
      </c>
      <c r="N741">
        <v>0</v>
      </c>
      <c r="O741">
        <v>0</v>
      </c>
      <c r="P741">
        <v>0</v>
      </c>
      <c r="Q741">
        <v>0</v>
      </c>
      <c r="R741">
        <v>0</v>
      </c>
      <c r="S741">
        <v>0</v>
      </c>
      <c r="T741">
        <v>0</v>
      </c>
      <c r="U741">
        <v>0</v>
      </c>
      <c r="V741">
        <v>0</v>
      </c>
      <c r="W741">
        <v>0</v>
      </c>
      <c r="X741">
        <v>0</v>
      </c>
      <c r="Y741">
        <v>0</v>
      </c>
      <c r="Z741">
        <v>0</v>
      </c>
      <c r="AA741">
        <v>0</v>
      </c>
      <c r="AB741">
        <v>0</v>
      </c>
    </row>
    <row r="742" spans="1:28">
      <c r="A742">
        <v>0</v>
      </c>
      <c r="B742">
        <v>0</v>
      </c>
      <c r="C742">
        <v>0</v>
      </c>
      <c r="D742">
        <v>0</v>
      </c>
      <c r="E742">
        <v>0</v>
      </c>
      <c r="F742">
        <v>0</v>
      </c>
      <c r="G742">
        <v>0</v>
      </c>
      <c r="H742">
        <v>0</v>
      </c>
      <c r="I742">
        <v>0</v>
      </c>
      <c r="J742">
        <v>0</v>
      </c>
      <c r="K742">
        <v>0</v>
      </c>
      <c r="L742">
        <v>0</v>
      </c>
      <c r="M742">
        <v>0</v>
      </c>
      <c r="N742">
        <v>0</v>
      </c>
      <c r="O742">
        <v>0</v>
      </c>
      <c r="P742">
        <v>0</v>
      </c>
      <c r="Q742">
        <v>0</v>
      </c>
      <c r="R742">
        <v>0</v>
      </c>
      <c r="S742">
        <v>0</v>
      </c>
      <c r="T742">
        <v>0</v>
      </c>
      <c r="U742">
        <v>0</v>
      </c>
      <c r="V742">
        <v>0</v>
      </c>
      <c r="W742">
        <v>0</v>
      </c>
      <c r="X742">
        <v>0</v>
      </c>
      <c r="Y742">
        <v>0</v>
      </c>
      <c r="Z742">
        <v>0</v>
      </c>
      <c r="AA742">
        <v>0</v>
      </c>
      <c r="AB742">
        <v>0</v>
      </c>
    </row>
    <row r="743" spans="1:28">
      <c r="A743">
        <v>0</v>
      </c>
      <c r="B743">
        <v>0</v>
      </c>
      <c r="C743">
        <v>0</v>
      </c>
      <c r="D743">
        <v>0</v>
      </c>
      <c r="E743">
        <v>0</v>
      </c>
      <c r="F743">
        <v>0</v>
      </c>
      <c r="G743">
        <v>0</v>
      </c>
      <c r="H743">
        <v>0</v>
      </c>
      <c r="I743">
        <v>0</v>
      </c>
      <c r="J743">
        <v>0</v>
      </c>
      <c r="K743">
        <v>0</v>
      </c>
      <c r="L743">
        <v>0</v>
      </c>
      <c r="M743">
        <v>0</v>
      </c>
      <c r="N743">
        <v>0</v>
      </c>
      <c r="O743">
        <v>0</v>
      </c>
      <c r="P743">
        <v>0</v>
      </c>
      <c r="Q743">
        <v>0</v>
      </c>
      <c r="R743">
        <v>0</v>
      </c>
      <c r="S743">
        <v>0</v>
      </c>
      <c r="T743">
        <v>0</v>
      </c>
      <c r="U743">
        <v>0</v>
      </c>
      <c r="V743">
        <v>0</v>
      </c>
      <c r="W743">
        <v>0</v>
      </c>
      <c r="X743">
        <v>0</v>
      </c>
      <c r="Y743">
        <v>0</v>
      </c>
      <c r="Z743">
        <v>0</v>
      </c>
      <c r="AA743">
        <v>0</v>
      </c>
      <c r="AB743">
        <v>0</v>
      </c>
    </row>
    <row r="744" spans="1:28">
      <c r="A744">
        <v>0</v>
      </c>
      <c r="B744">
        <v>0</v>
      </c>
      <c r="C744">
        <v>0</v>
      </c>
      <c r="D744">
        <v>0</v>
      </c>
      <c r="E744">
        <v>0</v>
      </c>
      <c r="F744">
        <v>0</v>
      </c>
      <c r="G744">
        <v>0</v>
      </c>
      <c r="H744">
        <v>0</v>
      </c>
      <c r="I744">
        <v>0</v>
      </c>
      <c r="J744">
        <v>0</v>
      </c>
      <c r="K744">
        <v>0</v>
      </c>
      <c r="L744">
        <v>0</v>
      </c>
      <c r="M744">
        <v>0</v>
      </c>
      <c r="N744">
        <v>0</v>
      </c>
      <c r="O744">
        <v>0</v>
      </c>
      <c r="P744">
        <v>0</v>
      </c>
      <c r="Q744">
        <v>0</v>
      </c>
      <c r="R744">
        <v>0</v>
      </c>
      <c r="S744">
        <v>0</v>
      </c>
      <c r="T744">
        <v>0</v>
      </c>
      <c r="U744">
        <v>0</v>
      </c>
      <c r="V744">
        <v>0</v>
      </c>
      <c r="W744">
        <v>0</v>
      </c>
      <c r="X744">
        <v>0</v>
      </c>
      <c r="Y744">
        <v>0</v>
      </c>
      <c r="Z744">
        <v>0</v>
      </c>
      <c r="AA744">
        <v>0</v>
      </c>
      <c r="AB744">
        <v>0</v>
      </c>
    </row>
    <row r="745" spans="1:28">
      <c r="A745">
        <v>0</v>
      </c>
      <c r="B745">
        <v>0</v>
      </c>
      <c r="C745">
        <v>0</v>
      </c>
      <c r="D745">
        <v>0</v>
      </c>
      <c r="E745">
        <v>0</v>
      </c>
      <c r="F745">
        <v>0</v>
      </c>
      <c r="G745">
        <v>0</v>
      </c>
      <c r="H745">
        <v>0</v>
      </c>
      <c r="I745">
        <v>0</v>
      </c>
      <c r="J745">
        <v>0</v>
      </c>
      <c r="K745">
        <v>0</v>
      </c>
      <c r="L745">
        <v>0</v>
      </c>
      <c r="M745">
        <v>0</v>
      </c>
      <c r="N745">
        <v>0</v>
      </c>
      <c r="O745">
        <v>0</v>
      </c>
      <c r="P745">
        <v>0</v>
      </c>
      <c r="Q745">
        <v>0</v>
      </c>
      <c r="R745">
        <v>0</v>
      </c>
      <c r="S745">
        <v>0</v>
      </c>
      <c r="T745">
        <v>0</v>
      </c>
      <c r="U745">
        <v>0</v>
      </c>
      <c r="V745">
        <v>0</v>
      </c>
      <c r="W745">
        <v>0</v>
      </c>
      <c r="X745">
        <v>0</v>
      </c>
      <c r="Y745">
        <v>0</v>
      </c>
      <c r="Z745">
        <v>0</v>
      </c>
      <c r="AA745">
        <v>0</v>
      </c>
      <c r="AB745">
        <v>0</v>
      </c>
    </row>
    <row r="746" spans="1:28">
      <c r="A746">
        <v>0</v>
      </c>
      <c r="B746">
        <v>0</v>
      </c>
      <c r="C746">
        <v>0</v>
      </c>
      <c r="D746">
        <v>0</v>
      </c>
      <c r="E746">
        <v>0</v>
      </c>
      <c r="F746">
        <v>0</v>
      </c>
      <c r="G746">
        <v>0</v>
      </c>
      <c r="H746">
        <v>0</v>
      </c>
      <c r="I746">
        <v>0</v>
      </c>
      <c r="J746">
        <v>0</v>
      </c>
      <c r="K746">
        <v>0</v>
      </c>
      <c r="L746">
        <v>0</v>
      </c>
      <c r="M746">
        <v>0</v>
      </c>
      <c r="N746">
        <v>0</v>
      </c>
      <c r="O746">
        <v>0</v>
      </c>
      <c r="P746">
        <v>0</v>
      </c>
      <c r="Q746">
        <v>0</v>
      </c>
      <c r="R746">
        <v>0</v>
      </c>
      <c r="S746">
        <v>0</v>
      </c>
      <c r="T746">
        <v>0</v>
      </c>
      <c r="U746">
        <v>0</v>
      </c>
      <c r="V746">
        <v>0</v>
      </c>
      <c r="W746">
        <v>0</v>
      </c>
      <c r="X746">
        <v>0</v>
      </c>
      <c r="Y746">
        <v>0</v>
      </c>
      <c r="Z746">
        <v>0</v>
      </c>
      <c r="AA746">
        <v>0</v>
      </c>
      <c r="AB746">
        <v>0</v>
      </c>
    </row>
    <row r="747" spans="1:28">
      <c r="A747">
        <v>0</v>
      </c>
      <c r="B747">
        <v>0</v>
      </c>
      <c r="C747">
        <v>0</v>
      </c>
      <c r="D747">
        <v>0</v>
      </c>
      <c r="E747">
        <v>0</v>
      </c>
      <c r="F747">
        <v>0</v>
      </c>
      <c r="G747">
        <v>0</v>
      </c>
      <c r="H747">
        <v>0</v>
      </c>
      <c r="I747">
        <v>0</v>
      </c>
      <c r="J747">
        <v>0</v>
      </c>
      <c r="K747">
        <v>0</v>
      </c>
      <c r="L747">
        <v>0</v>
      </c>
      <c r="M747">
        <v>0</v>
      </c>
      <c r="N747">
        <v>0</v>
      </c>
      <c r="O747">
        <v>0</v>
      </c>
      <c r="P747">
        <v>0</v>
      </c>
      <c r="Q747">
        <v>0</v>
      </c>
      <c r="R747">
        <v>0</v>
      </c>
      <c r="S747">
        <v>0</v>
      </c>
      <c r="T747">
        <v>0</v>
      </c>
      <c r="U747">
        <v>0</v>
      </c>
      <c r="V747">
        <v>0</v>
      </c>
      <c r="W747">
        <v>0</v>
      </c>
      <c r="X747">
        <v>0</v>
      </c>
      <c r="Y747">
        <v>0</v>
      </c>
      <c r="Z747">
        <v>0</v>
      </c>
      <c r="AA747">
        <v>0</v>
      </c>
      <c r="AB747">
        <v>0</v>
      </c>
    </row>
    <row r="748" spans="1:28">
      <c r="A748">
        <v>0</v>
      </c>
      <c r="B748">
        <v>0</v>
      </c>
      <c r="C748">
        <v>0</v>
      </c>
      <c r="D748">
        <v>0</v>
      </c>
      <c r="E748">
        <v>0</v>
      </c>
      <c r="F748">
        <v>0</v>
      </c>
      <c r="G748">
        <v>0</v>
      </c>
      <c r="H748">
        <v>0</v>
      </c>
      <c r="I748">
        <v>0</v>
      </c>
      <c r="J748">
        <v>0</v>
      </c>
      <c r="K748">
        <v>0</v>
      </c>
      <c r="L748">
        <v>0</v>
      </c>
      <c r="M748">
        <v>0</v>
      </c>
      <c r="N748">
        <v>0</v>
      </c>
      <c r="O748">
        <v>0</v>
      </c>
      <c r="P748">
        <v>0</v>
      </c>
      <c r="Q748">
        <v>0</v>
      </c>
      <c r="R748">
        <v>0</v>
      </c>
      <c r="S748">
        <v>0</v>
      </c>
      <c r="T748">
        <v>0</v>
      </c>
      <c r="U748">
        <v>0</v>
      </c>
      <c r="V748">
        <v>0</v>
      </c>
      <c r="W748">
        <v>0</v>
      </c>
      <c r="X748">
        <v>0</v>
      </c>
      <c r="Y748">
        <v>0</v>
      </c>
      <c r="Z748">
        <v>0</v>
      </c>
      <c r="AA748">
        <v>0</v>
      </c>
      <c r="AB748">
        <v>0</v>
      </c>
    </row>
    <row r="749" spans="1:28">
      <c r="A749">
        <v>0</v>
      </c>
      <c r="B749">
        <v>0</v>
      </c>
      <c r="C749">
        <v>0</v>
      </c>
      <c r="D749">
        <v>0</v>
      </c>
      <c r="E749">
        <v>0</v>
      </c>
      <c r="F749">
        <v>0</v>
      </c>
      <c r="G749">
        <v>0</v>
      </c>
      <c r="H749">
        <v>0</v>
      </c>
      <c r="I749">
        <v>0</v>
      </c>
      <c r="J749">
        <v>0</v>
      </c>
      <c r="K749">
        <v>0</v>
      </c>
      <c r="L749">
        <v>0</v>
      </c>
      <c r="M749">
        <v>0</v>
      </c>
      <c r="N749">
        <v>0</v>
      </c>
      <c r="O749">
        <v>0</v>
      </c>
      <c r="P749">
        <v>0</v>
      </c>
      <c r="Q749">
        <v>0</v>
      </c>
      <c r="R749">
        <v>0</v>
      </c>
      <c r="S749">
        <v>0</v>
      </c>
      <c r="T749">
        <v>0</v>
      </c>
      <c r="U749">
        <v>0</v>
      </c>
      <c r="V749">
        <v>0</v>
      </c>
      <c r="W749">
        <v>0</v>
      </c>
      <c r="X749">
        <v>0</v>
      </c>
      <c r="Y749">
        <v>0</v>
      </c>
      <c r="Z749">
        <v>0</v>
      </c>
      <c r="AA749">
        <v>0</v>
      </c>
      <c r="AB749">
        <v>0</v>
      </c>
    </row>
    <row r="750" spans="1:28">
      <c r="A750">
        <v>0</v>
      </c>
      <c r="B750">
        <v>0</v>
      </c>
      <c r="C750">
        <v>0</v>
      </c>
      <c r="D750">
        <v>0</v>
      </c>
      <c r="E750">
        <v>0</v>
      </c>
      <c r="F750">
        <v>0</v>
      </c>
      <c r="G750">
        <v>0</v>
      </c>
      <c r="H750">
        <v>0</v>
      </c>
      <c r="I750">
        <v>0</v>
      </c>
      <c r="J750">
        <v>0</v>
      </c>
      <c r="K750">
        <v>0</v>
      </c>
      <c r="L750">
        <v>0</v>
      </c>
      <c r="M750">
        <v>0</v>
      </c>
      <c r="N750">
        <v>0</v>
      </c>
      <c r="O750">
        <v>0</v>
      </c>
      <c r="P750">
        <v>0</v>
      </c>
      <c r="Q750">
        <v>0</v>
      </c>
      <c r="R750">
        <v>0</v>
      </c>
      <c r="S750">
        <v>0</v>
      </c>
      <c r="T750">
        <v>0</v>
      </c>
      <c r="U750">
        <v>0</v>
      </c>
      <c r="V750">
        <v>0</v>
      </c>
      <c r="W750">
        <v>0</v>
      </c>
      <c r="X750">
        <v>0</v>
      </c>
      <c r="Y750">
        <v>0</v>
      </c>
      <c r="Z750">
        <v>0</v>
      </c>
      <c r="AA750">
        <v>0</v>
      </c>
      <c r="AB750">
        <v>0</v>
      </c>
    </row>
    <row r="751" spans="1:28">
      <c r="A751">
        <v>0</v>
      </c>
      <c r="B751">
        <v>0</v>
      </c>
      <c r="C751">
        <v>0</v>
      </c>
      <c r="D751">
        <v>0</v>
      </c>
      <c r="E751">
        <v>0</v>
      </c>
      <c r="F751">
        <v>0</v>
      </c>
      <c r="G751">
        <v>0</v>
      </c>
      <c r="H751">
        <v>0</v>
      </c>
      <c r="I751">
        <v>0</v>
      </c>
      <c r="J751">
        <v>0</v>
      </c>
      <c r="K751">
        <v>0</v>
      </c>
      <c r="L751">
        <v>0</v>
      </c>
      <c r="M751">
        <v>0</v>
      </c>
      <c r="N751">
        <v>0</v>
      </c>
      <c r="O751">
        <v>0</v>
      </c>
      <c r="P751">
        <v>0</v>
      </c>
      <c r="Q751">
        <v>0</v>
      </c>
      <c r="R751">
        <v>0</v>
      </c>
      <c r="S751">
        <v>0</v>
      </c>
      <c r="T751">
        <v>0</v>
      </c>
      <c r="U751">
        <v>0</v>
      </c>
      <c r="V751">
        <v>0</v>
      </c>
      <c r="W751">
        <v>0</v>
      </c>
      <c r="X751">
        <v>0</v>
      </c>
      <c r="Y751">
        <v>0</v>
      </c>
      <c r="Z751">
        <v>0</v>
      </c>
      <c r="AA751">
        <v>0</v>
      </c>
      <c r="AB751">
        <v>0</v>
      </c>
    </row>
    <row r="752" spans="1:28">
      <c r="A752">
        <v>0</v>
      </c>
      <c r="B752">
        <v>0</v>
      </c>
      <c r="C752">
        <v>0</v>
      </c>
      <c r="D752">
        <v>0</v>
      </c>
      <c r="E752">
        <v>0</v>
      </c>
      <c r="F752">
        <v>0</v>
      </c>
      <c r="G752">
        <v>0</v>
      </c>
      <c r="H752">
        <v>0</v>
      </c>
      <c r="I752">
        <v>0</v>
      </c>
      <c r="J752">
        <v>0</v>
      </c>
      <c r="K752">
        <v>0</v>
      </c>
      <c r="L752">
        <v>0</v>
      </c>
      <c r="M752">
        <v>0</v>
      </c>
      <c r="N752">
        <v>0</v>
      </c>
      <c r="O752">
        <v>0</v>
      </c>
      <c r="P752">
        <v>0</v>
      </c>
      <c r="Q752">
        <v>0</v>
      </c>
      <c r="R752">
        <v>0</v>
      </c>
      <c r="S752">
        <v>0</v>
      </c>
      <c r="T752">
        <v>0</v>
      </c>
      <c r="U752">
        <v>0</v>
      </c>
      <c r="V752">
        <v>0</v>
      </c>
      <c r="W752">
        <v>0</v>
      </c>
      <c r="X752">
        <v>0</v>
      </c>
      <c r="Y752">
        <v>0</v>
      </c>
      <c r="Z752">
        <v>0</v>
      </c>
      <c r="AA752">
        <v>0</v>
      </c>
      <c r="AB752">
        <v>0</v>
      </c>
    </row>
    <row r="753" spans="1:28">
      <c r="A753">
        <v>0</v>
      </c>
      <c r="B753">
        <v>0</v>
      </c>
      <c r="C753">
        <v>0</v>
      </c>
      <c r="D753">
        <v>0</v>
      </c>
      <c r="E753">
        <v>0</v>
      </c>
      <c r="F753">
        <v>0</v>
      </c>
      <c r="G753">
        <v>0</v>
      </c>
      <c r="H753">
        <v>0</v>
      </c>
      <c r="I753">
        <v>0</v>
      </c>
      <c r="J753">
        <v>0</v>
      </c>
      <c r="K753">
        <v>0</v>
      </c>
      <c r="L753">
        <v>0</v>
      </c>
      <c r="M753">
        <v>0</v>
      </c>
      <c r="N753">
        <v>0</v>
      </c>
      <c r="O753">
        <v>0</v>
      </c>
      <c r="P753">
        <v>0</v>
      </c>
      <c r="Q753">
        <v>0</v>
      </c>
      <c r="R753">
        <v>0</v>
      </c>
      <c r="S753">
        <v>0</v>
      </c>
      <c r="T753">
        <v>0</v>
      </c>
      <c r="U753">
        <v>0</v>
      </c>
      <c r="V753">
        <v>0</v>
      </c>
      <c r="W753">
        <v>0</v>
      </c>
      <c r="X753">
        <v>0</v>
      </c>
      <c r="Y753">
        <v>0</v>
      </c>
      <c r="Z753">
        <v>0</v>
      </c>
      <c r="AA753">
        <v>0</v>
      </c>
      <c r="AB753">
        <v>0</v>
      </c>
    </row>
    <row r="754" spans="1:28">
      <c r="A754">
        <v>0</v>
      </c>
      <c r="B754">
        <v>0</v>
      </c>
      <c r="C754">
        <v>0</v>
      </c>
      <c r="D754">
        <v>0</v>
      </c>
      <c r="E754">
        <v>0</v>
      </c>
      <c r="F754">
        <v>0</v>
      </c>
      <c r="G754">
        <v>0</v>
      </c>
      <c r="H754">
        <v>0</v>
      </c>
      <c r="I754">
        <v>0</v>
      </c>
      <c r="J754">
        <v>0</v>
      </c>
      <c r="K754">
        <v>0</v>
      </c>
      <c r="L754">
        <v>0</v>
      </c>
      <c r="M754">
        <v>0</v>
      </c>
      <c r="N754">
        <v>0</v>
      </c>
      <c r="O754">
        <v>0</v>
      </c>
      <c r="P754">
        <v>0</v>
      </c>
      <c r="Q754">
        <v>0</v>
      </c>
      <c r="R754">
        <v>0</v>
      </c>
      <c r="S754">
        <v>0</v>
      </c>
      <c r="T754">
        <v>0</v>
      </c>
      <c r="U754">
        <v>0</v>
      </c>
      <c r="V754">
        <v>0</v>
      </c>
      <c r="W754">
        <v>0</v>
      </c>
      <c r="X754">
        <v>0</v>
      </c>
      <c r="Y754">
        <v>0</v>
      </c>
      <c r="Z754">
        <v>0</v>
      </c>
      <c r="AA754">
        <v>0</v>
      </c>
      <c r="AB754">
        <v>0</v>
      </c>
    </row>
    <row r="755" spans="1:28">
      <c r="A755">
        <v>0</v>
      </c>
      <c r="B755">
        <v>0</v>
      </c>
      <c r="C755">
        <v>0</v>
      </c>
      <c r="D755">
        <v>0</v>
      </c>
      <c r="E755">
        <v>0</v>
      </c>
      <c r="F755">
        <v>0</v>
      </c>
      <c r="G755">
        <v>0</v>
      </c>
      <c r="H755">
        <v>0</v>
      </c>
      <c r="I755">
        <v>0</v>
      </c>
      <c r="J755">
        <v>0</v>
      </c>
      <c r="K755">
        <v>0</v>
      </c>
      <c r="L755">
        <v>0</v>
      </c>
      <c r="M755">
        <v>0</v>
      </c>
      <c r="N755">
        <v>0</v>
      </c>
      <c r="O755">
        <v>0</v>
      </c>
      <c r="P755">
        <v>0</v>
      </c>
      <c r="Q755">
        <v>0</v>
      </c>
      <c r="R755">
        <v>0</v>
      </c>
      <c r="S755">
        <v>0</v>
      </c>
      <c r="T755">
        <v>0</v>
      </c>
      <c r="U755">
        <v>0</v>
      </c>
      <c r="V755">
        <v>0</v>
      </c>
      <c r="W755">
        <v>0</v>
      </c>
      <c r="X755">
        <v>0</v>
      </c>
      <c r="Y755">
        <v>0</v>
      </c>
      <c r="Z755">
        <v>0</v>
      </c>
      <c r="AA755">
        <v>0</v>
      </c>
      <c r="AB755">
        <v>0</v>
      </c>
    </row>
    <row r="756" spans="1:28">
      <c r="A756">
        <v>0</v>
      </c>
      <c r="B756">
        <v>0</v>
      </c>
      <c r="C756">
        <v>0</v>
      </c>
      <c r="D756">
        <v>0</v>
      </c>
      <c r="E756">
        <v>0</v>
      </c>
      <c r="F756">
        <v>0</v>
      </c>
      <c r="G756">
        <v>0</v>
      </c>
      <c r="H756">
        <v>0</v>
      </c>
      <c r="I756">
        <v>0</v>
      </c>
      <c r="J756">
        <v>0</v>
      </c>
      <c r="K756">
        <v>0</v>
      </c>
      <c r="L756">
        <v>0</v>
      </c>
      <c r="M756">
        <v>0</v>
      </c>
      <c r="N756">
        <v>0</v>
      </c>
      <c r="O756">
        <v>0</v>
      </c>
      <c r="P756">
        <v>0</v>
      </c>
      <c r="Q756">
        <v>0</v>
      </c>
      <c r="R756">
        <v>0</v>
      </c>
      <c r="S756">
        <v>0</v>
      </c>
      <c r="T756">
        <v>0</v>
      </c>
      <c r="U756">
        <v>0</v>
      </c>
      <c r="V756">
        <v>0</v>
      </c>
      <c r="W756">
        <v>0</v>
      </c>
      <c r="X756">
        <v>0</v>
      </c>
      <c r="Y756">
        <v>0</v>
      </c>
      <c r="Z756">
        <v>0</v>
      </c>
      <c r="AA756">
        <v>0</v>
      </c>
      <c r="AB756">
        <v>0</v>
      </c>
    </row>
    <row r="757" spans="1:28">
      <c r="A757">
        <v>0</v>
      </c>
      <c r="B757">
        <v>0</v>
      </c>
      <c r="C757">
        <v>0</v>
      </c>
      <c r="D757">
        <v>0</v>
      </c>
      <c r="E757">
        <v>0</v>
      </c>
      <c r="F757">
        <v>0</v>
      </c>
      <c r="G757">
        <v>0</v>
      </c>
      <c r="H757">
        <v>0</v>
      </c>
      <c r="I757">
        <v>0</v>
      </c>
      <c r="J757">
        <v>0</v>
      </c>
      <c r="K757">
        <v>0</v>
      </c>
      <c r="L757">
        <v>0</v>
      </c>
      <c r="M757">
        <v>0</v>
      </c>
      <c r="N757">
        <v>0</v>
      </c>
      <c r="O757">
        <v>0</v>
      </c>
      <c r="P757">
        <v>0</v>
      </c>
      <c r="Q757">
        <v>0</v>
      </c>
      <c r="R757">
        <v>0</v>
      </c>
      <c r="S757">
        <v>0</v>
      </c>
      <c r="T757">
        <v>0</v>
      </c>
      <c r="U757">
        <v>0</v>
      </c>
      <c r="V757">
        <v>0</v>
      </c>
      <c r="W757">
        <v>0</v>
      </c>
      <c r="X757">
        <v>0</v>
      </c>
      <c r="Y757">
        <v>0</v>
      </c>
      <c r="Z757">
        <v>0</v>
      </c>
      <c r="AA757">
        <v>0</v>
      </c>
      <c r="AB757">
        <v>0</v>
      </c>
    </row>
    <row r="758" spans="1:28">
      <c r="A758">
        <v>0</v>
      </c>
      <c r="B758">
        <v>0</v>
      </c>
      <c r="C758">
        <v>0</v>
      </c>
      <c r="D758">
        <v>0</v>
      </c>
      <c r="E758">
        <v>0</v>
      </c>
      <c r="F758">
        <v>0</v>
      </c>
      <c r="G758">
        <v>0</v>
      </c>
      <c r="H758">
        <v>0</v>
      </c>
      <c r="I758">
        <v>0</v>
      </c>
      <c r="J758">
        <v>0</v>
      </c>
      <c r="K758">
        <v>0</v>
      </c>
      <c r="L758">
        <v>0</v>
      </c>
      <c r="M758">
        <v>0</v>
      </c>
      <c r="N758">
        <v>0</v>
      </c>
      <c r="O758">
        <v>0</v>
      </c>
      <c r="P758">
        <v>0</v>
      </c>
      <c r="Q758">
        <v>0</v>
      </c>
      <c r="R758">
        <v>0</v>
      </c>
      <c r="S758">
        <v>0</v>
      </c>
      <c r="T758">
        <v>0</v>
      </c>
      <c r="U758">
        <v>0</v>
      </c>
      <c r="V758">
        <v>0</v>
      </c>
      <c r="W758">
        <v>0</v>
      </c>
      <c r="X758">
        <v>0</v>
      </c>
      <c r="Y758">
        <v>0</v>
      </c>
      <c r="Z758">
        <v>0</v>
      </c>
      <c r="AA758">
        <v>0</v>
      </c>
      <c r="AB758">
        <v>0</v>
      </c>
    </row>
    <row r="759" spans="1:28">
      <c r="A759">
        <v>0</v>
      </c>
      <c r="B759">
        <v>0</v>
      </c>
      <c r="C759">
        <v>0</v>
      </c>
      <c r="D759">
        <v>0</v>
      </c>
      <c r="E759">
        <v>0</v>
      </c>
      <c r="F759">
        <v>0</v>
      </c>
      <c r="G759">
        <v>0</v>
      </c>
      <c r="H759">
        <v>0</v>
      </c>
      <c r="I759">
        <v>0</v>
      </c>
      <c r="J759">
        <v>0</v>
      </c>
      <c r="K759">
        <v>0</v>
      </c>
      <c r="L759">
        <v>0</v>
      </c>
      <c r="M759">
        <v>0</v>
      </c>
      <c r="N759">
        <v>0</v>
      </c>
      <c r="O759">
        <v>0</v>
      </c>
      <c r="P759">
        <v>0</v>
      </c>
      <c r="Q759">
        <v>0</v>
      </c>
      <c r="R759">
        <v>0</v>
      </c>
      <c r="S759">
        <v>0</v>
      </c>
      <c r="T759">
        <v>0</v>
      </c>
      <c r="U759">
        <v>0</v>
      </c>
      <c r="V759">
        <v>0</v>
      </c>
      <c r="W759">
        <v>0</v>
      </c>
      <c r="X759">
        <v>0</v>
      </c>
      <c r="Y759">
        <v>0</v>
      </c>
      <c r="Z759">
        <v>0</v>
      </c>
      <c r="AA759">
        <v>0</v>
      </c>
      <c r="AB759">
        <v>0</v>
      </c>
    </row>
    <row r="760" spans="1:28">
      <c r="A760">
        <v>0</v>
      </c>
      <c r="B760">
        <v>0</v>
      </c>
      <c r="C760">
        <v>0</v>
      </c>
      <c r="D760">
        <v>0</v>
      </c>
      <c r="E760">
        <v>0</v>
      </c>
      <c r="F760">
        <v>0</v>
      </c>
      <c r="G760">
        <v>0</v>
      </c>
      <c r="H760">
        <v>0</v>
      </c>
      <c r="I760">
        <v>0</v>
      </c>
      <c r="J760">
        <v>0</v>
      </c>
      <c r="K760">
        <v>0</v>
      </c>
      <c r="L760">
        <v>0</v>
      </c>
      <c r="M760">
        <v>0</v>
      </c>
      <c r="N760">
        <v>0</v>
      </c>
      <c r="O760">
        <v>0</v>
      </c>
      <c r="P760">
        <v>0</v>
      </c>
      <c r="Q760">
        <v>0</v>
      </c>
      <c r="R760">
        <v>0</v>
      </c>
      <c r="S760">
        <v>0</v>
      </c>
      <c r="T760">
        <v>0</v>
      </c>
      <c r="U760">
        <v>0</v>
      </c>
      <c r="V760">
        <v>0</v>
      </c>
      <c r="W760">
        <v>0</v>
      </c>
      <c r="X760">
        <v>0</v>
      </c>
      <c r="Y760">
        <v>0</v>
      </c>
      <c r="Z760">
        <v>0</v>
      </c>
      <c r="AA760">
        <v>0</v>
      </c>
      <c r="AB760">
        <v>0</v>
      </c>
    </row>
    <row r="761" spans="1:28">
      <c r="A761">
        <v>0</v>
      </c>
      <c r="B761">
        <v>0</v>
      </c>
      <c r="C761">
        <v>0</v>
      </c>
      <c r="D761">
        <v>0</v>
      </c>
      <c r="E761">
        <v>0</v>
      </c>
      <c r="F761">
        <v>0</v>
      </c>
      <c r="G761">
        <v>0</v>
      </c>
      <c r="H761">
        <v>0</v>
      </c>
      <c r="I761">
        <v>0</v>
      </c>
      <c r="J761">
        <v>0</v>
      </c>
      <c r="K761">
        <v>0</v>
      </c>
      <c r="L761">
        <v>0</v>
      </c>
      <c r="M761">
        <v>0</v>
      </c>
      <c r="N761">
        <v>0</v>
      </c>
      <c r="O761">
        <v>0</v>
      </c>
      <c r="P761">
        <v>0</v>
      </c>
      <c r="Q761">
        <v>0</v>
      </c>
      <c r="R761">
        <v>0</v>
      </c>
      <c r="S761">
        <v>0</v>
      </c>
      <c r="T761">
        <v>0</v>
      </c>
      <c r="U761">
        <v>0</v>
      </c>
      <c r="V761">
        <v>0</v>
      </c>
      <c r="W761">
        <v>0</v>
      </c>
      <c r="X761">
        <v>0</v>
      </c>
      <c r="Y761">
        <v>0</v>
      </c>
      <c r="Z761">
        <v>0</v>
      </c>
      <c r="AA761">
        <v>0</v>
      </c>
      <c r="AB761">
        <v>0</v>
      </c>
    </row>
    <row r="762" spans="1:28">
      <c r="A762">
        <v>0</v>
      </c>
      <c r="B762">
        <v>0</v>
      </c>
      <c r="C762">
        <v>0</v>
      </c>
      <c r="D762">
        <v>0</v>
      </c>
      <c r="E762">
        <v>0</v>
      </c>
      <c r="F762">
        <v>0</v>
      </c>
      <c r="G762">
        <v>0</v>
      </c>
      <c r="H762">
        <v>0</v>
      </c>
      <c r="I762">
        <v>0</v>
      </c>
      <c r="J762">
        <v>0</v>
      </c>
      <c r="K762">
        <v>0</v>
      </c>
      <c r="L762">
        <v>0</v>
      </c>
      <c r="M762">
        <v>0</v>
      </c>
      <c r="N762">
        <v>0</v>
      </c>
      <c r="O762">
        <v>0</v>
      </c>
      <c r="P762">
        <v>0</v>
      </c>
      <c r="Q762">
        <v>0</v>
      </c>
      <c r="R762">
        <v>0</v>
      </c>
      <c r="S762">
        <v>0</v>
      </c>
      <c r="T762">
        <v>0</v>
      </c>
      <c r="U762">
        <v>0</v>
      </c>
      <c r="V762">
        <v>0</v>
      </c>
      <c r="W762">
        <v>0</v>
      </c>
      <c r="X762">
        <v>0</v>
      </c>
      <c r="Y762">
        <v>0</v>
      </c>
      <c r="Z762">
        <v>0</v>
      </c>
      <c r="AA762">
        <v>0</v>
      </c>
      <c r="AB762">
        <v>0</v>
      </c>
    </row>
    <row r="763" spans="1:28">
      <c r="A763">
        <v>0</v>
      </c>
      <c r="B763">
        <v>0</v>
      </c>
      <c r="C763">
        <v>0</v>
      </c>
      <c r="D763">
        <v>0</v>
      </c>
      <c r="E763">
        <v>0</v>
      </c>
      <c r="F763">
        <v>0</v>
      </c>
      <c r="G763">
        <v>0</v>
      </c>
      <c r="H763">
        <v>0</v>
      </c>
      <c r="I763">
        <v>0</v>
      </c>
      <c r="J763">
        <v>0</v>
      </c>
      <c r="K763">
        <v>0</v>
      </c>
      <c r="L763">
        <v>0</v>
      </c>
      <c r="M763">
        <v>0</v>
      </c>
      <c r="N763">
        <v>0</v>
      </c>
      <c r="O763">
        <v>0</v>
      </c>
      <c r="P763">
        <v>0</v>
      </c>
      <c r="Q763">
        <v>0</v>
      </c>
      <c r="R763">
        <v>0</v>
      </c>
      <c r="S763">
        <v>0</v>
      </c>
      <c r="T763">
        <v>0</v>
      </c>
      <c r="U763">
        <v>0</v>
      </c>
      <c r="V763">
        <v>0</v>
      </c>
      <c r="W763">
        <v>0</v>
      </c>
      <c r="X763">
        <v>0</v>
      </c>
      <c r="Y763">
        <v>0</v>
      </c>
      <c r="Z763">
        <v>0</v>
      </c>
      <c r="AA763">
        <v>0</v>
      </c>
      <c r="AB763">
        <v>0</v>
      </c>
    </row>
    <row r="764" spans="1:28">
      <c r="A764">
        <v>0</v>
      </c>
      <c r="B764">
        <v>0</v>
      </c>
      <c r="C764">
        <v>0</v>
      </c>
      <c r="D764">
        <v>0</v>
      </c>
      <c r="E764">
        <v>0</v>
      </c>
      <c r="F764">
        <v>0</v>
      </c>
      <c r="G764">
        <v>0</v>
      </c>
      <c r="H764">
        <v>0</v>
      </c>
      <c r="I764">
        <v>0</v>
      </c>
      <c r="J764">
        <v>0</v>
      </c>
      <c r="K764">
        <v>0</v>
      </c>
      <c r="L764">
        <v>0</v>
      </c>
      <c r="M764">
        <v>0</v>
      </c>
      <c r="N764">
        <v>0</v>
      </c>
      <c r="O764">
        <v>0</v>
      </c>
      <c r="P764">
        <v>0</v>
      </c>
      <c r="Q764">
        <v>0</v>
      </c>
      <c r="R764">
        <v>0</v>
      </c>
      <c r="S764">
        <v>0</v>
      </c>
      <c r="T764">
        <v>0</v>
      </c>
      <c r="U764">
        <v>0</v>
      </c>
      <c r="V764">
        <v>0</v>
      </c>
      <c r="W764">
        <v>0</v>
      </c>
      <c r="X764">
        <v>0</v>
      </c>
      <c r="Y764">
        <v>0</v>
      </c>
      <c r="Z764">
        <v>0</v>
      </c>
      <c r="AA764">
        <v>0</v>
      </c>
      <c r="AB764">
        <v>0</v>
      </c>
    </row>
    <row r="765" spans="1:28">
      <c r="A765">
        <v>0</v>
      </c>
      <c r="B765">
        <v>0</v>
      </c>
      <c r="C765">
        <v>0</v>
      </c>
      <c r="D765">
        <v>0</v>
      </c>
      <c r="E765">
        <v>0</v>
      </c>
      <c r="F765">
        <v>0</v>
      </c>
      <c r="G765">
        <v>0</v>
      </c>
      <c r="H765">
        <v>0</v>
      </c>
      <c r="I765">
        <v>0</v>
      </c>
      <c r="J765">
        <v>0</v>
      </c>
      <c r="K765">
        <v>0</v>
      </c>
      <c r="L765">
        <v>0</v>
      </c>
      <c r="M765">
        <v>0</v>
      </c>
      <c r="N765">
        <v>0</v>
      </c>
      <c r="O765">
        <v>0</v>
      </c>
      <c r="P765">
        <v>0</v>
      </c>
      <c r="Q765">
        <v>0</v>
      </c>
      <c r="R765">
        <v>0</v>
      </c>
      <c r="S765">
        <v>0</v>
      </c>
      <c r="T765">
        <v>0</v>
      </c>
      <c r="U765">
        <v>0</v>
      </c>
      <c r="V765">
        <v>0</v>
      </c>
      <c r="W765">
        <v>0</v>
      </c>
      <c r="X765">
        <v>0</v>
      </c>
      <c r="Y765">
        <v>0</v>
      </c>
      <c r="Z765">
        <v>0</v>
      </c>
      <c r="AA765">
        <v>0</v>
      </c>
      <c r="AB765">
        <v>0</v>
      </c>
    </row>
    <row r="766" spans="1:28">
      <c r="A766">
        <v>0</v>
      </c>
      <c r="B766">
        <v>0</v>
      </c>
      <c r="C766">
        <v>0</v>
      </c>
      <c r="D766">
        <v>0</v>
      </c>
      <c r="E766">
        <v>0</v>
      </c>
      <c r="F766">
        <v>0</v>
      </c>
      <c r="G766">
        <v>0</v>
      </c>
      <c r="H766">
        <v>0</v>
      </c>
      <c r="I766">
        <v>0</v>
      </c>
      <c r="J766">
        <v>0</v>
      </c>
      <c r="K766">
        <v>0</v>
      </c>
      <c r="L766">
        <v>0</v>
      </c>
      <c r="M766">
        <v>0</v>
      </c>
      <c r="N766">
        <v>0</v>
      </c>
      <c r="O766">
        <v>0</v>
      </c>
      <c r="P766">
        <v>0</v>
      </c>
      <c r="Q766">
        <v>0</v>
      </c>
      <c r="R766">
        <v>0</v>
      </c>
      <c r="S766">
        <v>0</v>
      </c>
      <c r="T766">
        <v>0</v>
      </c>
      <c r="U766">
        <v>0</v>
      </c>
      <c r="V766">
        <v>0</v>
      </c>
      <c r="W766">
        <v>0</v>
      </c>
      <c r="X766">
        <v>0</v>
      </c>
      <c r="Y766">
        <v>0</v>
      </c>
      <c r="Z766">
        <v>0</v>
      </c>
      <c r="AA766">
        <v>0</v>
      </c>
      <c r="AB766">
        <v>0</v>
      </c>
    </row>
    <row r="767" spans="1:28">
      <c r="A767">
        <v>0</v>
      </c>
      <c r="B767">
        <v>0</v>
      </c>
      <c r="C767">
        <v>0</v>
      </c>
      <c r="D767">
        <v>0</v>
      </c>
      <c r="E767">
        <v>0</v>
      </c>
      <c r="F767">
        <v>0</v>
      </c>
      <c r="G767">
        <v>0</v>
      </c>
      <c r="H767">
        <v>0</v>
      </c>
      <c r="I767">
        <v>0</v>
      </c>
      <c r="J767">
        <v>0</v>
      </c>
      <c r="K767">
        <v>0</v>
      </c>
      <c r="L767">
        <v>0</v>
      </c>
      <c r="M767">
        <v>0</v>
      </c>
      <c r="N767">
        <v>0</v>
      </c>
      <c r="O767">
        <v>0</v>
      </c>
      <c r="P767">
        <v>0</v>
      </c>
      <c r="Q767">
        <v>0</v>
      </c>
      <c r="R767">
        <v>0</v>
      </c>
      <c r="S767">
        <v>0</v>
      </c>
      <c r="T767">
        <v>0</v>
      </c>
      <c r="U767">
        <v>0</v>
      </c>
      <c r="V767">
        <v>0</v>
      </c>
      <c r="W767">
        <v>0</v>
      </c>
      <c r="X767">
        <v>0</v>
      </c>
      <c r="Y767">
        <v>0</v>
      </c>
      <c r="Z767">
        <v>0</v>
      </c>
      <c r="AA767">
        <v>0</v>
      </c>
      <c r="AB767">
        <v>0</v>
      </c>
    </row>
    <row r="768" spans="1:28">
      <c r="A768">
        <v>0</v>
      </c>
      <c r="B768">
        <v>0</v>
      </c>
      <c r="C768">
        <v>0</v>
      </c>
      <c r="D768">
        <v>0</v>
      </c>
      <c r="E768">
        <v>0</v>
      </c>
      <c r="F768">
        <v>0</v>
      </c>
      <c r="G768">
        <v>0</v>
      </c>
      <c r="H768">
        <v>0</v>
      </c>
      <c r="I768">
        <v>0</v>
      </c>
      <c r="J768">
        <v>0</v>
      </c>
      <c r="K768">
        <v>0</v>
      </c>
      <c r="L768">
        <v>0</v>
      </c>
      <c r="M768">
        <v>0</v>
      </c>
      <c r="N768">
        <v>0</v>
      </c>
      <c r="O768">
        <v>0</v>
      </c>
      <c r="P768">
        <v>0</v>
      </c>
      <c r="Q768">
        <v>0</v>
      </c>
      <c r="R768">
        <v>0</v>
      </c>
      <c r="S768">
        <v>0</v>
      </c>
      <c r="T768">
        <v>0</v>
      </c>
      <c r="U768">
        <v>0</v>
      </c>
      <c r="V768">
        <v>0</v>
      </c>
      <c r="W768">
        <v>0</v>
      </c>
      <c r="X768">
        <v>0</v>
      </c>
      <c r="Y768">
        <v>0</v>
      </c>
      <c r="Z768">
        <v>0</v>
      </c>
      <c r="AA768">
        <v>0</v>
      </c>
      <c r="AB768">
        <v>0</v>
      </c>
    </row>
    <row r="769" spans="1:28">
      <c r="A769">
        <v>0</v>
      </c>
      <c r="B769">
        <v>0</v>
      </c>
      <c r="C769">
        <v>0</v>
      </c>
      <c r="D769">
        <v>0</v>
      </c>
      <c r="E769">
        <v>0</v>
      </c>
      <c r="F769">
        <v>0</v>
      </c>
      <c r="G769">
        <v>0</v>
      </c>
      <c r="H769">
        <v>0</v>
      </c>
      <c r="I769">
        <v>0</v>
      </c>
      <c r="J769">
        <v>0</v>
      </c>
      <c r="K769">
        <v>0</v>
      </c>
      <c r="L769">
        <v>0</v>
      </c>
      <c r="M769">
        <v>0</v>
      </c>
      <c r="N769">
        <v>0</v>
      </c>
      <c r="O769">
        <v>0</v>
      </c>
      <c r="P769">
        <v>0</v>
      </c>
      <c r="Q769">
        <v>0</v>
      </c>
      <c r="R769">
        <v>0</v>
      </c>
      <c r="S769">
        <v>0</v>
      </c>
      <c r="T769">
        <v>0</v>
      </c>
      <c r="U769">
        <v>0</v>
      </c>
      <c r="V769">
        <v>0</v>
      </c>
      <c r="W769">
        <v>0</v>
      </c>
      <c r="X769">
        <v>0</v>
      </c>
      <c r="Y769">
        <v>0</v>
      </c>
      <c r="Z769">
        <v>0</v>
      </c>
      <c r="AA769">
        <v>0</v>
      </c>
      <c r="AB769">
        <v>0</v>
      </c>
    </row>
    <row r="770" spans="1:28">
      <c r="A770">
        <v>0</v>
      </c>
      <c r="B770">
        <v>0</v>
      </c>
      <c r="C770">
        <v>0</v>
      </c>
      <c r="D770">
        <v>0</v>
      </c>
      <c r="E770">
        <v>0</v>
      </c>
      <c r="F770">
        <v>0</v>
      </c>
      <c r="G770">
        <v>0</v>
      </c>
      <c r="H770">
        <v>0</v>
      </c>
      <c r="I770">
        <v>0</v>
      </c>
      <c r="J770">
        <v>0</v>
      </c>
      <c r="K770">
        <v>0</v>
      </c>
      <c r="L770">
        <v>0</v>
      </c>
      <c r="M770">
        <v>0</v>
      </c>
      <c r="N770">
        <v>0</v>
      </c>
      <c r="O770">
        <v>0</v>
      </c>
      <c r="P770">
        <v>0</v>
      </c>
      <c r="Q770">
        <v>0</v>
      </c>
      <c r="R770">
        <v>0</v>
      </c>
      <c r="S770">
        <v>0</v>
      </c>
      <c r="T770">
        <v>0</v>
      </c>
      <c r="U770">
        <v>0</v>
      </c>
      <c r="V770">
        <v>0</v>
      </c>
      <c r="W770">
        <v>0</v>
      </c>
      <c r="X770">
        <v>0</v>
      </c>
      <c r="Y770">
        <v>0</v>
      </c>
      <c r="Z770">
        <v>0</v>
      </c>
      <c r="AA770">
        <v>0</v>
      </c>
      <c r="AB770">
        <v>0</v>
      </c>
    </row>
    <row r="771" spans="1:28">
      <c r="A771">
        <v>0</v>
      </c>
      <c r="B771">
        <v>0</v>
      </c>
      <c r="C771">
        <v>0</v>
      </c>
      <c r="D771">
        <v>0</v>
      </c>
      <c r="E771">
        <v>0</v>
      </c>
      <c r="F771">
        <v>0</v>
      </c>
      <c r="G771">
        <v>0</v>
      </c>
      <c r="H771">
        <v>0</v>
      </c>
      <c r="I771">
        <v>0</v>
      </c>
      <c r="J771">
        <v>0</v>
      </c>
      <c r="K771">
        <v>0</v>
      </c>
      <c r="L771">
        <v>0</v>
      </c>
      <c r="M771">
        <v>0</v>
      </c>
      <c r="N771">
        <v>0</v>
      </c>
      <c r="O771">
        <v>0</v>
      </c>
      <c r="P771">
        <v>0</v>
      </c>
      <c r="Q771">
        <v>0</v>
      </c>
      <c r="R771">
        <v>0</v>
      </c>
      <c r="S771">
        <v>0</v>
      </c>
      <c r="T771">
        <v>0</v>
      </c>
      <c r="U771">
        <v>0</v>
      </c>
      <c r="V771">
        <v>0</v>
      </c>
      <c r="W771">
        <v>0</v>
      </c>
      <c r="X771">
        <v>0</v>
      </c>
      <c r="Y771">
        <v>0</v>
      </c>
      <c r="Z771">
        <v>0</v>
      </c>
      <c r="AA771">
        <v>0</v>
      </c>
      <c r="AB771">
        <v>0</v>
      </c>
    </row>
    <row r="772" spans="1:28">
      <c r="A772">
        <v>0</v>
      </c>
      <c r="B772">
        <v>0</v>
      </c>
      <c r="C772">
        <v>0</v>
      </c>
      <c r="D772">
        <v>0</v>
      </c>
      <c r="E772">
        <v>0</v>
      </c>
      <c r="F772">
        <v>0</v>
      </c>
      <c r="G772">
        <v>0</v>
      </c>
      <c r="H772">
        <v>0</v>
      </c>
      <c r="I772">
        <v>0</v>
      </c>
      <c r="J772">
        <v>0</v>
      </c>
      <c r="K772">
        <v>0</v>
      </c>
      <c r="L772">
        <v>0</v>
      </c>
      <c r="M772">
        <v>0</v>
      </c>
      <c r="N772">
        <v>0</v>
      </c>
      <c r="O772">
        <v>0</v>
      </c>
      <c r="P772">
        <v>0</v>
      </c>
      <c r="Q772">
        <v>0</v>
      </c>
      <c r="R772">
        <v>0</v>
      </c>
      <c r="S772">
        <v>0</v>
      </c>
      <c r="T772">
        <v>0</v>
      </c>
      <c r="U772">
        <v>0</v>
      </c>
      <c r="V772">
        <v>0</v>
      </c>
      <c r="W772">
        <v>0</v>
      </c>
      <c r="X772">
        <v>0</v>
      </c>
      <c r="Y772">
        <v>0</v>
      </c>
      <c r="Z772">
        <v>0</v>
      </c>
      <c r="AA772">
        <v>0</v>
      </c>
      <c r="AB772">
        <v>0</v>
      </c>
    </row>
    <row r="773" spans="1:28">
      <c r="A773">
        <v>0</v>
      </c>
      <c r="B773">
        <v>0</v>
      </c>
      <c r="C773">
        <v>0</v>
      </c>
      <c r="D773">
        <v>0</v>
      </c>
      <c r="E773">
        <v>0</v>
      </c>
      <c r="F773">
        <v>0</v>
      </c>
      <c r="G773">
        <v>0</v>
      </c>
      <c r="H773">
        <v>0</v>
      </c>
      <c r="I773">
        <v>0</v>
      </c>
      <c r="J773">
        <v>0</v>
      </c>
      <c r="K773">
        <v>0</v>
      </c>
      <c r="L773">
        <v>0</v>
      </c>
      <c r="M773">
        <v>0</v>
      </c>
      <c r="N773">
        <v>0</v>
      </c>
      <c r="O773">
        <v>0</v>
      </c>
      <c r="P773">
        <v>0</v>
      </c>
      <c r="Q773">
        <v>0</v>
      </c>
      <c r="R773">
        <v>0</v>
      </c>
      <c r="S773">
        <v>0</v>
      </c>
      <c r="T773">
        <v>0</v>
      </c>
      <c r="U773">
        <v>0</v>
      </c>
      <c r="V773">
        <v>0</v>
      </c>
      <c r="W773">
        <v>0</v>
      </c>
      <c r="X773">
        <v>0</v>
      </c>
      <c r="Y773">
        <v>0</v>
      </c>
      <c r="Z773">
        <v>0</v>
      </c>
      <c r="AA773">
        <v>0</v>
      </c>
      <c r="AB773">
        <v>0</v>
      </c>
    </row>
    <row r="774" spans="1:28">
      <c r="A774">
        <v>0</v>
      </c>
      <c r="B774">
        <v>0</v>
      </c>
      <c r="C774">
        <v>0</v>
      </c>
      <c r="D774">
        <v>0</v>
      </c>
      <c r="E774">
        <v>0</v>
      </c>
      <c r="F774">
        <v>0</v>
      </c>
      <c r="G774">
        <v>0</v>
      </c>
      <c r="H774">
        <v>0</v>
      </c>
      <c r="I774">
        <v>0</v>
      </c>
      <c r="J774">
        <v>0</v>
      </c>
      <c r="K774">
        <v>0</v>
      </c>
      <c r="L774">
        <v>0</v>
      </c>
      <c r="M774">
        <v>0</v>
      </c>
      <c r="N774">
        <v>0</v>
      </c>
      <c r="O774">
        <v>0</v>
      </c>
      <c r="P774">
        <v>0</v>
      </c>
      <c r="Q774">
        <v>0</v>
      </c>
      <c r="R774">
        <v>0</v>
      </c>
      <c r="S774">
        <v>0</v>
      </c>
      <c r="T774">
        <v>0</v>
      </c>
      <c r="U774">
        <v>0</v>
      </c>
      <c r="V774">
        <v>0</v>
      </c>
      <c r="W774">
        <v>0</v>
      </c>
      <c r="X774">
        <v>0</v>
      </c>
      <c r="Y774">
        <v>0</v>
      </c>
      <c r="Z774">
        <v>0</v>
      </c>
      <c r="AA774">
        <v>0</v>
      </c>
      <c r="AB774">
        <v>0</v>
      </c>
    </row>
    <row r="775" spans="1:28">
      <c r="A775">
        <v>0</v>
      </c>
      <c r="B775">
        <v>0</v>
      </c>
      <c r="C775">
        <v>0</v>
      </c>
      <c r="D775">
        <v>0</v>
      </c>
      <c r="E775">
        <v>0</v>
      </c>
      <c r="F775">
        <v>0</v>
      </c>
      <c r="G775">
        <v>0</v>
      </c>
      <c r="H775">
        <v>0</v>
      </c>
      <c r="I775">
        <v>0</v>
      </c>
      <c r="J775">
        <v>0</v>
      </c>
      <c r="K775">
        <v>0</v>
      </c>
      <c r="L775">
        <v>0</v>
      </c>
      <c r="M775">
        <v>0</v>
      </c>
      <c r="N775">
        <v>0</v>
      </c>
      <c r="O775">
        <v>0</v>
      </c>
      <c r="P775">
        <v>0</v>
      </c>
      <c r="Q775">
        <v>0</v>
      </c>
      <c r="R775">
        <v>0</v>
      </c>
      <c r="S775">
        <v>0</v>
      </c>
      <c r="T775">
        <v>0</v>
      </c>
      <c r="U775">
        <v>0</v>
      </c>
      <c r="V775">
        <v>0</v>
      </c>
      <c r="W775">
        <v>0</v>
      </c>
      <c r="X775">
        <v>0</v>
      </c>
      <c r="Y775">
        <v>0</v>
      </c>
      <c r="Z775">
        <v>0</v>
      </c>
      <c r="AA775">
        <v>0</v>
      </c>
      <c r="AB775">
        <v>0</v>
      </c>
    </row>
    <row r="776" spans="1:28">
      <c r="A776">
        <v>0</v>
      </c>
      <c r="B776">
        <v>0</v>
      </c>
      <c r="C776">
        <v>0</v>
      </c>
      <c r="D776">
        <v>0</v>
      </c>
      <c r="E776">
        <v>0</v>
      </c>
      <c r="F776">
        <v>0</v>
      </c>
      <c r="G776">
        <v>0</v>
      </c>
      <c r="H776">
        <v>0</v>
      </c>
      <c r="I776">
        <v>0</v>
      </c>
      <c r="J776">
        <v>0</v>
      </c>
      <c r="K776">
        <v>0</v>
      </c>
      <c r="L776">
        <v>0</v>
      </c>
      <c r="M776">
        <v>0</v>
      </c>
      <c r="N776">
        <v>0</v>
      </c>
      <c r="O776">
        <v>0</v>
      </c>
      <c r="P776">
        <v>0</v>
      </c>
      <c r="Q776">
        <v>0</v>
      </c>
      <c r="R776">
        <v>0</v>
      </c>
      <c r="S776">
        <v>0</v>
      </c>
      <c r="T776">
        <v>0</v>
      </c>
      <c r="U776">
        <v>0</v>
      </c>
      <c r="V776">
        <v>0</v>
      </c>
      <c r="W776">
        <v>0</v>
      </c>
      <c r="X776">
        <v>0</v>
      </c>
      <c r="Y776">
        <v>0</v>
      </c>
      <c r="Z776">
        <v>0</v>
      </c>
      <c r="AA776">
        <v>0</v>
      </c>
      <c r="AB776">
        <v>0</v>
      </c>
    </row>
    <row r="777" spans="1:28">
      <c r="A777">
        <v>0</v>
      </c>
      <c r="B777">
        <v>0</v>
      </c>
      <c r="C777">
        <v>0</v>
      </c>
      <c r="D777">
        <v>0</v>
      </c>
      <c r="E777">
        <v>0</v>
      </c>
      <c r="F777">
        <v>0</v>
      </c>
      <c r="G777">
        <v>0</v>
      </c>
      <c r="H777">
        <v>0</v>
      </c>
      <c r="I777">
        <v>0</v>
      </c>
      <c r="J777">
        <v>0</v>
      </c>
      <c r="K777">
        <v>0</v>
      </c>
      <c r="L777">
        <v>0</v>
      </c>
      <c r="M777">
        <v>0</v>
      </c>
      <c r="N777">
        <v>0</v>
      </c>
      <c r="O777">
        <v>0</v>
      </c>
      <c r="P777">
        <v>0</v>
      </c>
      <c r="Q777">
        <v>0</v>
      </c>
      <c r="R777">
        <v>0</v>
      </c>
      <c r="S777">
        <v>0</v>
      </c>
      <c r="T777">
        <v>0</v>
      </c>
      <c r="U777">
        <v>0</v>
      </c>
      <c r="V777">
        <v>0</v>
      </c>
      <c r="W777">
        <v>0</v>
      </c>
      <c r="X777">
        <v>0</v>
      </c>
      <c r="Y777">
        <v>0</v>
      </c>
      <c r="Z777">
        <v>0</v>
      </c>
      <c r="AA777">
        <v>0</v>
      </c>
      <c r="AB777">
        <v>0</v>
      </c>
    </row>
    <row r="778" spans="1:28">
      <c r="A778">
        <v>0</v>
      </c>
      <c r="B778">
        <v>0</v>
      </c>
      <c r="C778">
        <v>0</v>
      </c>
      <c r="D778">
        <v>0</v>
      </c>
      <c r="E778">
        <v>0</v>
      </c>
      <c r="F778">
        <v>0</v>
      </c>
      <c r="G778">
        <v>0</v>
      </c>
      <c r="H778">
        <v>0</v>
      </c>
      <c r="I778">
        <v>0</v>
      </c>
      <c r="J778">
        <v>0</v>
      </c>
      <c r="K778">
        <v>0</v>
      </c>
      <c r="L778">
        <v>0</v>
      </c>
      <c r="M778">
        <v>0</v>
      </c>
      <c r="N778">
        <v>0</v>
      </c>
      <c r="O778">
        <v>0</v>
      </c>
      <c r="P778">
        <v>0</v>
      </c>
      <c r="Q778">
        <v>0</v>
      </c>
      <c r="R778">
        <v>0</v>
      </c>
      <c r="S778">
        <v>0</v>
      </c>
      <c r="T778">
        <v>0</v>
      </c>
      <c r="U778">
        <v>0</v>
      </c>
      <c r="V778">
        <v>0</v>
      </c>
      <c r="W778">
        <v>0</v>
      </c>
      <c r="X778">
        <v>0</v>
      </c>
      <c r="Y778">
        <v>0</v>
      </c>
      <c r="Z778">
        <v>0</v>
      </c>
      <c r="AA778">
        <v>0</v>
      </c>
      <c r="AB778">
        <v>0</v>
      </c>
    </row>
    <row r="779" spans="1:28">
      <c r="A779">
        <v>0</v>
      </c>
      <c r="B779">
        <v>0</v>
      </c>
      <c r="C779">
        <v>0</v>
      </c>
      <c r="D779">
        <v>0</v>
      </c>
      <c r="E779">
        <v>0</v>
      </c>
      <c r="F779">
        <v>0</v>
      </c>
      <c r="G779">
        <v>0</v>
      </c>
      <c r="H779">
        <v>0</v>
      </c>
      <c r="I779">
        <v>0</v>
      </c>
      <c r="J779">
        <v>0</v>
      </c>
      <c r="K779">
        <v>0</v>
      </c>
      <c r="L779">
        <v>0</v>
      </c>
      <c r="M779">
        <v>0</v>
      </c>
      <c r="N779">
        <v>0</v>
      </c>
      <c r="O779">
        <v>0</v>
      </c>
      <c r="P779">
        <v>0</v>
      </c>
      <c r="Q779">
        <v>0</v>
      </c>
      <c r="R779">
        <v>0</v>
      </c>
      <c r="S779">
        <v>0</v>
      </c>
      <c r="T779">
        <v>0</v>
      </c>
      <c r="U779">
        <v>0</v>
      </c>
      <c r="V779">
        <v>0</v>
      </c>
      <c r="W779">
        <v>0</v>
      </c>
      <c r="X779">
        <v>0</v>
      </c>
      <c r="Y779">
        <v>0</v>
      </c>
      <c r="Z779">
        <v>0</v>
      </c>
      <c r="AA779">
        <v>0</v>
      </c>
      <c r="AB779">
        <v>0</v>
      </c>
    </row>
    <row r="780" spans="1:28">
      <c r="A780">
        <v>0</v>
      </c>
      <c r="B780">
        <v>0</v>
      </c>
      <c r="C780">
        <v>0</v>
      </c>
      <c r="D780">
        <v>0</v>
      </c>
      <c r="E780">
        <v>0</v>
      </c>
      <c r="F780">
        <v>0</v>
      </c>
      <c r="G780">
        <v>0</v>
      </c>
      <c r="H780">
        <v>0</v>
      </c>
      <c r="I780">
        <v>0</v>
      </c>
      <c r="J780">
        <v>0</v>
      </c>
      <c r="K780">
        <v>0</v>
      </c>
      <c r="L780">
        <v>0</v>
      </c>
      <c r="M780">
        <v>0</v>
      </c>
      <c r="N780">
        <v>0</v>
      </c>
      <c r="O780">
        <v>0</v>
      </c>
      <c r="P780">
        <v>0</v>
      </c>
      <c r="Q780">
        <v>0</v>
      </c>
      <c r="R780">
        <v>0</v>
      </c>
      <c r="S780">
        <v>0</v>
      </c>
      <c r="T780">
        <v>0</v>
      </c>
      <c r="U780">
        <v>0</v>
      </c>
      <c r="V780">
        <v>0</v>
      </c>
      <c r="W780">
        <v>0</v>
      </c>
      <c r="X780">
        <v>0</v>
      </c>
      <c r="Y780">
        <v>0</v>
      </c>
      <c r="Z780">
        <v>0</v>
      </c>
      <c r="AA780">
        <v>0</v>
      </c>
      <c r="AB780">
        <v>0</v>
      </c>
    </row>
    <row r="781" spans="1:28">
      <c r="A781">
        <v>0</v>
      </c>
      <c r="B781">
        <v>0</v>
      </c>
      <c r="C781">
        <v>0</v>
      </c>
      <c r="D781">
        <v>0</v>
      </c>
      <c r="E781">
        <v>0</v>
      </c>
      <c r="F781">
        <v>0</v>
      </c>
      <c r="G781">
        <v>0</v>
      </c>
      <c r="H781">
        <v>0</v>
      </c>
      <c r="I781">
        <v>0</v>
      </c>
      <c r="J781">
        <v>0</v>
      </c>
      <c r="K781">
        <v>0</v>
      </c>
      <c r="L781">
        <v>0</v>
      </c>
      <c r="M781">
        <v>0</v>
      </c>
      <c r="N781">
        <v>0</v>
      </c>
      <c r="O781">
        <v>0</v>
      </c>
      <c r="P781">
        <v>0</v>
      </c>
      <c r="Q781">
        <v>0</v>
      </c>
      <c r="R781">
        <v>0</v>
      </c>
      <c r="S781">
        <v>0</v>
      </c>
      <c r="T781">
        <v>0</v>
      </c>
      <c r="U781">
        <v>0</v>
      </c>
      <c r="V781">
        <v>0</v>
      </c>
      <c r="W781">
        <v>0</v>
      </c>
      <c r="X781">
        <v>0</v>
      </c>
      <c r="Y781">
        <v>0</v>
      </c>
      <c r="Z781">
        <v>0</v>
      </c>
      <c r="AA781">
        <v>0</v>
      </c>
      <c r="AB781">
        <v>0</v>
      </c>
    </row>
    <row r="782" spans="1:28">
      <c r="A782">
        <v>0</v>
      </c>
      <c r="B782">
        <v>0</v>
      </c>
      <c r="C782">
        <v>0</v>
      </c>
      <c r="D782">
        <v>0</v>
      </c>
      <c r="E782">
        <v>0</v>
      </c>
      <c r="F782">
        <v>0</v>
      </c>
      <c r="G782">
        <v>0</v>
      </c>
      <c r="H782">
        <v>0</v>
      </c>
      <c r="I782">
        <v>0</v>
      </c>
      <c r="J782">
        <v>0</v>
      </c>
      <c r="K782">
        <v>0</v>
      </c>
      <c r="L782">
        <v>0</v>
      </c>
      <c r="M782">
        <v>0</v>
      </c>
      <c r="N782">
        <v>0</v>
      </c>
      <c r="O782">
        <v>0</v>
      </c>
      <c r="P782">
        <v>0</v>
      </c>
      <c r="Q782">
        <v>0</v>
      </c>
      <c r="R782">
        <v>0</v>
      </c>
      <c r="S782">
        <v>0</v>
      </c>
      <c r="T782">
        <v>0</v>
      </c>
      <c r="U782">
        <v>0</v>
      </c>
      <c r="V782">
        <v>0</v>
      </c>
      <c r="W782">
        <v>0</v>
      </c>
      <c r="X782">
        <v>0</v>
      </c>
      <c r="Y782">
        <v>0</v>
      </c>
      <c r="Z782">
        <v>0</v>
      </c>
      <c r="AA782">
        <v>0</v>
      </c>
      <c r="AB782">
        <v>0</v>
      </c>
    </row>
    <row r="783" spans="1:28">
      <c r="A783">
        <v>0</v>
      </c>
      <c r="B783">
        <v>0</v>
      </c>
      <c r="C783">
        <v>0</v>
      </c>
      <c r="D783">
        <v>0</v>
      </c>
      <c r="E783">
        <v>0</v>
      </c>
      <c r="F783">
        <v>0</v>
      </c>
      <c r="G783">
        <v>0</v>
      </c>
      <c r="H783">
        <v>0</v>
      </c>
      <c r="I783">
        <v>0</v>
      </c>
      <c r="J783">
        <v>0</v>
      </c>
      <c r="K783">
        <v>0</v>
      </c>
      <c r="L783">
        <v>0</v>
      </c>
      <c r="M783">
        <v>0</v>
      </c>
      <c r="N783">
        <v>0</v>
      </c>
      <c r="O783">
        <v>0</v>
      </c>
      <c r="P783">
        <v>0</v>
      </c>
      <c r="Q783">
        <v>0</v>
      </c>
      <c r="R783">
        <v>0</v>
      </c>
      <c r="S783">
        <v>0</v>
      </c>
      <c r="T783">
        <v>0</v>
      </c>
      <c r="U783">
        <v>0</v>
      </c>
      <c r="V783">
        <v>0</v>
      </c>
      <c r="W783">
        <v>0</v>
      </c>
      <c r="X783">
        <v>0</v>
      </c>
      <c r="Y783">
        <v>0</v>
      </c>
      <c r="Z783">
        <v>0</v>
      </c>
      <c r="AA783">
        <v>0</v>
      </c>
      <c r="AB783">
        <v>0</v>
      </c>
    </row>
    <row r="784" spans="1:28">
      <c r="A784">
        <v>0</v>
      </c>
      <c r="B784">
        <v>0</v>
      </c>
      <c r="C784">
        <v>0</v>
      </c>
      <c r="D784">
        <v>0</v>
      </c>
      <c r="E784">
        <v>0</v>
      </c>
      <c r="F784">
        <v>0</v>
      </c>
      <c r="G784">
        <v>0</v>
      </c>
      <c r="H784">
        <v>0</v>
      </c>
      <c r="I784">
        <v>0</v>
      </c>
      <c r="J784">
        <v>0</v>
      </c>
      <c r="K784">
        <v>0</v>
      </c>
      <c r="L784">
        <v>0</v>
      </c>
      <c r="M784">
        <v>0</v>
      </c>
      <c r="N784">
        <v>0</v>
      </c>
      <c r="O784">
        <v>0</v>
      </c>
      <c r="P784">
        <v>0</v>
      </c>
      <c r="Q784">
        <v>0</v>
      </c>
      <c r="R784">
        <v>0</v>
      </c>
      <c r="S784">
        <v>0</v>
      </c>
      <c r="T784">
        <v>0</v>
      </c>
      <c r="U784">
        <v>0</v>
      </c>
      <c r="V784">
        <v>0</v>
      </c>
      <c r="W784">
        <v>0</v>
      </c>
      <c r="X784">
        <v>0</v>
      </c>
      <c r="Y784">
        <v>0</v>
      </c>
      <c r="Z784">
        <v>0</v>
      </c>
      <c r="AA784">
        <v>0</v>
      </c>
      <c r="AB784">
        <v>0</v>
      </c>
    </row>
    <row r="785" spans="1:28">
      <c r="A785">
        <v>0</v>
      </c>
      <c r="B785">
        <v>0</v>
      </c>
      <c r="C785">
        <v>0</v>
      </c>
      <c r="D785">
        <v>0</v>
      </c>
      <c r="E785">
        <v>0</v>
      </c>
      <c r="F785">
        <v>0</v>
      </c>
      <c r="G785">
        <v>0</v>
      </c>
      <c r="H785">
        <v>0</v>
      </c>
      <c r="I785">
        <v>0</v>
      </c>
      <c r="J785">
        <v>0</v>
      </c>
      <c r="K785">
        <v>0</v>
      </c>
      <c r="L785">
        <v>0</v>
      </c>
      <c r="M785">
        <v>0</v>
      </c>
      <c r="N785">
        <v>0</v>
      </c>
      <c r="O785">
        <v>0</v>
      </c>
      <c r="P785">
        <v>0</v>
      </c>
      <c r="Q785">
        <v>0</v>
      </c>
      <c r="R785">
        <v>0</v>
      </c>
      <c r="S785">
        <v>0</v>
      </c>
      <c r="T785">
        <v>0</v>
      </c>
      <c r="U785">
        <v>0</v>
      </c>
      <c r="V785">
        <v>0</v>
      </c>
      <c r="W785">
        <v>0</v>
      </c>
      <c r="X785">
        <v>0</v>
      </c>
      <c r="Y785">
        <v>0</v>
      </c>
      <c r="Z785">
        <v>0</v>
      </c>
      <c r="AA785">
        <v>0</v>
      </c>
      <c r="AB785">
        <v>0</v>
      </c>
    </row>
    <row r="786" spans="1:28">
      <c r="A786">
        <v>0</v>
      </c>
      <c r="B786">
        <v>0</v>
      </c>
      <c r="C786">
        <v>0</v>
      </c>
      <c r="D786">
        <v>0</v>
      </c>
      <c r="E786">
        <v>0</v>
      </c>
      <c r="F786">
        <v>0</v>
      </c>
      <c r="G786">
        <v>0</v>
      </c>
      <c r="H786">
        <v>0</v>
      </c>
      <c r="I786">
        <v>0</v>
      </c>
      <c r="J786">
        <v>0</v>
      </c>
      <c r="K786">
        <v>0</v>
      </c>
      <c r="L786">
        <v>0</v>
      </c>
      <c r="M786">
        <v>0</v>
      </c>
      <c r="N786">
        <v>0</v>
      </c>
      <c r="O786">
        <v>0</v>
      </c>
      <c r="P786">
        <v>0</v>
      </c>
      <c r="Q786">
        <v>0</v>
      </c>
      <c r="R786">
        <v>0</v>
      </c>
      <c r="S786">
        <v>0</v>
      </c>
      <c r="T786">
        <v>0</v>
      </c>
      <c r="U786">
        <v>0</v>
      </c>
      <c r="V786">
        <v>0</v>
      </c>
      <c r="W786">
        <v>0</v>
      </c>
      <c r="X786">
        <v>0</v>
      </c>
      <c r="Y786">
        <v>0</v>
      </c>
      <c r="Z786">
        <v>0</v>
      </c>
      <c r="AA786">
        <v>0</v>
      </c>
      <c r="AB786">
        <v>0</v>
      </c>
    </row>
    <row r="787" spans="1:28">
      <c r="A787">
        <v>0</v>
      </c>
      <c r="B787">
        <v>0</v>
      </c>
      <c r="C787">
        <v>0</v>
      </c>
      <c r="D787">
        <v>0</v>
      </c>
      <c r="E787">
        <v>0</v>
      </c>
      <c r="F787">
        <v>0</v>
      </c>
      <c r="G787">
        <v>0</v>
      </c>
      <c r="H787">
        <v>0</v>
      </c>
      <c r="I787">
        <v>0</v>
      </c>
      <c r="J787">
        <v>0</v>
      </c>
      <c r="K787">
        <v>0</v>
      </c>
      <c r="L787">
        <v>0</v>
      </c>
      <c r="M787">
        <v>0</v>
      </c>
      <c r="N787">
        <v>0</v>
      </c>
      <c r="O787">
        <v>0</v>
      </c>
      <c r="P787">
        <v>0</v>
      </c>
      <c r="Q787">
        <v>0</v>
      </c>
      <c r="R787">
        <v>0</v>
      </c>
      <c r="S787">
        <v>0</v>
      </c>
      <c r="T787">
        <v>0</v>
      </c>
      <c r="U787">
        <v>0</v>
      </c>
      <c r="V787">
        <v>0</v>
      </c>
      <c r="W787">
        <v>0</v>
      </c>
      <c r="X787">
        <v>0</v>
      </c>
      <c r="Y787">
        <v>0</v>
      </c>
      <c r="Z787">
        <v>0</v>
      </c>
      <c r="AA787">
        <v>0</v>
      </c>
      <c r="AB787">
        <v>0</v>
      </c>
    </row>
    <row r="788" spans="1:28">
      <c r="A788">
        <v>0</v>
      </c>
      <c r="B788">
        <v>0</v>
      </c>
      <c r="C788">
        <v>0</v>
      </c>
      <c r="D788">
        <v>0</v>
      </c>
      <c r="E788">
        <v>0</v>
      </c>
      <c r="F788">
        <v>0</v>
      </c>
      <c r="G788">
        <v>0</v>
      </c>
      <c r="H788">
        <v>0</v>
      </c>
      <c r="I788">
        <v>0</v>
      </c>
      <c r="J788">
        <v>0</v>
      </c>
      <c r="K788">
        <v>0</v>
      </c>
      <c r="L788">
        <v>0</v>
      </c>
      <c r="M788">
        <v>0</v>
      </c>
      <c r="N788">
        <v>0</v>
      </c>
      <c r="O788">
        <v>0</v>
      </c>
      <c r="P788">
        <v>0</v>
      </c>
      <c r="Q788">
        <v>0</v>
      </c>
      <c r="R788">
        <v>0</v>
      </c>
      <c r="S788">
        <v>0</v>
      </c>
      <c r="T788">
        <v>0</v>
      </c>
      <c r="U788">
        <v>0</v>
      </c>
      <c r="V788">
        <v>0</v>
      </c>
      <c r="W788">
        <v>0</v>
      </c>
      <c r="X788">
        <v>0</v>
      </c>
      <c r="Y788">
        <v>0</v>
      </c>
      <c r="Z788">
        <v>0</v>
      </c>
      <c r="AA788">
        <v>0</v>
      </c>
      <c r="AB788">
        <v>0</v>
      </c>
    </row>
    <row r="789" spans="1:28">
      <c r="A789">
        <v>0</v>
      </c>
      <c r="B789">
        <v>0</v>
      </c>
      <c r="C789">
        <v>0</v>
      </c>
      <c r="D789">
        <v>0</v>
      </c>
      <c r="E789">
        <v>0</v>
      </c>
      <c r="F789">
        <v>0</v>
      </c>
      <c r="G789">
        <v>0</v>
      </c>
      <c r="H789">
        <v>0</v>
      </c>
      <c r="I789">
        <v>0</v>
      </c>
      <c r="J789">
        <v>0</v>
      </c>
      <c r="K789">
        <v>0</v>
      </c>
      <c r="L789">
        <v>0</v>
      </c>
      <c r="M789">
        <v>0</v>
      </c>
      <c r="N789">
        <v>0</v>
      </c>
      <c r="O789">
        <v>0</v>
      </c>
      <c r="P789">
        <v>0</v>
      </c>
      <c r="Q789">
        <v>0</v>
      </c>
      <c r="R789">
        <v>0</v>
      </c>
      <c r="S789">
        <v>0</v>
      </c>
      <c r="T789">
        <v>0</v>
      </c>
      <c r="U789">
        <v>0</v>
      </c>
      <c r="V789">
        <v>0</v>
      </c>
      <c r="W789">
        <v>0</v>
      </c>
      <c r="X789">
        <v>0</v>
      </c>
      <c r="Y789">
        <v>0</v>
      </c>
      <c r="Z789">
        <v>0</v>
      </c>
      <c r="AA789">
        <v>0</v>
      </c>
      <c r="AB789">
        <v>0</v>
      </c>
    </row>
    <row r="790" spans="1:28">
      <c r="A790">
        <v>0</v>
      </c>
      <c r="B790">
        <v>0</v>
      </c>
      <c r="C790">
        <v>0</v>
      </c>
      <c r="D790">
        <v>0</v>
      </c>
      <c r="E790">
        <v>0</v>
      </c>
      <c r="F790">
        <v>0</v>
      </c>
      <c r="G790">
        <v>0</v>
      </c>
      <c r="H790">
        <v>0</v>
      </c>
      <c r="I790">
        <v>0</v>
      </c>
      <c r="J790">
        <v>0</v>
      </c>
      <c r="K790">
        <v>0</v>
      </c>
      <c r="L790">
        <v>0</v>
      </c>
      <c r="M790">
        <v>0</v>
      </c>
      <c r="N790">
        <v>0</v>
      </c>
      <c r="O790">
        <v>0</v>
      </c>
      <c r="P790">
        <v>0</v>
      </c>
      <c r="Q790">
        <v>0</v>
      </c>
      <c r="R790">
        <v>0</v>
      </c>
      <c r="S790">
        <v>0</v>
      </c>
      <c r="T790">
        <v>0</v>
      </c>
      <c r="U790">
        <v>0</v>
      </c>
      <c r="V790">
        <v>0</v>
      </c>
      <c r="W790">
        <v>0</v>
      </c>
      <c r="X790">
        <v>0</v>
      </c>
      <c r="Y790">
        <v>0</v>
      </c>
      <c r="Z790">
        <v>0</v>
      </c>
      <c r="AA790">
        <v>0</v>
      </c>
      <c r="AB790">
        <v>0</v>
      </c>
    </row>
    <row r="791" spans="1:28">
      <c r="A791">
        <v>0</v>
      </c>
      <c r="B791">
        <v>0</v>
      </c>
      <c r="C791">
        <v>0</v>
      </c>
      <c r="D791">
        <v>0</v>
      </c>
      <c r="E791">
        <v>0</v>
      </c>
      <c r="F791">
        <v>0</v>
      </c>
      <c r="G791">
        <v>0</v>
      </c>
      <c r="H791">
        <v>0</v>
      </c>
      <c r="I791">
        <v>0</v>
      </c>
      <c r="J791">
        <v>0</v>
      </c>
      <c r="K791">
        <v>0</v>
      </c>
      <c r="L791">
        <v>0</v>
      </c>
      <c r="M791">
        <v>0</v>
      </c>
      <c r="N791">
        <v>0</v>
      </c>
      <c r="O791">
        <v>0</v>
      </c>
      <c r="P791">
        <v>0</v>
      </c>
      <c r="Q791">
        <v>0</v>
      </c>
      <c r="R791">
        <v>0</v>
      </c>
      <c r="S791">
        <v>0</v>
      </c>
      <c r="T791">
        <v>0</v>
      </c>
      <c r="U791">
        <v>0</v>
      </c>
      <c r="V791">
        <v>0</v>
      </c>
      <c r="W791">
        <v>0</v>
      </c>
      <c r="X791">
        <v>0</v>
      </c>
      <c r="Y791">
        <v>0</v>
      </c>
      <c r="Z791">
        <v>0</v>
      </c>
      <c r="AA791">
        <v>0</v>
      </c>
      <c r="AB791">
        <v>0</v>
      </c>
    </row>
    <row r="792" spans="1:28">
      <c r="A792">
        <v>0</v>
      </c>
      <c r="B792">
        <v>0</v>
      </c>
      <c r="C792">
        <v>0</v>
      </c>
      <c r="D792">
        <v>0</v>
      </c>
      <c r="E792">
        <v>0</v>
      </c>
      <c r="F792">
        <v>0</v>
      </c>
      <c r="G792">
        <v>0</v>
      </c>
      <c r="H792">
        <v>0</v>
      </c>
      <c r="I792">
        <v>0</v>
      </c>
      <c r="J792">
        <v>0</v>
      </c>
      <c r="K792">
        <v>0</v>
      </c>
      <c r="L792">
        <v>0</v>
      </c>
      <c r="M792">
        <v>0</v>
      </c>
      <c r="N792">
        <v>0</v>
      </c>
      <c r="O792">
        <v>0</v>
      </c>
      <c r="P792">
        <v>0</v>
      </c>
      <c r="Q792">
        <v>0</v>
      </c>
      <c r="R792">
        <v>0</v>
      </c>
      <c r="S792">
        <v>0</v>
      </c>
      <c r="T792">
        <v>0</v>
      </c>
      <c r="U792">
        <v>0</v>
      </c>
      <c r="V792">
        <v>0</v>
      </c>
      <c r="W792">
        <v>0</v>
      </c>
      <c r="X792">
        <v>0</v>
      </c>
      <c r="Y792">
        <v>0</v>
      </c>
      <c r="Z792">
        <v>0</v>
      </c>
      <c r="AA792">
        <v>0</v>
      </c>
      <c r="AB792">
        <v>0</v>
      </c>
    </row>
    <row r="793" spans="1:28">
      <c r="A793">
        <v>0</v>
      </c>
      <c r="B793">
        <v>0</v>
      </c>
      <c r="C793">
        <v>0</v>
      </c>
      <c r="D793">
        <v>0</v>
      </c>
      <c r="E793">
        <v>0</v>
      </c>
      <c r="F793">
        <v>0</v>
      </c>
      <c r="G793">
        <v>0</v>
      </c>
      <c r="H793">
        <v>0</v>
      </c>
      <c r="I793">
        <v>0</v>
      </c>
      <c r="J793">
        <v>0</v>
      </c>
      <c r="K793">
        <v>0</v>
      </c>
      <c r="L793">
        <v>0</v>
      </c>
      <c r="M793">
        <v>0</v>
      </c>
      <c r="N793">
        <v>0</v>
      </c>
      <c r="O793">
        <v>0</v>
      </c>
      <c r="P793">
        <v>0</v>
      </c>
      <c r="Q793">
        <v>0</v>
      </c>
      <c r="R793">
        <v>0</v>
      </c>
      <c r="S793">
        <v>0</v>
      </c>
      <c r="T793">
        <v>0</v>
      </c>
      <c r="U793">
        <v>0</v>
      </c>
      <c r="V793">
        <v>0</v>
      </c>
      <c r="W793">
        <v>0</v>
      </c>
      <c r="X793">
        <v>0</v>
      </c>
      <c r="Y793">
        <v>0</v>
      </c>
      <c r="Z793">
        <v>0</v>
      </c>
      <c r="AA793">
        <v>0</v>
      </c>
      <c r="AB793">
        <v>0</v>
      </c>
    </row>
    <row r="794" spans="1:28">
      <c r="A794">
        <v>0</v>
      </c>
      <c r="B794">
        <v>0</v>
      </c>
      <c r="C794">
        <v>0</v>
      </c>
      <c r="D794">
        <v>0</v>
      </c>
      <c r="E794">
        <v>0</v>
      </c>
      <c r="F794">
        <v>0</v>
      </c>
      <c r="G794">
        <v>0</v>
      </c>
      <c r="H794">
        <v>0</v>
      </c>
      <c r="I794">
        <v>0</v>
      </c>
      <c r="J794">
        <v>0</v>
      </c>
      <c r="K794">
        <v>0</v>
      </c>
      <c r="L794">
        <v>0</v>
      </c>
      <c r="M794">
        <v>0</v>
      </c>
      <c r="N794">
        <v>0</v>
      </c>
      <c r="O794">
        <v>0</v>
      </c>
      <c r="P794">
        <v>0</v>
      </c>
      <c r="Q794">
        <v>0</v>
      </c>
      <c r="R794">
        <v>0</v>
      </c>
      <c r="S794">
        <v>0</v>
      </c>
      <c r="T794">
        <v>0</v>
      </c>
      <c r="U794">
        <v>0</v>
      </c>
      <c r="V794">
        <v>0</v>
      </c>
      <c r="W794">
        <v>0</v>
      </c>
      <c r="X794">
        <v>0</v>
      </c>
      <c r="Y794">
        <v>0</v>
      </c>
      <c r="Z794">
        <v>0</v>
      </c>
      <c r="AA794">
        <v>0</v>
      </c>
      <c r="AB794">
        <v>0</v>
      </c>
    </row>
    <row r="795" spans="1:28">
      <c r="A795">
        <v>0</v>
      </c>
      <c r="B795">
        <v>0</v>
      </c>
      <c r="C795">
        <v>0</v>
      </c>
      <c r="D795">
        <v>0</v>
      </c>
      <c r="E795">
        <v>0</v>
      </c>
      <c r="F795">
        <v>0</v>
      </c>
      <c r="G795">
        <v>0</v>
      </c>
      <c r="H795">
        <v>0</v>
      </c>
      <c r="I795">
        <v>0</v>
      </c>
      <c r="J795">
        <v>0</v>
      </c>
      <c r="K795">
        <v>0</v>
      </c>
      <c r="L795">
        <v>0</v>
      </c>
      <c r="M795">
        <v>0</v>
      </c>
      <c r="N795">
        <v>0</v>
      </c>
      <c r="O795">
        <v>0</v>
      </c>
      <c r="P795">
        <v>0</v>
      </c>
      <c r="Q795">
        <v>0</v>
      </c>
      <c r="R795">
        <v>0</v>
      </c>
      <c r="S795">
        <v>0</v>
      </c>
      <c r="T795">
        <v>0</v>
      </c>
      <c r="U795">
        <v>0</v>
      </c>
      <c r="V795">
        <v>0</v>
      </c>
      <c r="W795">
        <v>0</v>
      </c>
      <c r="X795">
        <v>0</v>
      </c>
      <c r="Y795">
        <v>0</v>
      </c>
      <c r="Z795">
        <v>0</v>
      </c>
      <c r="AA795">
        <v>0</v>
      </c>
      <c r="AB795">
        <v>0</v>
      </c>
    </row>
    <row r="796" spans="1:28">
      <c r="A796">
        <v>0</v>
      </c>
      <c r="B796">
        <v>0</v>
      </c>
      <c r="C796">
        <v>0</v>
      </c>
      <c r="D796">
        <v>0</v>
      </c>
      <c r="E796">
        <v>0</v>
      </c>
      <c r="F796">
        <v>0</v>
      </c>
      <c r="G796">
        <v>0</v>
      </c>
      <c r="H796">
        <v>0</v>
      </c>
      <c r="I796">
        <v>0</v>
      </c>
      <c r="J796">
        <v>0</v>
      </c>
      <c r="K796">
        <v>0</v>
      </c>
      <c r="L796">
        <v>0</v>
      </c>
      <c r="M796">
        <v>0</v>
      </c>
      <c r="N796">
        <v>0</v>
      </c>
      <c r="O796">
        <v>0</v>
      </c>
      <c r="P796">
        <v>0</v>
      </c>
      <c r="Q796">
        <v>0</v>
      </c>
      <c r="R796">
        <v>0</v>
      </c>
      <c r="S796">
        <v>0</v>
      </c>
      <c r="T796">
        <v>0</v>
      </c>
      <c r="U796">
        <v>0</v>
      </c>
      <c r="V796">
        <v>0</v>
      </c>
      <c r="W796">
        <v>0</v>
      </c>
      <c r="X796">
        <v>0</v>
      </c>
      <c r="Y796">
        <v>0</v>
      </c>
      <c r="Z796">
        <v>0</v>
      </c>
      <c r="AA796">
        <v>0</v>
      </c>
      <c r="AB796">
        <v>0</v>
      </c>
    </row>
    <row r="797" spans="1:28">
      <c r="A797">
        <v>0</v>
      </c>
      <c r="B797">
        <v>0</v>
      </c>
      <c r="C797">
        <v>0</v>
      </c>
      <c r="D797">
        <v>0</v>
      </c>
      <c r="E797">
        <v>0</v>
      </c>
      <c r="F797">
        <v>0</v>
      </c>
      <c r="G797">
        <v>0</v>
      </c>
      <c r="H797">
        <v>0</v>
      </c>
      <c r="I797">
        <v>0</v>
      </c>
      <c r="J797">
        <v>0</v>
      </c>
      <c r="K797">
        <v>0</v>
      </c>
      <c r="L797">
        <v>0</v>
      </c>
      <c r="M797">
        <v>0</v>
      </c>
      <c r="N797">
        <v>0</v>
      </c>
      <c r="O797">
        <v>0</v>
      </c>
      <c r="P797">
        <v>0</v>
      </c>
      <c r="Q797">
        <v>0</v>
      </c>
      <c r="R797">
        <v>0</v>
      </c>
      <c r="S797">
        <v>0</v>
      </c>
      <c r="T797">
        <v>0</v>
      </c>
      <c r="U797">
        <v>0</v>
      </c>
      <c r="V797">
        <v>0</v>
      </c>
      <c r="W797">
        <v>0</v>
      </c>
      <c r="X797">
        <v>0</v>
      </c>
      <c r="Y797">
        <v>0</v>
      </c>
      <c r="Z797">
        <v>0</v>
      </c>
      <c r="AA797">
        <v>0</v>
      </c>
      <c r="AB797">
        <v>0</v>
      </c>
    </row>
    <row r="798" spans="1:28">
      <c r="A798">
        <v>0</v>
      </c>
      <c r="B798">
        <v>0</v>
      </c>
      <c r="C798">
        <v>0</v>
      </c>
      <c r="D798">
        <v>0</v>
      </c>
      <c r="E798">
        <v>0</v>
      </c>
      <c r="F798">
        <v>0</v>
      </c>
      <c r="G798">
        <v>0</v>
      </c>
      <c r="H798">
        <v>0</v>
      </c>
      <c r="I798">
        <v>0</v>
      </c>
      <c r="J798">
        <v>0</v>
      </c>
      <c r="K798">
        <v>0</v>
      </c>
      <c r="L798">
        <v>0</v>
      </c>
      <c r="M798">
        <v>0</v>
      </c>
      <c r="N798">
        <v>0</v>
      </c>
      <c r="O798">
        <v>0</v>
      </c>
      <c r="P798">
        <v>0</v>
      </c>
      <c r="Q798">
        <v>0</v>
      </c>
      <c r="R798">
        <v>0</v>
      </c>
      <c r="S798">
        <v>0</v>
      </c>
      <c r="T798">
        <v>0</v>
      </c>
      <c r="U798">
        <v>0</v>
      </c>
      <c r="V798">
        <v>0</v>
      </c>
      <c r="W798">
        <v>0</v>
      </c>
      <c r="X798">
        <v>0</v>
      </c>
      <c r="Y798">
        <v>0</v>
      </c>
      <c r="Z798">
        <v>0</v>
      </c>
      <c r="AA798">
        <v>0</v>
      </c>
      <c r="AB798">
        <v>0</v>
      </c>
    </row>
    <row r="799" spans="1:28">
      <c r="A799">
        <v>0</v>
      </c>
      <c r="B799">
        <v>0</v>
      </c>
      <c r="C799">
        <v>0</v>
      </c>
      <c r="D799">
        <v>0</v>
      </c>
      <c r="E799">
        <v>0</v>
      </c>
      <c r="F799">
        <v>0</v>
      </c>
      <c r="G799">
        <v>0</v>
      </c>
      <c r="H799">
        <v>0</v>
      </c>
      <c r="I799">
        <v>0</v>
      </c>
      <c r="J799">
        <v>0</v>
      </c>
      <c r="K799">
        <v>0</v>
      </c>
      <c r="L799">
        <v>0</v>
      </c>
      <c r="M799">
        <v>0</v>
      </c>
      <c r="N799">
        <v>0</v>
      </c>
      <c r="O799">
        <v>0</v>
      </c>
      <c r="P799">
        <v>0</v>
      </c>
      <c r="Q799">
        <v>0</v>
      </c>
      <c r="R799">
        <v>0</v>
      </c>
      <c r="S799">
        <v>0</v>
      </c>
      <c r="T799">
        <v>0</v>
      </c>
      <c r="U799">
        <v>0</v>
      </c>
      <c r="V799">
        <v>0</v>
      </c>
      <c r="W799">
        <v>0</v>
      </c>
      <c r="X799">
        <v>0</v>
      </c>
      <c r="Y799">
        <v>0</v>
      </c>
      <c r="Z799">
        <v>0</v>
      </c>
      <c r="AA799">
        <v>0</v>
      </c>
      <c r="AB799">
        <v>0</v>
      </c>
    </row>
    <row r="800" spans="1:28">
      <c r="A800">
        <v>0</v>
      </c>
      <c r="B800">
        <v>0</v>
      </c>
      <c r="C800">
        <v>0</v>
      </c>
      <c r="D800">
        <v>0</v>
      </c>
      <c r="E800">
        <v>0</v>
      </c>
      <c r="F800">
        <v>0</v>
      </c>
      <c r="G800">
        <v>0</v>
      </c>
      <c r="H800">
        <v>0</v>
      </c>
      <c r="I800">
        <v>0</v>
      </c>
      <c r="J800">
        <v>0</v>
      </c>
      <c r="K800">
        <v>0</v>
      </c>
      <c r="L800">
        <v>0</v>
      </c>
      <c r="M800">
        <v>0</v>
      </c>
      <c r="N800">
        <v>0</v>
      </c>
      <c r="O800">
        <v>0</v>
      </c>
      <c r="P800">
        <v>0</v>
      </c>
      <c r="Q800">
        <v>0</v>
      </c>
      <c r="R800">
        <v>0</v>
      </c>
      <c r="S800">
        <v>0</v>
      </c>
      <c r="T800">
        <v>0</v>
      </c>
      <c r="U800">
        <v>0</v>
      </c>
      <c r="V800">
        <v>0</v>
      </c>
      <c r="W800">
        <v>0</v>
      </c>
      <c r="X800">
        <v>0</v>
      </c>
      <c r="Y800">
        <v>0</v>
      </c>
      <c r="Z800">
        <v>0</v>
      </c>
      <c r="AA800">
        <v>0</v>
      </c>
      <c r="AB800">
        <v>0</v>
      </c>
    </row>
    <row r="801" spans="1:28">
      <c r="A801">
        <v>0</v>
      </c>
      <c r="B801">
        <v>0</v>
      </c>
      <c r="C801">
        <v>0</v>
      </c>
      <c r="D801">
        <v>0</v>
      </c>
      <c r="E801">
        <v>0</v>
      </c>
      <c r="F801">
        <v>0</v>
      </c>
      <c r="G801">
        <v>0</v>
      </c>
      <c r="H801">
        <v>0</v>
      </c>
      <c r="I801">
        <v>0</v>
      </c>
      <c r="J801">
        <v>0</v>
      </c>
      <c r="K801">
        <v>0</v>
      </c>
      <c r="L801">
        <v>0</v>
      </c>
      <c r="M801">
        <v>0</v>
      </c>
      <c r="N801">
        <v>0</v>
      </c>
      <c r="O801">
        <v>0</v>
      </c>
      <c r="P801">
        <v>0</v>
      </c>
      <c r="Q801">
        <v>0</v>
      </c>
      <c r="R801">
        <v>0</v>
      </c>
      <c r="S801">
        <v>0</v>
      </c>
      <c r="T801">
        <v>0</v>
      </c>
      <c r="U801">
        <v>0</v>
      </c>
      <c r="V801">
        <v>0</v>
      </c>
      <c r="W801">
        <v>0</v>
      </c>
      <c r="X801">
        <v>0</v>
      </c>
      <c r="Y801">
        <v>0</v>
      </c>
      <c r="Z801">
        <v>0</v>
      </c>
      <c r="AA801">
        <v>0</v>
      </c>
      <c r="AB801">
        <v>0</v>
      </c>
    </row>
    <row r="802" spans="1:28">
      <c r="A802">
        <v>0</v>
      </c>
      <c r="B802">
        <v>0</v>
      </c>
      <c r="C802">
        <v>0</v>
      </c>
      <c r="D802">
        <v>0</v>
      </c>
      <c r="E802">
        <v>0</v>
      </c>
      <c r="F802">
        <v>0</v>
      </c>
      <c r="G802">
        <v>0</v>
      </c>
      <c r="H802">
        <v>0</v>
      </c>
      <c r="I802">
        <v>0</v>
      </c>
      <c r="J802">
        <v>0</v>
      </c>
      <c r="K802">
        <v>0</v>
      </c>
      <c r="L802">
        <v>0</v>
      </c>
      <c r="M802">
        <v>0</v>
      </c>
      <c r="N802">
        <v>0</v>
      </c>
      <c r="O802">
        <v>0</v>
      </c>
      <c r="P802">
        <v>0</v>
      </c>
      <c r="Q802">
        <v>0</v>
      </c>
      <c r="R802">
        <v>0</v>
      </c>
      <c r="S802">
        <v>0</v>
      </c>
      <c r="T802">
        <v>0</v>
      </c>
      <c r="U802">
        <v>0</v>
      </c>
      <c r="V802">
        <v>0</v>
      </c>
      <c r="W802">
        <v>0</v>
      </c>
      <c r="X802">
        <v>0</v>
      </c>
      <c r="Y802">
        <v>0</v>
      </c>
      <c r="Z802">
        <v>0</v>
      </c>
      <c r="AA802">
        <v>0</v>
      </c>
      <c r="AB802">
        <v>0</v>
      </c>
    </row>
    <row r="803" spans="1:28">
      <c r="A803">
        <v>0</v>
      </c>
      <c r="B803">
        <v>0</v>
      </c>
      <c r="C803">
        <v>0</v>
      </c>
      <c r="D803">
        <v>0</v>
      </c>
      <c r="E803">
        <v>0</v>
      </c>
      <c r="F803">
        <v>0</v>
      </c>
      <c r="G803">
        <v>0</v>
      </c>
      <c r="H803">
        <v>0</v>
      </c>
      <c r="I803">
        <v>0</v>
      </c>
      <c r="J803">
        <v>0</v>
      </c>
      <c r="K803">
        <v>0</v>
      </c>
      <c r="L803">
        <v>0</v>
      </c>
      <c r="M803">
        <v>0</v>
      </c>
      <c r="N803">
        <v>0</v>
      </c>
      <c r="O803">
        <v>0</v>
      </c>
      <c r="P803">
        <v>0</v>
      </c>
      <c r="Q803">
        <v>0</v>
      </c>
      <c r="R803">
        <v>0</v>
      </c>
      <c r="S803">
        <v>0</v>
      </c>
      <c r="T803">
        <v>0</v>
      </c>
      <c r="U803">
        <v>0</v>
      </c>
      <c r="V803">
        <v>0</v>
      </c>
      <c r="W803">
        <v>0</v>
      </c>
      <c r="X803">
        <v>0</v>
      </c>
      <c r="Y803">
        <v>0</v>
      </c>
      <c r="Z803">
        <v>0</v>
      </c>
      <c r="AA803">
        <v>0</v>
      </c>
      <c r="AB803">
        <v>0</v>
      </c>
    </row>
    <row r="804" spans="1:28">
      <c r="A804">
        <v>0</v>
      </c>
      <c r="B804">
        <v>0</v>
      </c>
      <c r="C804">
        <v>0</v>
      </c>
      <c r="D804">
        <v>0</v>
      </c>
      <c r="E804">
        <v>0</v>
      </c>
      <c r="F804">
        <v>0</v>
      </c>
      <c r="G804">
        <v>0</v>
      </c>
      <c r="H804">
        <v>0</v>
      </c>
      <c r="I804">
        <v>0</v>
      </c>
      <c r="J804">
        <v>0</v>
      </c>
      <c r="K804">
        <v>0</v>
      </c>
      <c r="L804">
        <v>0</v>
      </c>
      <c r="M804">
        <v>0</v>
      </c>
      <c r="N804">
        <v>0</v>
      </c>
      <c r="O804">
        <v>0</v>
      </c>
      <c r="P804">
        <v>0</v>
      </c>
      <c r="Q804">
        <v>0</v>
      </c>
      <c r="R804">
        <v>0</v>
      </c>
      <c r="S804">
        <v>0</v>
      </c>
      <c r="T804">
        <v>0</v>
      </c>
      <c r="U804">
        <v>0</v>
      </c>
      <c r="V804">
        <v>0</v>
      </c>
      <c r="W804">
        <v>0</v>
      </c>
      <c r="X804">
        <v>0</v>
      </c>
      <c r="Y804">
        <v>0</v>
      </c>
      <c r="Z804">
        <v>0</v>
      </c>
      <c r="AA804">
        <v>0</v>
      </c>
      <c r="AB804">
        <v>0</v>
      </c>
    </row>
    <row r="805" spans="1:28">
      <c r="A805">
        <v>0</v>
      </c>
      <c r="B805">
        <v>0</v>
      </c>
      <c r="C805">
        <v>0</v>
      </c>
      <c r="D805">
        <v>0</v>
      </c>
      <c r="E805">
        <v>0</v>
      </c>
      <c r="F805">
        <v>0</v>
      </c>
      <c r="G805">
        <v>0</v>
      </c>
      <c r="H805">
        <v>0</v>
      </c>
      <c r="I805">
        <v>0</v>
      </c>
      <c r="J805">
        <v>0</v>
      </c>
      <c r="K805">
        <v>0</v>
      </c>
      <c r="L805">
        <v>0</v>
      </c>
      <c r="M805">
        <v>0</v>
      </c>
      <c r="N805">
        <v>0</v>
      </c>
      <c r="O805">
        <v>0</v>
      </c>
      <c r="P805">
        <v>0</v>
      </c>
      <c r="Q805">
        <v>0</v>
      </c>
      <c r="R805">
        <v>0</v>
      </c>
      <c r="S805">
        <v>0</v>
      </c>
      <c r="T805">
        <v>0</v>
      </c>
      <c r="U805">
        <v>0</v>
      </c>
      <c r="V805">
        <v>0</v>
      </c>
      <c r="W805">
        <v>0</v>
      </c>
      <c r="X805">
        <v>0</v>
      </c>
      <c r="Y805">
        <v>0</v>
      </c>
      <c r="Z805">
        <v>0</v>
      </c>
      <c r="AA805">
        <v>0</v>
      </c>
      <c r="AB805">
        <v>0</v>
      </c>
    </row>
    <row r="806" spans="1:28">
      <c r="A806">
        <v>0</v>
      </c>
      <c r="B806">
        <v>0</v>
      </c>
      <c r="C806">
        <v>0</v>
      </c>
      <c r="D806">
        <v>0</v>
      </c>
      <c r="E806">
        <v>0</v>
      </c>
      <c r="F806">
        <v>0</v>
      </c>
      <c r="G806">
        <v>0</v>
      </c>
      <c r="H806">
        <v>0</v>
      </c>
      <c r="I806">
        <v>0</v>
      </c>
      <c r="J806">
        <v>0</v>
      </c>
      <c r="K806">
        <v>0</v>
      </c>
      <c r="L806">
        <v>0</v>
      </c>
      <c r="M806">
        <v>0</v>
      </c>
      <c r="N806">
        <v>0</v>
      </c>
      <c r="O806">
        <v>0</v>
      </c>
      <c r="P806">
        <v>0</v>
      </c>
      <c r="Q806">
        <v>0</v>
      </c>
      <c r="R806">
        <v>0</v>
      </c>
      <c r="S806">
        <v>0</v>
      </c>
      <c r="T806">
        <v>0</v>
      </c>
      <c r="U806">
        <v>0</v>
      </c>
      <c r="V806">
        <v>0</v>
      </c>
      <c r="W806">
        <v>0</v>
      </c>
      <c r="X806">
        <v>0</v>
      </c>
      <c r="Y806">
        <v>0</v>
      </c>
      <c r="Z806">
        <v>0</v>
      </c>
      <c r="AA806">
        <v>0</v>
      </c>
      <c r="AB806">
        <v>0</v>
      </c>
    </row>
    <row r="807" spans="1:28">
      <c r="A807">
        <v>0</v>
      </c>
      <c r="B807">
        <v>0</v>
      </c>
      <c r="C807">
        <v>0</v>
      </c>
      <c r="D807">
        <v>0</v>
      </c>
      <c r="E807">
        <v>0</v>
      </c>
      <c r="F807">
        <v>0</v>
      </c>
      <c r="G807">
        <v>0</v>
      </c>
      <c r="H807">
        <v>0</v>
      </c>
      <c r="I807">
        <v>0</v>
      </c>
      <c r="J807">
        <v>0</v>
      </c>
      <c r="K807">
        <v>0</v>
      </c>
      <c r="L807">
        <v>0</v>
      </c>
      <c r="M807">
        <v>0</v>
      </c>
      <c r="N807">
        <v>0</v>
      </c>
      <c r="O807">
        <v>0</v>
      </c>
      <c r="P807">
        <v>0</v>
      </c>
      <c r="Q807">
        <v>0</v>
      </c>
      <c r="R807">
        <v>0</v>
      </c>
      <c r="S807">
        <v>0</v>
      </c>
      <c r="T807">
        <v>0</v>
      </c>
      <c r="U807">
        <v>0</v>
      </c>
      <c r="V807">
        <v>0</v>
      </c>
      <c r="W807">
        <v>0</v>
      </c>
      <c r="X807">
        <v>0</v>
      </c>
      <c r="Y807">
        <v>0</v>
      </c>
      <c r="Z807">
        <v>0</v>
      </c>
      <c r="AA807">
        <v>0</v>
      </c>
      <c r="AB807">
        <v>0</v>
      </c>
    </row>
    <row r="808" spans="1:28">
      <c r="A808">
        <v>0</v>
      </c>
      <c r="B808">
        <v>0</v>
      </c>
      <c r="C808">
        <v>0</v>
      </c>
      <c r="D808">
        <v>0</v>
      </c>
      <c r="E808">
        <v>0</v>
      </c>
      <c r="F808">
        <v>0</v>
      </c>
      <c r="G808">
        <v>0</v>
      </c>
      <c r="H808">
        <v>0</v>
      </c>
      <c r="I808">
        <v>0</v>
      </c>
      <c r="J808">
        <v>0</v>
      </c>
      <c r="K808">
        <v>0</v>
      </c>
      <c r="L808">
        <v>0</v>
      </c>
      <c r="M808">
        <v>0</v>
      </c>
      <c r="N808">
        <v>0</v>
      </c>
      <c r="O808">
        <v>0</v>
      </c>
      <c r="P808">
        <v>0</v>
      </c>
      <c r="Q808">
        <v>0</v>
      </c>
      <c r="R808">
        <v>0</v>
      </c>
      <c r="S808">
        <v>0</v>
      </c>
      <c r="T808">
        <v>0</v>
      </c>
      <c r="U808">
        <v>0</v>
      </c>
      <c r="V808">
        <v>0</v>
      </c>
      <c r="W808">
        <v>0</v>
      </c>
      <c r="X808">
        <v>0</v>
      </c>
      <c r="Y808">
        <v>0</v>
      </c>
      <c r="Z808">
        <v>0</v>
      </c>
      <c r="AA808">
        <v>0</v>
      </c>
      <c r="AB808">
        <v>0</v>
      </c>
    </row>
    <row r="809" spans="1:28">
      <c r="A809">
        <v>0</v>
      </c>
      <c r="B809">
        <v>0</v>
      </c>
      <c r="C809">
        <v>0</v>
      </c>
      <c r="D809">
        <v>0</v>
      </c>
      <c r="E809">
        <v>0</v>
      </c>
      <c r="F809">
        <v>0</v>
      </c>
      <c r="G809">
        <v>0</v>
      </c>
      <c r="H809">
        <v>0</v>
      </c>
      <c r="I809">
        <v>0</v>
      </c>
      <c r="J809">
        <v>0</v>
      </c>
      <c r="K809">
        <v>0</v>
      </c>
      <c r="L809">
        <v>0</v>
      </c>
      <c r="M809">
        <v>0</v>
      </c>
      <c r="N809">
        <v>0</v>
      </c>
      <c r="O809">
        <v>0</v>
      </c>
      <c r="P809">
        <v>0</v>
      </c>
      <c r="Q809">
        <v>0</v>
      </c>
      <c r="R809">
        <v>0</v>
      </c>
      <c r="S809">
        <v>0</v>
      </c>
      <c r="T809">
        <v>0</v>
      </c>
      <c r="U809">
        <v>0</v>
      </c>
      <c r="V809">
        <v>0</v>
      </c>
      <c r="W809">
        <v>0</v>
      </c>
      <c r="X809">
        <v>0</v>
      </c>
      <c r="Y809">
        <v>0</v>
      </c>
      <c r="Z809">
        <v>0</v>
      </c>
      <c r="AA809">
        <v>0</v>
      </c>
      <c r="AB809">
        <v>0</v>
      </c>
    </row>
    <row r="810" spans="1:28">
      <c r="A810">
        <v>0</v>
      </c>
      <c r="B810">
        <v>0</v>
      </c>
      <c r="C810">
        <v>0</v>
      </c>
      <c r="D810">
        <v>0</v>
      </c>
      <c r="E810">
        <v>0</v>
      </c>
      <c r="F810">
        <v>0</v>
      </c>
      <c r="G810">
        <v>0</v>
      </c>
      <c r="H810">
        <v>0</v>
      </c>
      <c r="I810">
        <v>0</v>
      </c>
      <c r="J810">
        <v>0</v>
      </c>
      <c r="K810">
        <v>0</v>
      </c>
      <c r="L810">
        <v>0</v>
      </c>
      <c r="M810">
        <v>0</v>
      </c>
      <c r="N810">
        <v>0</v>
      </c>
      <c r="O810">
        <v>0</v>
      </c>
      <c r="P810">
        <v>0</v>
      </c>
      <c r="Q810">
        <v>0</v>
      </c>
      <c r="R810">
        <v>0</v>
      </c>
      <c r="S810">
        <v>0</v>
      </c>
      <c r="T810">
        <v>0</v>
      </c>
      <c r="U810">
        <v>0</v>
      </c>
      <c r="V810">
        <v>0</v>
      </c>
      <c r="W810">
        <v>0</v>
      </c>
      <c r="X810">
        <v>0</v>
      </c>
      <c r="Y810">
        <v>0</v>
      </c>
      <c r="Z810">
        <v>0</v>
      </c>
      <c r="AA810">
        <v>0</v>
      </c>
      <c r="AB810">
        <v>0</v>
      </c>
    </row>
    <row r="811" spans="1:28">
      <c r="A811">
        <v>0</v>
      </c>
      <c r="B811">
        <v>0</v>
      </c>
      <c r="C811">
        <v>0</v>
      </c>
      <c r="D811">
        <v>0</v>
      </c>
      <c r="E811">
        <v>0</v>
      </c>
      <c r="F811">
        <v>0</v>
      </c>
      <c r="G811">
        <v>0</v>
      </c>
      <c r="H811">
        <v>0</v>
      </c>
      <c r="I811">
        <v>0</v>
      </c>
      <c r="J811">
        <v>0</v>
      </c>
      <c r="K811">
        <v>0</v>
      </c>
      <c r="L811">
        <v>0</v>
      </c>
      <c r="M811">
        <v>0</v>
      </c>
      <c r="N811">
        <v>0</v>
      </c>
      <c r="O811">
        <v>0</v>
      </c>
      <c r="P811">
        <v>0</v>
      </c>
      <c r="Q811">
        <v>0</v>
      </c>
      <c r="R811">
        <v>0</v>
      </c>
      <c r="S811">
        <v>0</v>
      </c>
      <c r="T811">
        <v>0</v>
      </c>
      <c r="U811">
        <v>0</v>
      </c>
      <c r="V811">
        <v>0</v>
      </c>
      <c r="W811">
        <v>0</v>
      </c>
      <c r="X811">
        <v>0</v>
      </c>
      <c r="Y811">
        <v>0</v>
      </c>
      <c r="Z811">
        <v>0</v>
      </c>
      <c r="AA811">
        <v>0</v>
      </c>
      <c r="AB811">
        <v>0</v>
      </c>
    </row>
    <row r="812" spans="1:28">
      <c r="A812">
        <v>0</v>
      </c>
      <c r="B812">
        <v>0</v>
      </c>
      <c r="C812">
        <v>0</v>
      </c>
      <c r="D812">
        <v>0</v>
      </c>
      <c r="E812">
        <v>0</v>
      </c>
      <c r="F812">
        <v>0</v>
      </c>
      <c r="G812">
        <v>0</v>
      </c>
      <c r="H812">
        <v>0</v>
      </c>
      <c r="I812">
        <v>0</v>
      </c>
      <c r="J812">
        <v>0</v>
      </c>
      <c r="K812">
        <v>0</v>
      </c>
      <c r="L812">
        <v>0</v>
      </c>
      <c r="M812">
        <v>0</v>
      </c>
      <c r="N812">
        <v>0</v>
      </c>
      <c r="O812">
        <v>0</v>
      </c>
      <c r="P812">
        <v>0</v>
      </c>
      <c r="Q812">
        <v>0</v>
      </c>
      <c r="R812">
        <v>0</v>
      </c>
      <c r="S812">
        <v>0</v>
      </c>
      <c r="T812">
        <v>0</v>
      </c>
      <c r="U812">
        <v>0</v>
      </c>
      <c r="V812">
        <v>0</v>
      </c>
      <c r="W812">
        <v>0</v>
      </c>
      <c r="X812">
        <v>0</v>
      </c>
      <c r="Y812">
        <v>0</v>
      </c>
      <c r="Z812">
        <v>0</v>
      </c>
      <c r="AA812">
        <v>0</v>
      </c>
      <c r="AB812">
        <v>0</v>
      </c>
    </row>
    <row r="813" spans="1:28">
      <c r="A813">
        <v>0</v>
      </c>
      <c r="B813">
        <v>0</v>
      </c>
      <c r="C813">
        <v>0</v>
      </c>
      <c r="D813">
        <v>0</v>
      </c>
      <c r="E813">
        <v>0</v>
      </c>
      <c r="F813">
        <v>0</v>
      </c>
      <c r="G813">
        <v>0</v>
      </c>
      <c r="H813">
        <v>0</v>
      </c>
      <c r="I813">
        <v>0</v>
      </c>
      <c r="J813">
        <v>0</v>
      </c>
      <c r="K813">
        <v>0</v>
      </c>
      <c r="L813">
        <v>0</v>
      </c>
      <c r="M813">
        <v>0</v>
      </c>
      <c r="N813">
        <v>0</v>
      </c>
      <c r="O813">
        <v>0</v>
      </c>
      <c r="P813">
        <v>0</v>
      </c>
      <c r="Q813">
        <v>0</v>
      </c>
      <c r="R813">
        <v>0</v>
      </c>
      <c r="S813">
        <v>0</v>
      </c>
      <c r="T813">
        <v>0</v>
      </c>
      <c r="U813">
        <v>0</v>
      </c>
      <c r="V813">
        <v>0</v>
      </c>
      <c r="W813">
        <v>0</v>
      </c>
      <c r="X813">
        <v>0</v>
      </c>
      <c r="Y813">
        <v>0</v>
      </c>
      <c r="Z813">
        <v>0</v>
      </c>
      <c r="AA813">
        <v>0</v>
      </c>
      <c r="AB813">
        <v>0</v>
      </c>
    </row>
    <row r="814" spans="1:28">
      <c r="A814">
        <v>0</v>
      </c>
      <c r="B814">
        <v>0</v>
      </c>
      <c r="C814">
        <v>0</v>
      </c>
      <c r="D814">
        <v>0</v>
      </c>
      <c r="E814">
        <v>0</v>
      </c>
      <c r="F814">
        <v>0</v>
      </c>
      <c r="G814">
        <v>0</v>
      </c>
      <c r="H814">
        <v>0</v>
      </c>
      <c r="I814">
        <v>0</v>
      </c>
      <c r="J814">
        <v>0</v>
      </c>
      <c r="K814">
        <v>0</v>
      </c>
      <c r="L814">
        <v>0</v>
      </c>
      <c r="M814">
        <v>0</v>
      </c>
      <c r="N814">
        <v>0</v>
      </c>
      <c r="O814">
        <v>0</v>
      </c>
      <c r="P814">
        <v>0</v>
      </c>
      <c r="Q814">
        <v>0</v>
      </c>
      <c r="R814">
        <v>0</v>
      </c>
      <c r="S814">
        <v>0</v>
      </c>
      <c r="T814">
        <v>0</v>
      </c>
      <c r="U814">
        <v>0</v>
      </c>
      <c r="V814">
        <v>0</v>
      </c>
      <c r="W814">
        <v>0</v>
      </c>
      <c r="X814">
        <v>0</v>
      </c>
      <c r="Y814">
        <v>0</v>
      </c>
      <c r="Z814">
        <v>0</v>
      </c>
      <c r="AA814">
        <v>0</v>
      </c>
      <c r="AB814">
        <v>0</v>
      </c>
    </row>
    <row r="815" spans="1:28">
      <c r="A815">
        <v>0</v>
      </c>
      <c r="B815">
        <v>0</v>
      </c>
      <c r="C815">
        <v>0</v>
      </c>
      <c r="D815">
        <v>0</v>
      </c>
      <c r="E815">
        <v>0</v>
      </c>
      <c r="F815">
        <v>0</v>
      </c>
      <c r="G815">
        <v>0</v>
      </c>
      <c r="H815">
        <v>0</v>
      </c>
      <c r="I815">
        <v>0</v>
      </c>
      <c r="J815">
        <v>0</v>
      </c>
      <c r="K815">
        <v>0</v>
      </c>
      <c r="L815">
        <v>0</v>
      </c>
      <c r="M815">
        <v>0</v>
      </c>
      <c r="N815">
        <v>0</v>
      </c>
      <c r="O815">
        <v>0</v>
      </c>
      <c r="P815">
        <v>0</v>
      </c>
      <c r="Q815">
        <v>0</v>
      </c>
      <c r="R815">
        <v>0</v>
      </c>
      <c r="S815">
        <v>0</v>
      </c>
      <c r="T815">
        <v>0</v>
      </c>
      <c r="U815">
        <v>0</v>
      </c>
      <c r="V815">
        <v>0</v>
      </c>
      <c r="W815">
        <v>0</v>
      </c>
      <c r="X815">
        <v>0</v>
      </c>
      <c r="Y815">
        <v>0</v>
      </c>
      <c r="Z815">
        <v>0</v>
      </c>
      <c r="AA815">
        <v>0</v>
      </c>
      <c r="AB815">
        <v>0</v>
      </c>
    </row>
    <row r="816" spans="1:28">
      <c r="A816">
        <v>0</v>
      </c>
      <c r="B816">
        <v>0</v>
      </c>
      <c r="C816">
        <v>0</v>
      </c>
      <c r="D816">
        <v>0</v>
      </c>
      <c r="E816">
        <v>0</v>
      </c>
      <c r="F816">
        <v>0</v>
      </c>
      <c r="G816">
        <v>0</v>
      </c>
      <c r="H816">
        <v>0</v>
      </c>
      <c r="I816">
        <v>0</v>
      </c>
      <c r="J816">
        <v>0</v>
      </c>
      <c r="K816">
        <v>0</v>
      </c>
      <c r="L816">
        <v>0</v>
      </c>
      <c r="M816">
        <v>0</v>
      </c>
      <c r="N816">
        <v>0</v>
      </c>
      <c r="O816">
        <v>0</v>
      </c>
      <c r="P816">
        <v>0</v>
      </c>
      <c r="Q816">
        <v>0</v>
      </c>
      <c r="R816">
        <v>0</v>
      </c>
      <c r="S816">
        <v>0</v>
      </c>
      <c r="T816">
        <v>0</v>
      </c>
      <c r="U816">
        <v>0</v>
      </c>
      <c r="V816">
        <v>0</v>
      </c>
      <c r="W816">
        <v>0</v>
      </c>
      <c r="X816">
        <v>0</v>
      </c>
      <c r="Y816">
        <v>0</v>
      </c>
      <c r="Z816">
        <v>0</v>
      </c>
      <c r="AA816">
        <v>0</v>
      </c>
      <c r="AB816">
        <v>0</v>
      </c>
    </row>
    <row r="817" spans="1:28">
      <c r="A817">
        <v>0</v>
      </c>
      <c r="B817">
        <v>0</v>
      </c>
      <c r="C817">
        <v>0</v>
      </c>
      <c r="D817">
        <v>0</v>
      </c>
      <c r="E817">
        <v>0</v>
      </c>
      <c r="F817">
        <v>0</v>
      </c>
      <c r="G817">
        <v>0</v>
      </c>
      <c r="H817">
        <v>0</v>
      </c>
      <c r="I817">
        <v>0</v>
      </c>
      <c r="J817">
        <v>0</v>
      </c>
      <c r="K817">
        <v>0</v>
      </c>
      <c r="L817">
        <v>0</v>
      </c>
      <c r="M817">
        <v>0</v>
      </c>
      <c r="N817">
        <v>0</v>
      </c>
      <c r="O817">
        <v>0</v>
      </c>
      <c r="P817">
        <v>0</v>
      </c>
      <c r="Q817">
        <v>0</v>
      </c>
      <c r="R817">
        <v>0</v>
      </c>
      <c r="S817">
        <v>0</v>
      </c>
      <c r="T817">
        <v>0</v>
      </c>
      <c r="U817">
        <v>0</v>
      </c>
      <c r="V817">
        <v>0</v>
      </c>
      <c r="W817">
        <v>0</v>
      </c>
      <c r="X817">
        <v>0</v>
      </c>
      <c r="Y817">
        <v>0</v>
      </c>
      <c r="Z817">
        <v>0</v>
      </c>
      <c r="AA817">
        <v>0</v>
      </c>
      <c r="AB817">
        <v>0</v>
      </c>
    </row>
    <row r="818" spans="1:28">
      <c r="A818">
        <v>0</v>
      </c>
      <c r="B818">
        <v>0</v>
      </c>
      <c r="C818">
        <v>0</v>
      </c>
      <c r="D818">
        <v>0</v>
      </c>
      <c r="E818">
        <v>0</v>
      </c>
      <c r="F818">
        <v>0</v>
      </c>
      <c r="G818">
        <v>0</v>
      </c>
      <c r="H818">
        <v>0</v>
      </c>
      <c r="I818">
        <v>0</v>
      </c>
      <c r="J818">
        <v>0</v>
      </c>
      <c r="K818">
        <v>0</v>
      </c>
      <c r="L818">
        <v>0</v>
      </c>
      <c r="M818">
        <v>0</v>
      </c>
      <c r="N818">
        <v>0</v>
      </c>
      <c r="O818">
        <v>0</v>
      </c>
      <c r="P818">
        <v>0</v>
      </c>
      <c r="Q818">
        <v>0</v>
      </c>
      <c r="R818">
        <v>0</v>
      </c>
      <c r="S818">
        <v>0</v>
      </c>
      <c r="T818">
        <v>0</v>
      </c>
      <c r="U818">
        <v>0</v>
      </c>
      <c r="V818">
        <v>0</v>
      </c>
      <c r="W818">
        <v>0</v>
      </c>
      <c r="X818">
        <v>0</v>
      </c>
      <c r="Y818">
        <v>0</v>
      </c>
      <c r="Z818">
        <v>0</v>
      </c>
      <c r="AA818">
        <v>0</v>
      </c>
      <c r="AB818">
        <v>0</v>
      </c>
    </row>
    <row r="819" spans="1:28">
      <c r="A819">
        <v>0</v>
      </c>
      <c r="B819">
        <v>0</v>
      </c>
      <c r="C819">
        <v>0</v>
      </c>
      <c r="D819">
        <v>0</v>
      </c>
      <c r="E819">
        <v>0</v>
      </c>
      <c r="F819">
        <v>0</v>
      </c>
      <c r="G819">
        <v>0</v>
      </c>
      <c r="H819">
        <v>0</v>
      </c>
      <c r="I819">
        <v>0</v>
      </c>
      <c r="J819">
        <v>0</v>
      </c>
      <c r="K819">
        <v>0</v>
      </c>
      <c r="L819">
        <v>0</v>
      </c>
      <c r="M819">
        <v>0</v>
      </c>
      <c r="N819">
        <v>0</v>
      </c>
      <c r="O819">
        <v>0</v>
      </c>
      <c r="P819">
        <v>0</v>
      </c>
      <c r="Q819">
        <v>0</v>
      </c>
      <c r="R819">
        <v>0</v>
      </c>
      <c r="S819">
        <v>0</v>
      </c>
      <c r="T819">
        <v>0</v>
      </c>
      <c r="U819">
        <v>0</v>
      </c>
      <c r="V819">
        <v>0</v>
      </c>
      <c r="W819">
        <v>0</v>
      </c>
      <c r="X819">
        <v>0</v>
      </c>
      <c r="Y819">
        <v>0</v>
      </c>
      <c r="Z819">
        <v>0</v>
      </c>
      <c r="AA819">
        <v>0</v>
      </c>
      <c r="AB819">
        <v>0</v>
      </c>
    </row>
    <row r="820" spans="1:28">
      <c r="A820">
        <v>0</v>
      </c>
      <c r="B820">
        <v>0</v>
      </c>
      <c r="C820">
        <v>0</v>
      </c>
      <c r="D820">
        <v>0</v>
      </c>
      <c r="E820">
        <v>0</v>
      </c>
      <c r="F820">
        <v>0</v>
      </c>
      <c r="G820">
        <v>0</v>
      </c>
      <c r="H820">
        <v>0</v>
      </c>
      <c r="I820">
        <v>0</v>
      </c>
      <c r="J820">
        <v>0</v>
      </c>
      <c r="K820">
        <v>0</v>
      </c>
      <c r="L820">
        <v>0</v>
      </c>
      <c r="M820">
        <v>0</v>
      </c>
      <c r="N820">
        <v>0</v>
      </c>
      <c r="O820">
        <v>0</v>
      </c>
      <c r="P820">
        <v>0</v>
      </c>
      <c r="Q820">
        <v>0</v>
      </c>
      <c r="R820">
        <v>0</v>
      </c>
      <c r="S820">
        <v>0</v>
      </c>
      <c r="T820">
        <v>0</v>
      </c>
      <c r="U820">
        <v>0</v>
      </c>
      <c r="V820">
        <v>0</v>
      </c>
      <c r="W820">
        <v>0</v>
      </c>
      <c r="X820">
        <v>0</v>
      </c>
      <c r="Y820">
        <v>0</v>
      </c>
      <c r="Z820">
        <v>0</v>
      </c>
      <c r="AA820">
        <v>0</v>
      </c>
      <c r="AB820">
        <v>0</v>
      </c>
    </row>
    <row r="821" spans="1:28">
      <c r="A821">
        <v>0</v>
      </c>
      <c r="B821">
        <v>0</v>
      </c>
      <c r="C821">
        <v>0</v>
      </c>
      <c r="D821">
        <v>0</v>
      </c>
      <c r="E821">
        <v>0</v>
      </c>
      <c r="F821">
        <v>0</v>
      </c>
      <c r="G821">
        <v>0</v>
      </c>
      <c r="H821">
        <v>0</v>
      </c>
      <c r="I821">
        <v>0</v>
      </c>
      <c r="J821">
        <v>0</v>
      </c>
      <c r="K821">
        <v>0</v>
      </c>
      <c r="L821">
        <v>0</v>
      </c>
      <c r="M821">
        <v>0</v>
      </c>
      <c r="N821">
        <v>0</v>
      </c>
      <c r="O821">
        <v>0</v>
      </c>
      <c r="P821">
        <v>0</v>
      </c>
      <c r="Q821">
        <v>0</v>
      </c>
      <c r="R821">
        <v>0</v>
      </c>
      <c r="S821">
        <v>0</v>
      </c>
      <c r="T821">
        <v>0</v>
      </c>
      <c r="U821">
        <v>0</v>
      </c>
      <c r="V821">
        <v>0</v>
      </c>
      <c r="W821">
        <v>0</v>
      </c>
      <c r="X821">
        <v>0</v>
      </c>
      <c r="Y821">
        <v>0</v>
      </c>
      <c r="Z821">
        <v>0</v>
      </c>
      <c r="AA821">
        <v>0</v>
      </c>
      <c r="AB821">
        <v>0</v>
      </c>
    </row>
    <row r="822" spans="1:28">
      <c r="A822">
        <v>0</v>
      </c>
      <c r="B822">
        <v>0</v>
      </c>
      <c r="C822">
        <v>0</v>
      </c>
      <c r="D822">
        <v>0</v>
      </c>
      <c r="E822">
        <v>0</v>
      </c>
      <c r="F822">
        <v>0</v>
      </c>
      <c r="G822">
        <v>0</v>
      </c>
      <c r="H822">
        <v>0</v>
      </c>
      <c r="I822">
        <v>0</v>
      </c>
      <c r="J822">
        <v>0</v>
      </c>
      <c r="K822">
        <v>0</v>
      </c>
      <c r="L822">
        <v>0</v>
      </c>
      <c r="M822">
        <v>0</v>
      </c>
      <c r="N822">
        <v>0</v>
      </c>
      <c r="O822">
        <v>0</v>
      </c>
      <c r="P822">
        <v>0</v>
      </c>
      <c r="Q822">
        <v>0</v>
      </c>
      <c r="R822">
        <v>0</v>
      </c>
      <c r="S822">
        <v>0</v>
      </c>
      <c r="T822">
        <v>0</v>
      </c>
      <c r="U822">
        <v>0</v>
      </c>
      <c r="V822">
        <v>0</v>
      </c>
      <c r="W822">
        <v>0</v>
      </c>
      <c r="X822">
        <v>0</v>
      </c>
      <c r="Y822">
        <v>0</v>
      </c>
      <c r="Z822">
        <v>0</v>
      </c>
      <c r="AA822">
        <v>0</v>
      </c>
      <c r="AB822">
        <v>0</v>
      </c>
    </row>
    <row r="823" spans="1:28">
      <c r="A823">
        <v>0</v>
      </c>
      <c r="B823">
        <v>0</v>
      </c>
      <c r="C823">
        <v>0</v>
      </c>
      <c r="D823">
        <v>0</v>
      </c>
      <c r="E823">
        <v>0</v>
      </c>
      <c r="F823">
        <v>0</v>
      </c>
      <c r="G823">
        <v>0</v>
      </c>
      <c r="H823">
        <v>0</v>
      </c>
      <c r="I823">
        <v>0</v>
      </c>
      <c r="J823">
        <v>0</v>
      </c>
      <c r="K823">
        <v>0</v>
      </c>
      <c r="L823">
        <v>0</v>
      </c>
      <c r="M823">
        <v>0</v>
      </c>
      <c r="N823">
        <v>0</v>
      </c>
      <c r="O823">
        <v>0</v>
      </c>
      <c r="P823">
        <v>0</v>
      </c>
      <c r="Q823">
        <v>0</v>
      </c>
      <c r="R823">
        <v>0</v>
      </c>
      <c r="S823">
        <v>0</v>
      </c>
      <c r="T823">
        <v>0</v>
      </c>
      <c r="U823">
        <v>0</v>
      </c>
      <c r="V823">
        <v>0</v>
      </c>
      <c r="W823">
        <v>0</v>
      </c>
      <c r="X823">
        <v>0</v>
      </c>
      <c r="Y823">
        <v>0</v>
      </c>
      <c r="Z823">
        <v>0</v>
      </c>
      <c r="AA823">
        <v>0</v>
      </c>
      <c r="AB823">
        <v>0</v>
      </c>
    </row>
    <row r="824" spans="1:28">
      <c r="A824">
        <v>0</v>
      </c>
      <c r="B824">
        <v>0</v>
      </c>
      <c r="C824">
        <v>0</v>
      </c>
      <c r="D824">
        <v>0</v>
      </c>
      <c r="E824">
        <v>0</v>
      </c>
      <c r="F824">
        <v>0</v>
      </c>
      <c r="G824">
        <v>0</v>
      </c>
      <c r="H824">
        <v>0</v>
      </c>
      <c r="I824">
        <v>0</v>
      </c>
      <c r="J824">
        <v>0</v>
      </c>
      <c r="K824">
        <v>0</v>
      </c>
      <c r="L824">
        <v>0</v>
      </c>
      <c r="M824">
        <v>0</v>
      </c>
      <c r="N824">
        <v>0</v>
      </c>
      <c r="O824">
        <v>0</v>
      </c>
      <c r="P824">
        <v>0</v>
      </c>
      <c r="Q824">
        <v>0</v>
      </c>
      <c r="R824">
        <v>0</v>
      </c>
      <c r="S824">
        <v>0</v>
      </c>
      <c r="T824">
        <v>0</v>
      </c>
      <c r="U824">
        <v>0</v>
      </c>
      <c r="V824">
        <v>0</v>
      </c>
      <c r="W824">
        <v>0</v>
      </c>
      <c r="X824">
        <v>0</v>
      </c>
      <c r="Y824">
        <v>0</v>
      </c>
      <c r="Z824">
        <v>0</v>
      </c>
      <c r="AA824">
        <v>0</v>
      </c>
      <c r="AB824">
        <v>0</v>
      </c>
    </row>
    <row r="825" spans="1:28">
      <c r="A825">
        <v>0</v>
      </c>
      <c r="B825">
        <v>0</v>
      </c>
      <c r="C825">
        <v>0</v>
      </c>
      <c r="D825">
        <v>0</v>
      </c>
      <c r="E825">
        <v>0</v>
      </c>
      <c r="F825">
        <v>0</v>
      </c>
      <c r="G825">
        <v>0</v>
      </c>
      <c r="H825">
        <v>0</v>
      </c>
      <c r="I825">
        <v>0</v>
      </c>
      <c r="J825">
        <v>0</v>
      </c>
      <c r="K825">
        <v>0</v>
      </c>
      <c r="L825">
        <v>0</v>
      </c>
      <c r="M825">
        <v>0</v>
      </c>
      <c r="N825">
        <v>0</v>
      </c>
      <c r="O825">
        <v>0</v>
      </c>
      <c r="P825">
        <v>0</v>
      </c>
      <c r="Q825">
        <v>0</v>
      </c>
      <c r="R825">
        <v>0</v>
      </c>
      <c r="S825">
        <v>0</v>
      </c>
      <c r="T825">
        <v>0</v>
      </c>
      <c r="U825">
        <v>0</v>
      </c>
      <c r="V825">
        <v>0</v>
      </c>
      <c r="W825">
        <v>0</v>
      </c>
      <c r="X825">
        <v>0</v>
      </c>
      <c r="Y825">
        <v>0</v>
      </c>
      <c r="Z825">
        <v>0</v>
      </c>
      <c r="AA825">
        <v>0</v>
      </c>
      <c r="AB825">
        <v>0</v>
      </c>
    </row>
    <row r="826" spans="1:28">
      <c r="A826">
        <v>0</v>
      </c>
      <c r="B826">
        <v>0</v>
      </c>
      <c r="C826">
        <v>0</v>
      </c>
      <c r="D826">
        <v>0</v>
      </c>
      <c r="E826">
        <v>0</v>
      </c>
      <c r="F826">
        <v>0</v>
      </c>
      <c r="G826">
        <v>0</v>
      </c>
      <c r="H826">
        <v>0</v>
      </c>
      <c r="I826">
        <v>0</v>
      </c>
      <c r="J826">
        <v>0</v>
      </c>
      <c r="K826">
        <v>0</v>
      </c>
      <c r="L826">
        <v>0</v>
      </c>
      <c r="M826">
        <v>0</v>
      </c>
      <c r="N826">
        <v>0</v>
      </c>
      <c r="O826">
        <v>0</v>
      </c>
      <c r="P826">
        <v>0</v>
      </c>
      <c r="Q826">
        <v>0</v>
      </c>
      <c r="R826">
        <v>0</v>
      </c>
      <c r="S826">
        <v>0</v>
      </c>
      <c r="T826">
        <v>0</v>
      </c>
      <c r="U826">
        <v>0</v>
      </c>
      <c r="V826">
        <v>0</v>
      </c>
      <c r="W826">
        <v>0</v>
      </c>
      <c r="X826">
        <v>0</v>
      </c>
      <c r="Y826">
        <v>0</v>
      </c>
      <c r="Z826">
        <v>0</v>
      </c>
      <c r="AA826">
        <v>0</v>
      </c>
      <c r="AB826">
        <v>0</v>
      </c>
    </row>
    <row r="827" spans="1:28">
      <c r="A827">
        <v>0</v>
      </c>
      <c r="B827">
        <v>0</v>
      </c>
      <c r="C827">
        <v>0</v>
      </c>
      <c r="D827">
        <v>0</v>
      </c>
      <c r="E827">
        <v>0</v>
      </c>
      <c r="F827">
        <v>0</v>
      </c>
      <c r="G827">
        <v>0</v>
      </c>
      <c r="H827">
        <v>0</v>
      </c>
      <c r="I827">
        <v>0</v>
      </c>
      <c r="J827">
        <v>0</v>
      </c>
      <c r="K827">
        <v>0</v>
      </c>
      <c r="L827">
        <v>0</v>
      </c>
      <c r="M827">
        <v>0</v>
      </c>
      <c r="N827">
        <v>0</v>
      </c>
      <c r="O827">
        <v>0</v>
      </c>
      <c r="P827">
        <v>0</v>
      </c>
      <c r="Q827">
        <v>0</v>
      </c>
      <c r="R827">
        <v>0</v>
      </c>
      <c r="S827">
        <v>0</v>
      </c>
      <c r="T827">
        <v>0</v>
      </c>
      <c r="U827">
        <v>0</v>
      </c>
      <c r="V827">
        <v>0</v>
      </c>
      <c r="W827">
        <v>0</v>
      </c>
      <c r="X827">
        <v>0</v>
      </c>
      <c r="Y827">
        <v>0</v>
      </c>
      <c r="Z827">
        <v>0</v>
      </c>
      <c r="AA827">
        <v>0</v>
      </c>
      <c r="AB827">
        <v>0</v>
      </c>
    </row>
    <row r="828" spans="1:28">
      <c r="A828">
        <v>0</v>
      </c>
      <c r="B828">
        <v>0</v>
      </c>
      <c r="C828">
        <v>0</v>
      </c>
      <c r="D828">
        <v>0</v>
      </c>
      <c r="E828">
        <v>0</v>
      </c>
      <c r="F828">
        <v>0</v>
      </c>
      <c r="G828">
        <v>0</v>
      </c>
      <c r="H828">
        <v>0</v>
      </c>
      <c r="I828">
        <v>0</v>
      </c>
      <c r="J828">
        <v>0</v>
      </c>
      <c r="K828">
        <v>0</v>
      </c>
      <c r="L828">
        <v>0</v>
      </c>
      <c r="M828">
        <v>0</v>
      </c>
      <c r="N828">
        <v>0</v>
      </c>
      <c r="O828">
        <v>0</v>
      </c>
      <c r="P828">
        <v>0</v>
      </c>
      <c r="Q828">
        <v>0</v>
      </c>
      <c r="R828">
        <v>0</v>
      </c>
      <c r="S828">
        <v>0</v>
      </c>
      <c r="T828">
        <v>0</v>
      </c>
      <c r="U828">
        <v>0</v>
      </c>
      <c r="V828">
        <v>0</v>
      </c>
      <c r="W828">
        <v>0</v>
      </c>
      <c r="X828">
        <v>0</v>
      </c>
      <c r="Y828">
        <v>0</v>
      </c>
      <c r="Z828">
        <v>0</v>
      </c>
      <c r="AA828">
        <v>0</v>
      </c>
      <c r="AB828">
        <v>0</v>
      </c>
    </row>
    <row r="829" spans="1:28">
      <c r="A829">
        <v>0</v>
      </c>
      <c r="B829">
        <v>0</v>
      </c>
      <c r="C829">
        <v>0</v>
      </c>
      <c r="D829">
        <v>0</v>
      </c>
      <c r="E829">
        <v>0</v>
      </c>
      <c r="F829">
        <v>0</v>
      </c>
      <c r="G829">
        <v>0</v>
      </c>
      <c r="H829">
        <v>0</v>
      </c>
      <c r="I829">
        <v>0</v>
      </c>
      <c r="J829">
        <v>0</v>
      </c>
      <c r="K829">
        <v>0</v>
      </c>
      <c r="L829">
        <v>0</v>
      </c>
      <c r="M829">
        <v>0</v>
      </c>
      <c r="N829">
        <v>0</v>
      </c>
      <c r="O829">
        <v>0</v>
      </c>
      <c r="P829">
        <v>0</v>
      </c>
      <c r="Q829">
        <v>0</v>
      </c>
      <c r="R829">
        <v>0</v>
      </c>
      <c r="S829">
        <v>0</v>
      </c>
      <c r="T829">
        <v>0</v>
      </c>
      <c r="U829">
        <v>0</v>
      </c>
      <c r="V829">
        <v>0</v>
      </c>
      <c r="W829">
        <v>0</v>
      </c>
      <c r="X829">
        <v>0</v>
      </c>
      <c r="Y829">
        <v>0</v>
      </c>
      <c r="Z829">
        <v>0</v>
      </c>
      <c r="AA829">
        <v>0</v>
      </c>
      <c r="AB829">
        <v>0</v>
      </c>
    </row>
    <row r="830" spans="1:28">
      <c r="A830">
        <v>0</v>
      </c>
      <c r="B830">
        <v>0</v>
      </c>
      <c r="C830">
        <v>0</v>
      </c>
      <c r="D830">
        <v>0</v>
      </c>
      <c r="E830">
        <v>0</v>
      </c>
      <c r="F830">
        <v>0</v>
      </c>
      <c r="G830">
        <v>0</v>
      </c>
      <c r="H830">
        <v>0</v>
      </c>
      <c r="I830">
        <v>0</v>
      </c>
      <c r="J830">
        <v>0</v>
      </c>
      <c r="K830">
        <v>0</v>
      </c>
      <c r="L830">
        <v>0</v>
      </c>
      <c r="M830">
        <v>0</v>
      </c>
      <c r="N830">
        <v>0</v>
      </c>
      <c r="O830">
        <v>0</v>
      </c>
      <c r="P830">
        <v>0</v>
      </c>
      <c r="Q830">
        <v>0</v>
      </c>
      <c r="R830">
        <v>0</v>
      </c>
      <c r="S830">
        <v>0</v>
      </c>
      <c r="T830">
        <v>0</v>
      </c>
      <c r="U830">
        <v>0</v>
      </c>
      <c r="V830">
        <v>0</v>
      </c>
      <c r="W830">
        <v>0</v>
      </c>
      <c r="X830">
        <v>0</v>
      </c>
      <c r="Y830">
        <v>0</v>
      </c>
      <c r="Z830">
        <v>0</v>
      </c>
      <c r="AA830">
        <v>0</v>
      </c>
      <c r="AB830">
        <v>0</v>
      </c>
    </row>
    <row r="831" spans="1:28">
      <c r="A831">
        <v>0</v>
      </c>
      <c r="B831">
        <v>0</v>
      </c>
      <c r="C831">
        <v>0</v>
      </c>
      <c r="D831">
        <v>0</v>
      </c>
      <c r="E831">
        <v>0</v>
      </c>
      <c r="F831">
        <v>0</v>
      </c>
      <c r="G831">
        <v>0</v>
      </c>
      <c r="H831">
        <v>0</v>
      </c>
      <c r="I831">
        <v>0</v>
      </c>
      <c r="J831">
        <v>0</v>
      </c>
      <c r="K831">
        <v>0</v>
      </c>
      <c r="L831">
        <v>0</v>
      </c>
      <c r="M831">
        <v>0</v>
      </c>
      <c r="N831">
        <v>0</v>
      </c>
      <c r="O831">
        <v>0</v>
      </c>
      <c r="P831">
        <v>0</v>
      </c>
      <c r="Q831">
        <v>0</v>
      </c>
      <c r="R831">
        <v>0</v>
      </c>
      <c r="S831">
        <v>0</v>
      </c>
      <c r="T831">
        <v>0</v>
      </c>
      <c r="U831">
        <v>0</v>
      </c>
      <c r="V831">
        <v>0</v>
      </c>
      <c r="W831">
        <v>0</v>
      </c>
      <c r="X831">
        <v>0</v>
      </c>
      <c r="Y831">
        <v>0</v>
      </c>
      <c r="Z831">
        <v>0</v>
      </c>
      <c r="AA831">
        <v>0</v>
      </c>
      <c r="AB831">
        <v>0</v>
      </c>
    </row>
    <row r="832" spans="1:28">
      <c r="A832">
        <v>0</v>
      </c>
      <c r="B832">
        <v>0</v>
      </c>
      <c r="C832">
        <v>0</v>
      </c>
      <c r="D832">
        <v>0</v>
      </c>
      <c r="E832">
        <v>0</v>
      </c>
      <c r="F832">
        <v>0</v>
      </c>
      <c r="G832">
        <v>0</v>
      </c>
      <c r="H832">
        <v>0</v>
      </c>
      <c r="I832">
        <v>0</v>
      </c>
      <c r="J832">
        <v>0</v>
      </c>
      <c r="K832">
        <v>0</v>
      </c>
      <c r="L832">
        <v>0</v>
      </c>
      <c r="M832">
        <v>0</v>
      </c>
      <c r="N832">
        <v>0</v>
      </c>
      <c r="O832">
        <v>0</v>
      </c>
      <c r="P832">
        <v>0</v>
      </c>
      <c r="Q832">
        <v>0</v>
      </c>
      <c r="R832">
        <v>0</v>
      </c>
      <c r="S832">
        <v>0</v>
      </c>
      <c r="T832">
        <v>0</v>
      </c>
      <c r="U832">
        <v>0</v>
      </c>
      <c r="V832">
        <v>0</v>
      </c>
      <c r="W832">
        <v>0</v>
      </c>
      <c r="X832">
        <v>0</v>
      </c>
      <c r="Y832">
        <v>0</v>
      </c>
      <c r="Z832">
        <v>0</v>
      </c>
      <c r="AA832">
        <v>0</v>
      </c>
      <c r="AB832">
        <v>0</v>
      </c>
    </row>
    <row r="833" spans="1:28">
      <c r="A833">
        <v>0</v>
      </c>
      <c r="B833">
        <v>0</v>
      </c>
      <c r="C833">
        <v>0</v>
      </c>
      <c r="D833">
        <v>0</v>
      </c>
      <c r="E833">
        <v>0</v>
      </c>
      <c r="F833">
        <v>0</v>
      </c>
      <c r="G833">
        <v>0</v>
      </c>
      <c r="H833">
        <v>0</v>
      </c>
      <c r="I833">
        <v>0</v>
      </c>
      <c r="J833">
        <v>0</v>
      </c>
      <c r="K833">
        <v>0</v>
      </c>
      <c r="L833">
        <v>0</v>
      </c>
      <c r="M833">
        <v>0</v>
      </c>
      <c r="N833">
        <v>0</v>
      </c>
      <c r="O833">
        <v>0</v>
      </c>
      <c r="P833">
        <v>0</v>
      </c>
      <c r="Q833">
        <v>0</v>
      </c>
      <c r="R833">
        <v>0</v>
      </c>
      <c r="S833">
        <v>0</v>
      </c>
      <c r="T833">
        <v>0</v>
      </c>
      <c r="U833">
        <v>0</v>
      </c>
      <c r="V833">
        <v>0</v>
      </c>
      <c r="W833">
        <v>0</v>
      </c>
      <c r="X833">
        <v>0</v>
      </c>
      <c r="Y833">
        <v>0</v>
      </c>
      <c r="Z833">
        <v>0</v>
      </c>
      <c r="AA833">
        <v>0</v>
      </c>
      <c r="AB833">
        <v>0</v>
      </c>
    </row>
    <row r="834" spans="1:28">
      <c r="A834">
        <v>0</v>
      </c>
      <c r="B834">
        <v>0</v>
      </c>
      <c r="C834">
        <v>0</v>
      </c>
      <c r="D834">
        <v>0</v>
      </c>
      <c r="E834">
        <v>0</v>
      </c>
      <c r="F834">
        <v>0</v>
      </c>
      <c r="G834">
        <v>0</v>
      </c>
      <c r="H834">
        <v>0</v>
      </c>
      <c r="I834">
        <v>0</v>
      </c>
      <c r="J834">
        <v>0</v>
      </c>
      <c r="K834">
        <v>0</v>
      </c>
      <c r="L834">
        <v>0</v>
      </c>
      <c r="M834">
        <v>0</v>
      </c>
      <c r="N834">
        <v>0</v>
      </c>
      <c r="O834">
        <v>0</v>
      </c>
      <c r="P834">
        <v>0</v>
      </c>
      <c r="Q834">
        <v>0</v>
      </c>
      <c r="R834">
        <v>0</v>
      </c>
      <c r="S834">
        <v>0</v>
      </c>
      <c r="T834">
        <v>0</v>
      </c>
      <c r="U834">
        <v>0</v>
      </c>
      <c r="V834">
        <v>0</v>
      </c>
      <c r="W834">
        <v>0</v>
      </c>
      <c r="X834">
        <v>0</v>
      </c>
      <c r="Y834">
        <v>0</v>
      </c>
      <c r="Z834">
        <v>0</v>
      </c>
      <c r="AA834">
        <v>0</v>
      </c>
      <c r="AB834">
        <v>0</v>
      </c>
    </row>
    <row r="835" spans="1:28">
      <c r="A835">
        <v>0</v>
      </c>
      <c r="B835">
        <v>0</v>
      </c>
      <c r="C835">
        <v>0</v>
      </c>
      <c r="D835">
        <v>0</v>
      </c>
      <c r="E835">
        <v>0</v>
      </c>
      <c r="F835">
        <v>0</v>
      </c>
      <c r="G835">
        <v>0</v>
      </c>
      <c r="H835">
        <v>0</v>
      </c>
      <c r="I835">
        <v>0</v>
      </c>
      <c r="J835">
        <v>0</v>
      </c>
      <c r="K835">
        <v>0</v>
      </c>
      <c r="L835">
        <v>0</v>
      </c>
      <c r="M835">
        <v>0</v>
      </c>
      <c r="N835">
        <v>0</v>
      </c>
      <c r="O835">
        <v>0</v>
      </c>
      <c r="P835">
        <v>0</v>
      </c>
      <c r="Q835">
        <v>0</v>
      </c>
      <c r="R835">
        <v>0</v>
      </c>
      <c r="S835">
        <v>0</v>
      </c>
      <c r="T835">
        <v>0</v>
      </c>
      <c r="U835">
        <v>0</v>
      </c>
      <c r="V835">
        <v>0</v>
      </c>
      <c r="W835">
        <v>0</v>
      </c>
      <c r="X835">
        <v>0</v>
      </c>
      <c r="Y835">
        <v>0</v>
      </c>
      <c r="Z835">
        <v>0</v>
      </c>
      <c r="AA835">
        <v>0</v>
      </c>
      <c r="AB835">
        <v>0</v>
      </c>
    </row>
    <row r="836" spans="1:28">
      <c r="A836">
        <v>0</v>
      </c>
      <c r="B836">
        <v>0</v>
      </c>
      <c r="C836">
        <v>0</v>
      </c>
      <c r="D836">
        <v>0</v>
      </c>
      <c r="E836">
        <v>0</v>
      </c>
      <c r="F836">
        <v>0</v>
      </c>
      <c r="G836">
        <v>0</v>
      </c>
      <c r="H836">
        <v>0</v>
      </c>
      <c r="I836">
        <v>0</v>
      </c>
      <c r="J836">
        <v>0</v>
      </c>
      <c r="K836">
        <v>0</v>
      </c>
      <c r="L836">
        <v>0</v>
      </c>
      <c r="M836">
        <v>0</v>
      </c>
      <c r="N836">
        <v>0</v>
      </c>
      <c r="O836">
        <v>0</v>
      </c>
      <c r="P836">
        <v>0</v>
      </c>
      <c r="Q836">
        <v>0</v>
      </c>
      <c r="R836">
        <v>0</v>
      </c>
      <c r="S836">
        <v>0</v>
      </c>
      <c r="T836">
        <v>0</v>
      </c>
      <c r="U836">
        <v>0</v>
      </c>
      <c r="V836">
        <v>0</v>
      </c>
      <c r="W836">
        <v>0</v>
      </c>
      <c r="X836">
        <v>0</v>
      </c>
      <c r="Y836">
        <v>0</v>
      </c>
      <c r="Z836">
        <v>0</v>
      </c>
      <c r="AA836">
        <v>0</v>
      </c>
      <c r="AB836">
        <v>0</v>
      </c>
    </row>
    <row r="837" spans="1:28">
      <c r="A837">
        <v>0</v>
      </c>
      <c r="B837">
        <v>0</v>
      </c>
      <c r="C837">
        <v>0</v>
      </c>
      <c r="D837">
        <v>0</v>
      </c>
      <c r="E837">
        <v>0</v>
      </c>
      <c r="F837">
        <v>0</v>
      </c>
      <c r="G837">
        <v>0</v>
      </c>
      <c r="H837">
        <v>0</v>
      </c>
      <c r="I837">
        <v>0</v>
      </c>
      <c r="J837">
        <v>0</v>
      </c>
      <c r="K837">
        <v>0</v>
      </c>
      <c r="L837">
        <v>0</v>
      </c>
      <c r="M837">
        <v>0</v>
      </c>
      <c r="N837">
        <v>0</v>
      </c>
      <c r="O837">
        <v>0</v>
      </c>
      <c r="P837">
        <v>0</v>
      </c>
      <c r="Q837">
        <v>0</v>
      </c>
      <c r="R837">
        <v>0</v>
      </c>
      <c r="S837">
        <v>0</v>
      </c>
      <c r="T837">
        <v>0</v>
      </c>
      <c r="U837">
        <v>0</v>
      </c>
      <c r="V837">
        <v>0</v>
      </c>
      <c r="W837">
        <v>0</v>
      </c>
      <c r="X837">
        <v>0</v>
      </c>
      <c r="Y837">
        <v>0</v>
      </c>
      <c r="Z837">
        <v>0</v>
      </c>
      <c r="AA837">
        <v>0</v>
      </c>
      <c r="AB837">
        <v>0</v>
      </c>
    </row>
    <row r="838" spans="1:28">
      <c r="A838">
        <v>0</v>
      </c>
      <c r="B838">
        <v>0</v>
      </c>
      <c r="C838">
        <v>0</v>
      </c>
      <c r="D838">
        <v>0</v>
      </c>
      <c r="E838">
        <v>0</v>
      </c>
      <c r="F838">
        <v>0</v>
      </c>
      <c r="G838">
        <v>0</v>
      </c>
      <c r="H838">
        <v>0</v>
      </c>
      <c r="I838">
        <v>0</v>
      </c>
      <c r="J838">
        <v>0</v>
      </c>
      <c r="K838">
        <v>0</v>
      </c>
      <c r="L838">
        <v>0</v>
      </c>
      <c r="M838">
        <v>0</v>
      </c>
      <c r="N838">
        <v>0</v>
      </c>
      <c r="O838">
        <v>0</v>
      </c>
      <c r="P838">
        <v>0</v>
      </c>
      <c r="Q838">
        <v>0</v>
      </c>
      <c r="R838">
        <v>0</v>
      </c>
      <c r="S838">
        <v>0</v>
      </c>
      <c r="T838">
        <v>0</v>
      </c>
      <c r="U838">
        <v>0</v>
      </c>
      <c r="V838">
        <v>0</v>
      </c>
      <c r="W838">
        <v>0</v>
      </c>
      <c r="X838">
        <v>0</v>
      </c>
      <c r="Y838">
        <v>0</v>
      </c>
      <c r="Z838">
        <v>0</v>
      </c>
      <c r="AA838">
        <v>0</v>
      </c>
      <c r="AB838">
        <v>0</v>
      </c>
    </row>
    <row r="839" spans="1:28">
      <c r="A839">
        <v>0</v>
      </c>
      <c r="B839">
        <v>0</v>
      </c>
      <c r="C839">
        <v>0</v>
      </c>
      <c r="D839">
        <v>0</v>
      </c>
      <c r="E839">
        <v>0</v>
      </c>
      <c r="F839">
        <v>0</v>
      </c>
      <c r="G839">
        <v>0</v>
      </c>
      <c r="H839">
        <v>0</v>
      </c>
      <c r="I839">
        <v>0</v>
      </c>
      <c r="J839">
        <v>0</v>
      </c>
      <c r="K839">
        <v>0</v>
      </c>
      <c r="L839">
        <v>0</v>
      </c>
      <c r="M839">
        <v>0</v>
      </c>
      <c r="N839">
        <v>0</v>
      </c>
      <c r="O839">
        <v>0</v>
      </c>
      <c r="P839">
        <v>0</v>
      </c>
      <c r="Q839">
        <v>0</v>
      </c>
      <c r="R839">
        <v>0</v>
      </c>
      <c r="S839">
        <v>0</v>
      </c>
      <c r="T839">
        <v>0</v>
      </c>
      <c r="U839">
        <v>0</v>
      </c>
      <c r="V839">
        <v>0</v>
      </c>
      <c r="W839">
        <v>0</v>
      </c>
      <c r="X839">
        <v>0</v>
      </c>
      <c r="Y839">
        <v>0</v>
      </c>
      <c r="Z839">
        <v>0</v>
      </c>
      <c r="AA839">
        <v>0</v>
      </c>
      <c r="AB839">
        <v>0</v>
      </c>
    </row>
    <row r="840" spans="1:28">
      <c r="A840">
        <v>0</v>
      </c>
      <c r="B840">
        <v>0</v>
      </c>
      <c r="C840">
        <v>0</v>
      </c>
      <c r="D840">
        <v>0</v>
      </c>
      <c r="E840">
        <v>0</v>
      </c>
      <c r="F840">
        <v>0</v>
      </c>
      <c r="G840">
        <v>0</v>
      </c>
      <c r="H840">
        <v>0</v>
      </c>
      <c r="I840">
        <v>0</v>
      </c>
      <c r="J840">
        <v>0</v>
      </c>
      <c r="K840">
        <v>0</v>
      </c>
      <c r="L840">
        <v>0</v>
      </c>
      <c r="M840">
        <v>0</v>
      </c>
      <c r="N840">
        <v>0</v>
      </c>
      <c r="O840">
        <v>0</v>
      </c>
      <c r="P840">
        <v>0</v>
      </c>
      <c r="Q840">
        <v>0</v>
      </c>
      <c r="R840">
        <v>0</v>
      </c>
      <c r="S840">
        <v>0</v>
      </c>
      <c r="T840">
        <v>0</v>
      </c>
      <c r="U840">
        <v>0</v>
      </c>
      <c r="V840">
        <v>0</v>
      </c>
      <c r="W840">
        <v>0</v>
      </c>
      <c r="X840">
        <v>0</v>
      </c>
      <c r="Y840">
        <v>0</v>
      </c>
      <c r="Z840">
        <v>0</v>
      </c>
      <c r="AA840">
        <v>0</v>
      </c>
      <c r="AB840">
        <v>0</v>
      </c>
    </row>
    <row r="841" spans="1:28">
      <c r="A841">
        <v>0</v>
      </c>
      <c r="B841">
        <v>0</v>
      </c>
      <c r="C841">
        <v>0</v>
      </c>
      <c r="D841">
        <v>0</v>
      </c>
      <c r="E841">
        <v>0</v>
      </c>
      <c r="F841">
        <v>0</v>
      </c>
      <c r="G841">
        <v>0</v>
      </c>
      <c r="H841">
        <v>0</v>
      </c>
      <c r="I841">
        <v>0</v>
      </c>
      <c r="J841">
        <v>0</v>
      </c>
      <c r="K841">
        <v>0</v>
      </c>
      <c r="L841">
        <v>0</v>
      </c>
      <c r="M841">
        <v>0</v>
      </c>
      <c r="N841">
        <v>0</v>
      </c>
      <c r="O841">
        <v>0</v>
      </c>
      <c r="P841">
        <v>0</v>
      </c>
      <c r="Q841">
        <v>0</v>
      </c>
      <c r="R841">
        <v>0</v>
      </c>
      <c r="S841">
        <v>0</v>
      </c>
      <c r="T841">
        <v>0</v>
      </c>
      <c r="U841">
        <v>0</v>
      </c>
      <c r="V841">
        <v>0</v>
      </c>
      <c r="W841">
        <v>0</v>
      </c>
      <c r="X841">
        <v>0</v>
      </c>
      <c r="Y841">
        <v>0</v>
      </c>
      <c r="Z841">
        <v>0</v>
      </c>
      <c r="AA841">
        <v>0</v>
      </c>
      <c r="AB841">
        <v>0</v>
      </c>
    </row>
    <row r="842" spans="1:28">
      <c r="A842">
        <v>0</v>
      </c>
      <c r="B842">
        <v>0</v>
      </c>
      <c r="C842">
        <v>0</v>
      </c>
      <c r="D842">
        <v>0</v>
      </c>
      <c r="E842">
        <v>0</v>
      </c>
      <c r="F842">
        <v>0</v>
      </c>
      <c r="G842">
        <v>0</v>
      </c>
      <c r="H842">
        <v>0</v>
      </c>
      <c r="I842">
        <v>0</v>
      </c>
      <c r="J842">
        <v>0</v>
      </c>
      <c r="K842">
        <v>0</v>
      </c>
      <c r="L842">
        <v>0</v>
      </c>
      <c r="M842">
        <v>0</v>
      </c>
      <c r="N842">
        <v>0</v>
      </c>
      <c r="O842">
        <v>0</v>
      </c>
      <c r="P842">
        <v>0</v>
      </c>
      <c r="Q842">
        <v>0</v>
      </c>
      <c r="R842">
        <v>0</v>
      </c>
      <c r="S842">
        <v>0</v>
      </c>
      <c r="T842">
        <v>0</v>
      </c>
      <c r="U842">
        <v>0</v>
      </c>
      <c r="V842">
        <v>0</v>
      </c>
      <c r="W842">
        <v>0</v>
      </c>
      <c r="X842">
        <v>0</v>
      </c>
      <c r="Y842">
        <v>0</v>
      </c>
      <c r="Z842">
        <v>0</v>
      </c>
      <c r="AA842">
        <v>0</v>
      </c>
      <c r="AB842">
        <v>0</v>
      </c>
    </row>
    <row r="843" spans="1:28">
      <c r="A843">
        <v>0</v>
      </c>
      <c r="B843">
        <v>0</v>
      </c>
      <c r="C843">
        <v>0</v>
      </c>
      <c r="D843">
        <v>0</v>
      </c>
      <c r="E843">
        <v>0</v>
      </c>
      <c r="F843">
        <v>0</v>
      </c>
      <c r="G843">
        <v>0</v>
      </c>
      <c r="H843">
        <v>0</v>
      </c>
      <c r="I843">
        <v>0</v>
      </c>
      <c r="J843">
        <v>0</v>
      </c>
      <c r="K843">
        <v>0</v>
      </c>
      <c r="L843">
        <v>0</v>
      </c>
      <c r="M843">
        <v>0</v>
      </c>
      <c r="N843">
        <v>0</v>
      </c>
      <c r="O843">
        <v>0</v>
      </c>
      <c r="P843">
        <v>0</v>
      </c>
      <c r="Q843">
        <v>0</v>
      </c>
      <c r="R843">
        <v>0</v>
      </c>
      <c r="S843">
        <v>0</v>
      </c>
      <c r="T843">
        <v>0</v>
      </c>
      <c r="U843">
        <v>0</v>
      </c>
      <c r="V843">
        <v>0</v>
      </c>
      <c r="W843">
        <v>0</v>
      </c>
      <c r="X843">
        <v>0</v>
      </c>
      <c r="Y843">
        <v>0</v>
      </c>
      <c r="Z843">
        <v>0</v>
      </c>
      <c r="AA843">
        <v>0</v>
      </c>
      <c r="AB843">
        <v>0</v>
      </c>
    </row>
    <row r="844" spans="1:28">
      <c r="A844">
        <v>0</v>
      </c>
      <c r="B844">
        <v>0</v>
      </c>
      <c r="C844">
        <v>0</v>
      </c>
      <c r="D844">
        <v>0</v>
      </c>
      <c r="E844">
        <v>0</v>
      </c>
      <c r="F844">
        <v>0</v>
      </c>
      <c r="G844">
        <v>0</v>
      </c>
      <c r="H844">
        <v>0</v>
      </c>
      <c r="I844">
        <v>0</v>
      </c>
      <c r="J844">
        <v>0</v>
      </c>
      <c r="K844">
        <v>0</v>
      </c>
      <c r="L844">
        <v>0</v>
      </c>
      <c r="M844">
        <v>0</v>
      </c>
      <c r="N844">
        <v>0</v>
      </c>
      <c r="O844">
        <v>0</v>
      </c>
      <c r="P844">
        <v>0</v>
      </c>
      <c r="Q844">
        <v>0</v>
      </c>
      <c r="R844">
        <v>0</v>
      </c>
      <c r="S844">
        <v>0</v>
      </c>
      <c r="T844">
        <v>0</v>
      </c>
      <c r="U844">
        <v>0</v>
      </c>
      <c r="V844">
        <v>0</v>
      </c>
      <c r="W844">
        <v>0</v>
      </c>
      <c r="X844">
        <v>0</v>
      </c>
      <c r="Y844">
        <v>0</v>
      </c>
      <c r="Z844">
        <v>0</v>
      </c>
      <c r="AA844">
        <v>0</v>
      </c>
      <c r="AB844">
        <v>0</v>
      </c>
    </row>
    <row r="845" spans="1:28">
      <c r="A845">
        <v>0</v>
      </c>
      <c r="B845">
        <v>0</v>
      </c>
      <c r="C845">
        <v>0</v>
      </c>
      <c r="D845">
        <v>0</v>
      </c>
      <c r="E845">
        <v>0</v>
      </c>
      <c r="F845">
        <v>0</v>
      </c>
      <c r="G845">
        <v>0</v>
      </c>
      <c r="H845">
        <v>0</v>
      </c>
      <c r="I845">
        <v>0</v>
      </c>
      <c r="J845">
        <v>0</v>
      </c>
      <c r="K845">
        <v>0</v>
      </c>
      <c r="L845">
        <v>0</v>
      </c>
      <c r="M845">
        <v>0</v>
      </c>
      <c r="N845">
        <v>0</v>
      </c>
      <c r="O845">
        <v>0</v>
      </c>
      <c r="P845">
        <v>0</v>
      </c>
      <c r="Q845">
        <v>0</v>
      </c>
      <c r="R845">
        <v>0</v>
      </c>
      <c r="S845">
        <v>0</v>
      </c>
      <c r="T845">
        <v>0</v>
      </c>
      <c r="U845">
        <v>0</v>
      </c>
      <c r="V845">
        <v>0</v>
      </c>
      <c r="W845">
        <v>0</v>
      </c>
      <c r="X845">
        <v>0</v>
      </c>
      <c r="Y845">
        <v>0</v>
      </c>
      <c r="Z845">
        <v>0</v>
      </c>
      <c r="AA845">
        <v>0</v>
      </c>
      <c r="AB845">
        <v>0</v>
      </c>
    </row>
    <row r="846" spans="1:28">
      <c r="A846">
        <v>0</v>
      </c>
      <c r="B846">
        <v>0</v>
      </c>
      <c r="C846">
        <v>0</v>
      </c>
      <c r="D846">
        <v>0</v>
      </c>
      <c r="E846">
        <v>0</v>
      </c>
      <c r="F846">
        <v>0</v>
      </c>
      <c r="G846">
        <v>0</v>
      </c>
      <c r="H846">
        <v>0</v>
      </c>
      <c r="I846">
        <v>0</v>
      </c>
      <c r="J846">
        <v>0</v>
      </c>
      <c r="K846">
        <v>0</v>
      </c>
      <c r="L846">
        <v>0</v>
      </c>
      <c r="M846">
        <v>0</v>
      </c>
      <c r="N846">
        <v>0</v>
      </c>
      <c r="O846">
        <v>0</v>
      </c>
      <c r="P846">
        <v>0</v>
      </c>
      <c r="Q846">
        <v>0</v>
      </c>
      <c r="R846">
        <v>0</v>
      </c>
      <c r="S846">
        <v>0</v>
      </c>
      <c r="T846">
        <v>0</v>
      </c>
      <c r="U846">
        <v>0</v>
      </c>
      <c r="V846">
        <v>0</v>
      </c>
      <c r="W846">
        <v>0</v>
      </c>
      <c r="X846">
        <v>0</v>
      </c>
      <c r="Y846">
        <v>0</v>
      </c>
      <c r="Z846">
        <v>0</v>
      </c>
      <c r="AA846">
        <v>0</v>
      </c>
      <c r="AB846">
        <v>0</v>
      </c>
    </row>
    <row r="847" spans="1:28">
      <c r="A847">
        <v>0</v>
      </c>
      <c r="B847">
        <v>0</v>
      </c>
      <c r="C847">
        <v>0</v>
      </c>
      <c r="D847">
        <v>0</v>
      </c>
      <c r="E847">
        <v>0</v>
      </c>
      <c r="F847">
        <v>0</v>
      </c>
      <c r="G847">
        <v>0</v>
      </c>
      <c r="H847">
        <v>0</v>
      </c>
      <c r="I847">
        <v>0</v>
      </c>
      <c r="J847">
        <v>0</v>
      </c>
      <c r="K847">
        <v>0</v>
      </c>
      <c r="L847">
        <v>0</v>
      </c>
      <c r="M847">
        <v>0</v>
      </c>
      <c r="N847">
        <v>0</v>
      </c>
      <c r="O847">
        <v>0</v>
      </c>
      <c r="P847">
        <v>0</v>
      </c>
      <c r="Q847">
        <v>0</v>
      </c>
      <c r="R847">
        <v>0</v>
      </c>
      <c r="S847">
        <v>0</v>
      </c>
      <c r="T847">
        <v>0</v>
      </c>
      <c r="U847">
        <v>0</v>
      </c>
      <c r="V847">
        <v>0</v>
      </c>
      <c r="W847">
        <v>0</v>
      </c>
      <c r="X847">
        <v>0</v>
      </c>
      <c r="Y847">
        <v>0</v>
      </c>
      <c r="Z847">
        <v>0</v>
      </c>
      <c r="AA847">
        <v>0</v>
      </c>
      <c r="AB847">
        <v>0</v>
      </c>
    </row>
    <row r="848" spans="1:28">
      <c r="A848">
        <v>0</v>
      </c>
      <c r="B848">
        <v>0</v>
      </c>
      <c r="C848">
        <v>0</v>
      </c>
      <c r="D848">
        <v>0</v>
      </c>
      <c r="E848">
        <v>0</v>
      </c>
      <c r="F848">
        <v>0</v>
      </c>
      <c r="G848">
        <v>0</v>
      </c>
      <c r="H848">
        <v>0</v>
      </c>
      <c r="I848">
        <v>0</v>
      </c>
      <c r="J848">
        <v>0</v>
      </c>
      <c r="K848">
        <v>0</v>
      </c>
      <c r="L848">
        <v>0</v>
      </c>
      <c r="M848">
        <v>0</v>
      </c>
      <c r="N848">
        <v>0</v>
      </c>
      <c r="O848">
        <v>0</v>
      </c>
      <c r="P848">
        <v>0</v>
      </c>
      <c r="Q848">
        <v>0</v>
      </c>
      <c r="R848">
        <v>0</v>
      </c>
      <c r="S848">
        <v>0</v>
      </c>
      <c r="T848">
        <v>0</v>
      </c>
      <c r="U848">
        <v>0</v>
      </c>
      <c r="V848">
        <v>0</v>
      </c>
      <c r="W848">
        <v>0</v>
      </c>
      <c r="X848">
        <v>0</v>
      </c>
      <c r="Y848">
        <v>0</v>
      </c>
      <c r="Z848">
        <v>0</v>
      </c>
      <c r="AA848">
        <v>0</v>
      </c>
      <c r="AB848">
        <v>0</v>
      </c>
    </row>
    <row r="849" spans="1:28">
      <c r="A849">
        <v>0</v>
      </c>
      <c r="B849">
        <v>0</v>
      </c>
      <c r="C849">
        <v>0</v>
      </c>
      <c r="D849">
        <v>0</v>
      </c>
      <c r="E849">
        <v>0</v>
      </c>
      <c r="F849">
        <v>0</v>
      </c>
      <c r="G849">
        <v>0</v>
      </c>
      <c r="H849">
        <v>0</v>
      </c>
      <c r="I849">
        <v>0</v>
      </c>
      <c r="J849">
        <v>0</v>
      </c>
      <c r="K849">
        <v>0</v>
      </c>
      <c r="L849">
        <v>0</v>
      </c>
      <c r="M849">
        <v>0</v>
      </c>
      <c r="N849">
        <v>0</v>
      </c>
      <c r="O849">
        <v>0</v>
      </c>
      <c r="P849">
        <v>0</v>
      </c>
      <c r="Q849">
        <v>0</v>
      </c>
      <c r="R849">
        <v>0</v>
      </c>
      <c r="S849">
        <v>0</v>
      </c>
      <c r="T849">
        <v>0</v>
      </c>
      <c r="U849">
        <v>0</v>
      </c>
      <c r="V849">
        <v>0</v>
      </c>
      <c r="W849">
        <v>0</v>
      </c>
      <c r="X849">
        <v>0</v>
      </c>
      <c r="Y849">
        <v>0</v>
      </c>
      <c r="Z849">
        <v>0</v>
      </c>
      <c r="AA849">
        <v>0</v>
      </c>
      <c r="AB849">
        <v>0</v>
      </c>
    </row>
    <row r="850" spans="1:28">
      <c r="A850">
        <v>0</v>
      </c>
      <c r="B850">
        <v>0</v>
      </c>
      <c r="C850">
        <v>0</v>
      </c>
      <c r="D850">
        <v>0</v>
      </c>
      <c r="E850">
        <v>0</v>
      </c>
      <c r="F850">
        <v>0</v>
      </c>
      <c r="G850">
        <v>0</v>
      </c>
      <c r="H850">
        <v>0</v>
      </c>
      <c r="I850">
        <v>0</v>
      </c>
      <c r="J850">
        <v>0</v>
      </c>
      <c r="K850">
        <v>0</v>
      </c>
      <c r="L850">
        <v>0</v>
      </c>
      <c r="M850">
        <v>0</v>
      </c>
      <c r="N850">
        <v>0</v>
      </c>
      <c r="O850">
        <v>0</v>
      </c>
      <c r="P850">
        <v>0</v>
      </c>
      <c r="Q850">
        <v>0</v>
      </c>
      <c r="R850">
        <v>0</v>
      </c>
      <c r="S850">
        <v>0</v>
      </c>
      <c r="T850">
        <v>0</v>
      </c>
      <c r="U850">
        <v>0</v>
      </c>
      <c r="V850">
        <v>0</v>
      </c>
      <c r="W850">
        <v>0</v>
      </c>
      <c r="X850">
        <v>0</v>
      </c>
      <c r="Y850">
        <v>0</v>
      </c>
      <c r="Z850">
        <v>0</v>
      </c>
      <c r="AA850">
        <v>0</v>
      </c>
      <c r="AB850">
        <v>0</v>
      </c>
    </row>
    <row r="851" spans="1:28">
      <c r="A851">
        <v>0</v>
      </c>
      <c r="B851">
        <v>0</v>
      </c>
      <c r="C851">
        <v>0</v>
      </c>
      <c r="D851">
        <v>0</v>
      </c>
      <c r="E851">
        <v>0</v>
      </c>
      <c r="F851">
        <v>0</v>
      </c>
      <c r="G851">
        <v>0</v>
      </c>
      <c r="H851">
        <v>0</v>
      </c>
      <c r="I851">
        <v>0</v>
      </c>
      <c r="J851">
        <v>0</v>
      </c>
      <c r="K851">
        <v>0</v>
      </c>
      <c r="L851">
        <v>0</v>
      </c>
      <c r="M851">
        <v>0</v>
      </c>
      <c r="N851">
        <v>0</v>
      </c>
      <c r="O851">
        <v>0</v>
      </c>
      <c r="P851">
        <v>0</v>
      </c>
      <c r="Q851">
        <v>0</v>
      </c>
      <c r="R851">
        <v>0</v>
      </c>
      <c r="S851">
        <v>0</v>
      </c>
      <c r="T851">
        <v>0</v>
      </c>
      <c r="U851">
        <v>0</v>
      </c>
      <c r="V851">
        <v>0</v>
      </c>
      <c r="W851">
        <v>0</v>
      </c>
      <c r="X851">
        <v>0</v>
      </c>
      <c r="Y851">
        <v>0</v>
      </c>
      <c r="Z851">
        <v>0</v>
      </c>
      <c r="AA851">
        <v>0</v>
      </c>
      <c r="AB851">
        <v>0</v>
      </c>
    </row>
    <row r="852" spans="1:28">
      <c r="A852">
        <v>0</v>
      </c>
      <c r="B852">
        <v>0</v>
      </c>
      <c r="C852">
        <v>0</v>
      </c>
      <c r="D852">
        <v>0</v>
      </c>
      <c r="E852">
        <v>0</v>
      </c>
      <c r="F852">
        <v>0</v>
      </c>
      <c r="G852">
        <v>0</v>
      </c>
      <c r="H852">
        <v>0</v>
      </c>
      <c r="I852">
        <v>0</v>
      </c>
      <c r="J852">
        <v>0</v>
      </c>
      <c r="K852">
        <v>0</v>
      </c>
      <c r="L852">
        <v>0</v>
      </c>
      <c r="M852">
        <v>0</v>
      </c>
      <c r="N852">
        <v>0</v>
      </c>
      <c r="O852">
        <v>0</v>
      </c>
      <c r="P852">
        <v>0</v>
      </c>
      <c r="Q852">
        <v>0</v>
      </c>
      <c r="R852">
        <v>0</v>
      </c>
      <c r="S852">
        <v>0</v>
      </c>
      <c r="T852">
        <v>0</v>
      </c>
      <c r="U852">
        <v>0</v>
      </c>
      <c r="V852">
        <v>0</v>
      </c>
      <c r="W852">
        <v>0</v>
      </c>
      <c r="X852">
        <v>0</v>
      </c>
      <c r="Y852">
        <v>0</v>
      </c>
      <c r="Z852">
        <v>0</v>
      </c>
      <c r="AA852">
        <v>0</v>
      </c>
      <c r="AB852">
        <v>0</v>
      </c>
    </row>
    <row r="853" spans="1:28">
      <c r="A853">
        <v>0</v>
      </c>
      <c r="B853">
        <v>0</v>
      </c>
      <c r="C853">
        <v>0</v>
      </c>
      <c r="D853">
        <v>0</v>
      </c>
      <c r="E853">
        <v>0</v>
      </c>
      <c r="F853">
        <v>0</v>
      </c>
      <c r="G853">
        <v>0</v>
      </c>
      <c r="H853">
        <v>0</v>
      </c>
      <c r="I853">
        <v>0</v>
      </c>
      <c r="J853">
        <v>0</v>
      </c>
      <c r="K853">
        <v>0</v>
      </c>
      <c r="L853">
        <v>0</v>
      </c>
      <c r="M853">
        <v>0</v>
      </c>
      <c r="N853">
        <v>0</v>
      </c>
      <c r="O853">
        <v>0</v>
      </c>
      <c r="P853">
        <v>0</v>
      </c>
      <c r="Q853">
        <v>0</v>
      </c>
      <c r="R853">
        <v>0</v>
      </c>
      <c r="S853">
        <v>0</v>
      </c>
      <c r="T853">
        <v>0</v>
      </c>
      <c r="U853">
        <v>0</v>
      </c>
      <c r="V853">
        <v>0</v>
      </c>
      <c r="W853">
        <v>0</v>
      </c>
      <c r="X853">
        <v>0</v>
      </c>
      <c r="Y853">
        <v>0</v>
      </c>
      <c r="Z853">
        <v>0</v>
      </c>
      <c r="AA853">
        <v>0</v>
      </c>
      <c r="AB853">
        <v>0</v>
      </c>
    </row>
    <row r="854" spans="1:28">
      <c r="A854">
        <v>0</v>
      </c>
      <c r="B854">
        <v>0</v>
      </c>
      <c r="C854">
        <v>0</v>
      </c>
      <c r="D854">
        <v>0</v>
      </c>
      <c r="E854">
        <v>0</v>
      </c>
      <c r="F854">
        <v>0</v>
      </c>
      <c r="G854">
        <v>0</v>
      </c>
      <c r="H854">
        <v>0</v>
      </c>
      <c r="I854">
        <v>0</v>
      </c>
      <c r="J854">
        <v>0</v>
      </c>
      <c r="K854">
        <v>0</v>
      </c>
      <c r="L854">
        <v>0</v>
      </c>
      <c r="M854">
        <v>0</v>
      </c>
      <c r="N854">
        <v>0</v>
      </c>
      <c r="O854">
        <v>0</v>
      </c>
      <c r="P854">
        <v>0</v>
      </c>
      <c r="Q854">
        <v>0</v>
      </c>
      <c r="R854">
        <v>0</v>
      </c>
      <c r="S854">
        <v>0</v>
      </c>
      <c r="T854">
        <v>0</v>
      </c>
      <c r="U854">
        <v>0</v>
      </c>
      <c r="V854">
        <v>0</v>
      </c>
      <c r="W854">
        <v>0</v>
      </c>
      <c r="X854">
        <v>0</v>
      </c>
      <c r="Y854">
        <v>0</v>
      </c>
      <c r="Z854">
        <v>0</v>
      </c>
      <c r="AA854">
        <v>0</v>
      </c>
      <c r="AB854">
        <v>0</v>
      </c>
    </row>
    <row r="855" spans="1:28">
      <c r="A855">
        <v>0</v>
      </c>
      <c r="B855">
        <v>0</v>
      </c>
      <c r="C855">
        <v>0</v>
      </c>
      <c r="D855">
        <v>0</v>
      </c>
      <c r="E855">
        <v>0</v>
      </c>
      <c r="F855">
        <v>0</v>
      </c>
      <c r="G855">
        <v>0</v>
      </c>
      <c r="H855">
        <v>0</v>
      </c>
      <c r="I855">
        <v>0</v>
      </c>
      <c r="J855">
        <v>0</v>
      </c>
      <c r="K855">
        <v>0</v>
      </c>
      <c r="L855">
        <v>0</v>
      </c>
      <c r="M855">
        <v>0</v>
      </c>
      <c r="N855">
        <v>0</v>
      </c>
      <c r="O855">
        <v>0</v>
      </c>
      <c r="P855">
        <v>0</v>
      </c>
      <c r="Q855">
        <v>0</v>
      </c>
      <c r="R855">
        <v>0</v>
      </c>
      <c r="S855">
        <v>0</v>
      </c>
      <c r="T855">
        <v>0</v>
      </c>
      <c r="U855">
        <v>0</v>
      </c>
      <c r="V855">
        <v>0</v>
      </c>
      <c r="W855">
        <v>0</v>
      </c>
      <c r="X855">
        <v>0</v>
      </c>
      <c r="Y855">
        <v>0</v>
      </c>
      <c r="Z855">
        <v>0</v>
      </c>
      <c r="AA855">
        <v>0</v>
      </c>
      <c r="AB855">
        <v>0</v>
      </c>
    </row>
    <row r="856" spans="1:28">
      <c r="A856">
        <v>0</v>
      </c>
      <c r="B856">
        <v>0</v>
      </c>
      <c r="C856">
        <v>0</v>
      </c>
      <c r="D856">
        <v>0</v>
      </c>
      <c r="E856">
        <v>0</v>
      </c>
      <c r="F856">
        <v>0</v>
      </c>
      <c r="G856">
        <v>0</v>
      </c>
      <c r="H856">
        <v>0</v>
      </c>
      <c r="I856">
        <v>0</v>
      </c>
      <c r="J856">
        <v>0</v>
      </c>
      <c r="K856">
        <v>0</v>
      </c>
      <c r="L856">
        <v>0</v>
      </c>
      <c r="M856">
        <v>0</v>
      </c>
      <c r="N856">
        <v>0</v>
      </c>
      <c r="O856">
        <v>0</v>
      </c>
      <c r="P856">
        <v>0</v>
      </c>
      <c r="Q856">
        <v>0</v>
      </c>
      <c r="R856">
        <v>0</v>
      </c>
      <c r="S856">
        <v>0</v>
      </c>
      <c r="T856">
        <v>0</v>
      </c>
      <c r="U856">
        <v>0</v>
      </c>
      <c r="V856">
        <v>0</v>
      </c>
      <c r="W856">
        <v>0</v>
      </c>
      <c r="X856">
        <v>0</v>
      </c>
      <c r="Y856">
        <v>0</v>
      </c>
      <c r="Z856">
        <v>0</v>
      </c>
      <c r="AA856">
        <v>0</v>
      </c>
      <c r="AB856">
        <v>0</v>
      </c>
    </row>
    <row r="857" spans="1:28">
      <c r="A857">
        <v>0</v>
      </c>
      <c r="B857">
        <v>0</v>
      </c>
      <c r="C857">
        <v>0</v>
      </c>
      <c r="D857">
        <v>0</v>
      </c>
      <c r="E857">
        <v>0</v>
      </c>
      <c r="F857">
        <v>0</v>
      </c>
      <c r="G857">
        <v>0</v>
      </c>
      <c r="H857">
        <v>0</v>
      </c>
      <c r="I857">
        <v>0</v>
      </c>
      <c r="J857">
        <v>0</v>
      </c>
      <c r="K857">
        <v>0</v>
      </c>
      <c r="L857">
        <v>0</v>
      </c>
      <c r="M857">
        <v>0</v>
      </c>
      <c r="N857">
        <v>0</v>
      </c>
      <c r="O857">
        <v>0</v>
      </c>
      <c r="P857">
        <v>0</v>
      </c>
      <c r="Q857">
        <v>0</v>
      </c>
      <c r="R857">
        <v>0</v>
      </c>
      <c r="S857">
        <v>0</v>
      </c>
      <c r="T857">
        <v>0</v>
      </c>
      <c r="U857">
        <v>0</v>
      </c>
      <c r="V857">
        <v>0</v>
      </c>
      <c r="W857">
        <v>0</v>
      </c>
      <c r="X857">
        <v>0</v>
      </c>
      <c r="Y857">
        <v>0</v>
      </c>
      <c r="Z857">
        <v>0</v>
      </c>
      <c r="AA857">
        <v>0</v>
      </c>
      <c r="AB857">
        <v>0</v>
      </c>
    </row>
    <row r="858" spans="1:28">
      <c r="A858">
        <v>0</v>
      </c>
      <c r="B858">
        <v>0</v>
      </c>
      <c r="C858">
        <v>0</v>
      </c>
      <c r="D858">
        <v>0</v>
      </c>
      <c r="E858">
        <v>0</v>
      </c>
      <c r="F858">
        <v>0</v>
      </c>
      <c r="G858">
        <v>0</v>
      </c>
      <c r="H858">
        <v>0</v>
      </c>
      <c r="I858">
        <v>0</v>
      </c>
      <c r="J858">
        <v>0</v>
      </c>
      <c r="K858">
        <v>0</v>
      </c>
      <c r="L858">
        <v>0</v>
      </c>
      <c r="M858">
        <v>0</v>
      </c>
      <c r="N858">
        <v>0</v>
      </c>
      <c r="O858">
        <v>0</v>
      </c>
      <c r="P858">
        <v>0</v>
      </c>
      <c r="Q858">
        <v>0</v>
      </c>
      <c r="R858">
        <v>0</v>
      </c>
      <c r="S858">
        <v>0</v>
      </c>
      <c r="T858">
        <v>0</v>
      </c>
      <c r="U858">
        <v>0</v>
      </c>
      <c r="V858">
        <v>0</v>
      </c>
      <c r="W858">
        <v>0</v>
      </c>
      <c r="X858">
        <v>0</v>
      </c>
      <c r="Y858">
        <v>0</v>
      </c>
      <c r="Z858">
        <v>0</v>
      </c>
      <c r="AA858">
        <v>0</v>
      </c>
      <c r="AB858">
        <v>0</v>
      </c>
    </row>
    <row r="859" spans="1:28">
      <c r="A859">
        <v>0</v>
      </c>
      <c r="B859">
        <v>0</v>
      </c>
      <c r="C859">
        <v>0</v>
      </c>
      <c r="D859">
        <v>0</v>
      </c>
      <c r="E859">
        <v>0</v>
      </c>
      <c r="F859">
        <v>0</v>
      </c>
      <c r="G859">
        <v>0</v>
      </c>
      <c r="H859">
        <v>0</v>
      </c>
      <c r="I859">
        <v>0</v>
      </c>
      <c r="J859">
        <v>0</v>
      </c>
      <c r="K859">
        <v>0</v>
      </c>
      <c r="L859">
        <v>0</v>
      </c>
      <c r="M859">
        <v>0</v>
      </c>
      <c r="N859">
        <v>0</v>
      </c>
      <c r="O859">
        <v>0</v>
      </c>
      <c r="P859">
        <v>0</v>
      </c>
      <c r="Q859">
        <v>0</v>
      </c>
      <c r="R859">
        <v>0</v>
      </c>
      <c r="S859">
        <v>0</v>
      </c>
      <c r="T859">
        <v>0</v>
      </c>
      <c r="U859">
        <v>0</v>
      </c>
      <c r="V859">
        <v>0</v>
      </c>
      <c r="W859">
        <v>0</v>
      </c>
      <c r="X859">
        <v>0</v>
      </c>
      <c r="Y859">
        <v>0</v>
      </c>
      <c r="Z859">
        <v>0</v>
      </c>
      <c r="AA859">
        <v>0</v>
      </c>
      <c r="AB859">
        <v>0</v>
      </c>
    </row>
    <row r="860" spans="1:28">
      <c r="A860">
        <v>0</v>
      </c>
      <c r="B860">
        <v>0</v>
      </c>
      <c r="C860">
        <v>0</v>
      </c>
      <c r="D860">
        <v>0</v>
      </c>
      <c r="E860">
        <v>0</v>
      </c>
      <c r="F860">
        <v>0</v>
      </c>
      <c r="G860">
        <v>0</v>
      </c>
      <c r="H860">
        <v>0</v>
      </c>
      <c r="I860">
        <v>0</v>
      </c>
      <c r="J860">
        <v>0</v>
      </c>
      <c r="K860">
        <v>0</v>
      </c>
      <c r="L860">
        <v>0</v>
      </c>
      <c r="M860">
        <v>0</v>
      </c>
      <c r="N860">
        <v>0</v>
      </c>
      <c r="O860">
        <v>0</v>
      </c>
      <c r="P860">
        <v>0</v>
      </c>
      <c r="Q860">
        <v>0</v>
      </c>
      <c r="R860">
        <v>0</v>
      </c>
      <c r="S860">
        <v>0</v>
      </c>
      <c r="T860">
        <v>0</v>
      </c>
      <c r="U860">
        <v>0</v>
      </c>
      <c r="V860">
        <v>0</v>
      </c>
      <c r="W860">
        <v>0</v>
      </c>
      <c r="X860">
        <v>0</v>
      </c>
      <c r="Y860">
        <v>0</v>
      </c>
      <c r="Z860">
        <v>0</v>
      </c>
      <c r="AA860">
        <v>0</v>
      </c>
      <c r="AB860">
        <v>0</v>
      </c>
    </row>
    <row r="861" spans="1:28">
      <c r="A861">
        <v>0</v>
      </c>
      <c r="B861">
        <v>0</v>
      </c>
      <c r="C861">
        <v>0</v>
      </c>
      <c r="D861">
        <v>0</v>
      </c>
      <c r="E861">
        <v>0</v>
      </c>
      <c r="F861">
        <v>0</v>
      </c>
      <c r="G861">
        <v>0</v>
      </c>
      <c r="H861">
        <v>0</v>
      </c>
      <c r="I861">
        <v>0</v>
      </c>
      <c r="J861">
        <v>0</v>
      </c>
      <c r="K861">
        <v>0</v>
      </c>
      <c r="L861">
        <v>0</v>
      </c>
      <c r="M861">
        <v>0</v>
      </c>
      <c r="N861">
        <v>0</v>
      </c>
      <c r="O861">
        <v>0</v>
      </c>
      <c r="P861">
        <v>0</v>
      </c>
      <c r="Q861">
        <v>0</v>
      </c>
      <c r="R861">
        <v>0</v>
      </c>
      <c r="S861">
        <v>0</v>
      </c>
      <c r="T861">
        <v>0</v>
      </c>
      <c r="U861">
        <v>0</v>
      </c>
      <c r="V861">
        <v>0</v>
      </c>
      <c r="W861">
        <v>0</v>
      </c>
      <c r="X861">
        <v>0</v>
      </c>
      <c r="Y861">
        <v>0</v>
      </c>
      <c r="Z861">
        <v>0</v>
      </c>
      <c r="AA861">
        <v>0</v>
      </c>
      <c r="AB861">
        <v>0</v>
      </c>
    </row>
    <row r="862" spans="1:28">
      <c r="A862">
        <v>0</v>
      </c>
      <c r="B862">
        <v>0</v>
      </c>
      <c r="C862">
        <v>0</v>
      </c>
      <c r="D862">
        <v>0</v>
      </c>
      <c r="E862">
        <v>0</v>
      </c>
      <c r="F862">
        <v>0</v>
      </c>
      <c r="G862">
        <v>0</v>
      </c>
      <c r="H862">
        <v>0</v>
      </c>
      <c r="I862">
        <v>0</v>
      </c>
      <c r="J862">
        <v>0</v>
      </c>
      <c r="K862">
        <v>0</v>
      </c>
      <c r="L862">
        <v>0</v>
      </c>
      <c r="M862">
        <v>0</v>
      </c>
      <c r="N862">
        <v>0</v>
      </c>
      <c r="O862">
        <v>0</v>
      </c>
      <c r="P862">
        <v>0</v>
      </c>
      <c r="Q862">
        <v>0</v>
      </c>
      <c r="R862">
        <v>0</v>
      </c>
      <c r="S862">
        <v>0</v>
      </c>
      <c r="T862">
        <v>0</v>
      </c>
      <c r="U862">
        <v>0</v>
      </c>
      <c r="V862">
        <v>0</v>
      </c>
      <c r="W862">
        <v>0</v>
      </c>
      <c r="X862">
        <v>0</v>
      </c>
      <c r="Y862">
        <v>0</v>
      </c>
      <c r="Z862">
        <v>0</v>
      </c>
      <c r="AA862">
        <v>0</v>
      </c>
      <c r="AB862">
        <v>0</v>
      </c>
    </row>
    <row r="863" spans="1:28">
      <c r="A863">
        <v>0</v>
      </c>
      <c r="B863">
        <v>0</v>
      </c>
      <c r="C863">
        <v>0</v>
      </c>
      <c r="D863">
        <v>0</v>
      </c>
      <c r="E863">
        <v>0</v>
      </c>
      <c r="F863">
        <v>0</v>
      </c>
      <c r="G863">
        <v>0</v>
      </c>
      <c r="H863">
        <v>0</v>
      </c>
      <c r="I863">
        <v>0</v>
      </c>
      <c r="J863">
        <v>0</v>
      </c>
      <c r="K863">
        <v>0</v>
      </c>
      <c r="L863">
        <v>0</v>
      </c>
      <c r="M863">
        <v>0</v>
      </c>
      <c r="N863">
        <v>0</v>
      </c>
      <c r="O863">
        <v>0</v>
      </c>
      <c r="P863">
        <v>0</v>
      </c>
      <c r="Q863">
        <v>0</v>
      </c>
      <c r="R863">
        <v>0</v>
      </c>
      <c r="S863">
        <v>0</v>
      </c>
      <c r="T863">
        <v>0</v>
      </c>
      <c r="U863">
        <v>0</v>
      </c>
      <c r="V863">
        <v>0</v>
      </c>
      <c r="W863">
        <v>0</v>
      </c>
      <c r="X863">
        <v>0</v>
      </c>
      <c r="Y863">
        <v>0</v>
      </c>
      <c r="Z863">
        <v>0</v>
      </c>
      <c r="AA863">
        <v>0</v>
      </c>
      <c r="AB863">
        <v>0</v>
      </c>
    </row>
    <row r="864" spans="1:28">
      <c r="A864">
        <v>0</v>
      </c>
      <c r="B864">
        <v>0</v>
      </c>
      <c r="C864">
        <v>0</v>
      </c>
      <c r="D864">
        <v>0</v>
      </c>
      <c r="E864">
        <v>0</v>
      </c>
      <c r="F864">
        <v>0</v>
      </c>
      <c r="G864">
        <v>0</v>
      </c>
      <c r="H864">
        <v>0</v>
      </c>
      <c r="I864">
        <v>0</v>
      </c>
      <c r="J864">
        <v>0</v>
      </c>
      <c r="K864">
        <v>0</v>
      </c>
      <c r="L864">
        <v>0</v>
      </c>
      <c r="M864">
        <v>0</v>
      </c>
      <c r="N864">
        <v>0</v>
      </c>
      <c r="O864">
        <v>0</v>
      </c>
      <c r="P864">
        <v>0</v>
      </c>
      <c r="Q864">
        <v>0</v>
      </c>
      <c r="R864">
        <v>0</v>
      </c>
      <c r="S864">
        <v>0</v>
      </c>
      <c r="T864">
        <v>0</v>
      </c>
      <c r="U864">
        <v>0</v>
      </c>
      <c r="V864">
        <v>0</v>
      </c>
      <c r="W864">
        <v>0</v>
      </c>
      <c r="X864">
        <v>0</v>
      </c>
      <c r="Y864">
        <v>0</v>
      </c>
      <c r="Z864">
        <v>0</v>
      </c>
      <c r="AA864">
        <v>0</v>
      </c>
      <c r="AB864">
        <v>0</v>
      </c>
    </row>
    <row r="865" spans="1:28">
      <c r="A865">
        <v>0</v>
      </c>
      <c r="B865">
        <v>0</v>
      </c>
      <c r="C865">
        <v>0</v>
      </c>
      <c r="D865">
        <v>0</v>
      </c>
      <c r="E865">
        <v>0</v>
      </c>
      <c r="F865">
        <v>0</v>
      </c>
      <c r="G865">
        <v>0</v>
      </c>
      <c r="H865">
        <v>0</v>
      </c>
      <c r="I865">
        <v>0</v>
      </c>
      <c r="J865">
        <v>0</v>
      </c>
      <c r="K865">
        <v>0</v>
      </c>
      <c r="L865">
        <v>0</v>
      </c>
      <c r="M865">
        <v>0</v>
      </c>
      <c r="N865">
        <v>0</v>
      </c>
      <c r="O865">
        <v>0</v>
      </c>
      <c r="P865">
        <v>0</v>
      </c>
      <c r="Q865">
        <v>0</v>
      </c>
      <c r="R865">
        <v>0</v>
      </c>
      <c r="S865">
        <v>0</v>
      </c>
      <c r="T865">
        <v>0</v>
      </c>
      <c r="U865">
        <v>0</v>
      </c>
      <c r="V865">
        <v>0</v>
      </c>
      <c r="W865">
        <v>0</v>
      </c>
      <c r="X865">
        <v>0</v>
      </c>
      <c r="Y865">
        <v>0</v>
      </c>
      <c r="Z865">
        <v>0</v>
      </c>
      <c r="AA865">
        <v>0</v>
      </c>
      <c r="AB865">
        <v>0</v>
      </c>
    </row>
    <row r="866" spans="1:28">
      <c r="A866">
        <v>0</v>
      </c>
      <c r="B866">
        <v>0</v>
      </c>
      <c r="C866">
        <v>0</v>
      </c>
      <c r="D866">
        <v>0</v>
      </c>
      <c r="E866">
        <v>0</v>
      </c>
      <c r="F866">
        <v>0</v>
      </c>
      <c r="G866">
        <v>0</v>
      </c>
      <c r="H866">
        <v>0</v>
      </c>
      <c r="I866">
        <v>0</v>
      </c>
      <c r="J866">
        <v>0</v>
      </c>
      <c r="K866">
        <v>0</v>
      </c>
      <c r="L866">
        <v>0</v>
      </c>
      <c r="M866">
        <v>0</v>
      </c>
      <c r="N866">
        <v>0</v>
      </c>
      <c r="O866">
        <v>0</v>
      </c>
      <c r="P866">
        <v>0</v>
      </c>
      <c r="Q866">
        <v>0</v>
      </c>
      <c r="R866">
        <v>0</v>
      </c>
      <c r="S866">
        <v>0</v>
      </c>
      <c r="T866">
        <v>0</v>
      </c>
      <c r="U866">
        <v>0</v>
      </c>
      <c r="V866">
        <v>0</v>
      </c>
      <c r="W866">
        <v>0</v>
      </c>
      <c r="X866">
        <v>0</v>
      </c>
      <c r="Y866">
        <v>0</v>
      </c>
      <c r="Z866">
        <v>0</v>
      </c>
      <c r="AA866">
        <v>0</v>
      </c>
      <c r="AB866">
        <v>0</v>
      </c>
    </row>
    <row r="867" spans="1:28">
      <c r="A867">
        <v>0</v>
      </c>
      <c r="B867">
        <v>0</v>
      </c>
      <c r="C867">
        <v>0</v>
      </c>
      <c r="D867">
        <v>0</v>
      </c>
      <c r="E867">
        <v>0</v>
      </c>
      <c r="F867">
        <v>0</v>
      </c>
      <c r="G867">
        <v>0</v>
      </c>
      <c r="H867">
        <v>0</v>
      </c>
      <c r="I867">
        <v>0</v>
      </c>
      <c r="J867">
        <v>0</v>
      </c>
      <c r="K867">
        <v>0</v>
      </c>
      <c r="L867">
        <v>0</v>
      </c>
      <c r="M867">
        <v>0</v>
      </c>
      <c r="N867">
        <v>0</v>
      </c>
      <c r="O867">
        <v>0</v>
      </c>
      <c r="P867">
        <v>0</v>
      </c>
      <c r="Q867">
        <v>0</v>
      </c>
      <c r="R867">
        <v>0</v>
      </c>
      <c r="S867">
        <v>0</v>
      </c>
      <c r="T867">
        <v>0</v>
      </c>
      <c r="U867">
        <v>0</v>
      </c>
      <c r="V867">
        <v>0</v>
      </c>
      <c r="W867">
        <v>0</v>
      </c>
      <c r="X867">
        <v>0</v>
      </c>
      <c r="Y867">
        <v>0</v>
      </c>
      <c r="Z867">
        <v>0</v>
      </c>
      <c r="AA867">
        <v>0</v>
      </c>
      <c r="AB867">
        <v>0</v>
      </c>
    </row>
    <row r="868" spans="1:28">
      <c r="A868">
        <v>0</v>
      </c>
      <c r="B868">
        <v>0</v>
      </c>
      <c r="C868">
        <v>0</v>
      </c>
      <c r="D868">
        <v>0</v>
      </c>
      <c r="E868">
        <v>0</v>
      </c>
      <c r="F868">
        <v>0</v>
      </c>
      <c r="G868">
        <v>0</v>
      </c>
      <c r="H868">
        <v>0</v>
      </c>
      <c r="I868">
        <v>0</v>
      </c>
      <c r="J868">
        <v>0</v>
      </c>
      <c r="K868">
        <v>0</v>
      </c>
      <c r="L868">
        <v>0</v>
      </c>
      <c r="M868">
        <v>0</v>
      </c>
      <c r="N868">
        <v>0</v>
      </c>
      <c r="O868">
        <v>0</v>
      </c>
      <c r="P868">
        <v>0</v>
      </c>
      <c r="Q868">
        <v>0</v>
      </c>
      <c r="R868">
        <v>0</v>
      </c>
      <c r="S868">
        <v>0</v>
      </c>
      <c r="T868">
        <v>0</v>
      </c>
      <c r="U868">
        <v>0</v>
      </c>
      <c r="V868">
        <v>0</v>
      </c>
      <c r="W868">
        <v>0</v>
      </c>
      <c r="X868">
        <v>0</v>
      </c>
      <c r="Y868">
        <v>0</v>
      </c>
      <c r="Z868">
        <v>0</v>
      </c>
      <c r="AA868">
        <v>0</v>
      </c>
      <c r="AB868">
        <v>0</v>
      </c>
    </row>
    <row r="869" spans="1:28">
      <c r="A869">
        <v>0</v>
      </c>
      <c r="B869">
        <v>0</v>
      </c>
      <c r="C869">
        <v>0</v>
      </c>
      <c r="D869">
        <v>0</v>
      </c>
      <c r="E869">
        <v>0</v>
      </c>
      <c r="F869">
        <v>0</v>
      </c>
      <c r="G869">
        <v>0</v>
      </c>
      <c r="H869">
        <v>0</v>
      </c>
      <c r="I869">
        <v>0</v>
      </c>
      <c r="J869">
        <v>0</v>
      </c>
      <c r="K869">
        <v>0</v>
      </c>
      <c r="L869">
        <v>0</v>
      </c>
      <c r="M869">
        <v>0</v>
      </c>
      <c r="N869">
        <v>0</v>
      </c>
      <c r="O869">
        <v>0</v>
      </c>
      <c r="P869">
        <v>0</v>
      </c>
      <c r="Q869">
        <v>0</v>
      </c>
      <c r="R869">
        <v>0</v>
      </c>
      <c r="S869">
        <v>0</v>
      </c>
      <c r="T869">
        <v>0</v>
      </c>
      <c r="U869">
        <v>0</v>
      </c>
      <c r="V869">
        <v>0</v>
      </c>
      <c r="W869">
        <v>0</v>
      </c>
      <c r="X869">
        <v>0</v>
      </c>
      <c r="Y869">
        <v>0</v>
      </c>
      <c r="Z869">
        <v>0</v>
      </c>
      <c r="AA869">
        <v>0</v>
      </c>
      <c r="AB869">
        <v>0</v>
      </c>
    </row>
    <row r="870" spans="1:28">
      <c r="A870">
        <v>0</v>
      </c>
      <c r="B870">
        <v>0</v>
      </c>
      <c r="C870">
        <v>0</v>
      </c>
      <c r="D870">
        <v>0</v>
      </c>
      <c r="E870">
        <v>0</v>
      </c>
      <c r="F870">
        <v>0</v>
      </c>
      <c r="G870">
        <v>0</v>
      </c>
      <c r="H870">
        <v>0</v>
      </c>
      <c r="I870">
        <v>0</v>
      </c>
      <c r="J870">
        <v>0</v>
      </c>
      <c r="K870">
        <v>0</v>
      </c>
      <c r="L870">
        <v>0</v>
      </c>
      <c r="M870">
        <v>0</v>
      </c>
      <c r="N870">
        <v>0</v>
      </c>
      <c r="O870">
        <v>0</v>
      </c>
      <c r="P870">
        <v>0</v>
      </c>
      <c r="Q870">
        <v>0</v>
      </c>
      <c r="R870">
        <v>0</v>
      </c>
      <c r="S870">
        <v>0</v>
      </c>
      <c r="T870">
        <v>0</v>
      </c>
      <c r="U870">
        <v>0</v>
      </c>
      <c r="V870">
        <v>0</v>
      </c>
      <c r="W870">
        <v>0</v>
      </c>
      <c r="X870">
        <v>0</v>
      </c>
      <c r="Y870">
        <v>0</v>
      </c>
      <c r="Z870">
        <v>0</v>
      </c>
      <c r="AA870">
        <v>0</v>
      </c>
      <c r="AB870">
        <v>0</v>
      </c>
    </row>
    <row r="871" spans="1:28">
      <c r="A871">
        <v>0</v>
      </c>
      <c r="B871">
        <v>0</v>
      </c>
      <c r="C871">
        <v>0</v>
      </c>
      <c r="D871">
        <v>0</v>
      </c>
      <c r="E871">
        <v>0</v>
      </c>
      <c r="F871">
        <v>0</v>
      </c>
      <c r="G871">
        <v>0</v>
      </c>
      <c r="H871">
        <v>0</v>
      </c>
      <c r="I871">
        <v>0</v>
      </c>
      <c r="J871">
        <v>0</v>
      </c>
      <c r="K871">
        <v>0</v>
      </c>
      <c r="L871">
        <v>0</v>
      </c>
      <c r="M871">
        <v>0</v>
      </c>
      <c r="N871">
        <v>0</v>
      </c>
      <c r="O871">
        <v>0</v>
      </c>
      <c r="P871">
        <v>0</v>
      </c>
      <c r="Q871">
        <v>0</v>
      </c>
      <c r="R871">
        <v>0</v>
      </c>
      <c r="S871">
        <v>0</v>
      </c>
      <c r="T871">
        <v>0</v>
      </c>
      <c r="U871">
        <v>0</v>
      </c>
      <c r="V871">
        <v>0</v>
      </c>
      <c r="W871">
        <v>0</v>
      </c>
      <c r="X871">
        <v>0</v>
      </c>
      <c r="Y871">
        <v>0</v>
      </c>
      <c r="Z871">
        <v>0</v>
      </c>
      <c r="AA871">
        <v>0</v>
      </c>
      <c r="AB871">
        <v>0</v>
      </c>
    </row>
    <row r="872" spans="1:28">
      <c r="A872">
        <v>0</v>
      </c>
      <c r="B872">
        <v>0</v>
      </c>
      <c r="C872">
        <v>0</v>
      </c>
      <c r="D872">
        <v>0</v>
      </c>
      <c r="E872">
        <v>0</v>
      </c>
      <c r="F872">
        <v>0</v>
      </c>
      <c r="G872">
        <v>0</v>
      </c>
      <c r="H872">
        <v>0</v>
      </c>
      <c r="I872">
        <v>0</v>
      </c>
      <c r="J872">
        <v>0</v>
      </c>
      <c r="K872">
        <v>0</v>
      </c>
      <c r="L872">
        <v>0</v>
      </c>
      <c r="M872">
        <v>0</v>
      </c>
      <c r="N872">
        <v>0</v>
      </c>
      <c r="O872">
        <v>0</v>
      </c>
      <c r="P872">
        <v>0</v>
      </c>
      <c r="Q872">
        <v>0</v>
      </c>
      <c r="R872">
        <v>0</v>
      </c>
      <c r="S872">
        <v>0</v>
      </c>
      <c r="T872">
        <v>0</v>
      </c>
      <c r="U872">
        <v>0</v>
      </c>
      <c r="V872">
        <v>0</v>
      </c>
      <c r="W872">
        <v>0</v>
      </c>
      <c r="X872">
        <v>0</v>
      </c>
      <c r="Y872">
        <v>0</v>
      </c>
      <c r="Z872">
        <v>0</v>
      </c>
      <c r="AA872">
        <v>0</v>
      </c>
      <c r="AB872">
        <v>0</v>
      </c>
    </row>
    <row r="873" spans="1:28">
      <c r="A873">
        <v>0</v>
      </c>
      <c r="B873">
        <v>0</v>
      </c>
      <c r="C873">
        <v>0</v>
      </c>
      <c r="D873">
        <v>0</v>
      </c>
      <c r="E873">
        <v>0</v>
      </c>
      <c r="F873">
        <v>0</v>
      </c>
      <c r="G873">
        <v>0</v>
      </c>
      <c r="H873">
        <v>0</v>
      </c>
      <c r="I873">
        <v>0</v>
      </c>
      <c r="J873">
        <v>0</v>
      </c>
      <c r="K873">
        <v>0</v>
      </c>
      <c r="L873">
        <v>0</v>
      </c>
      <c r="M873">
        <v>0</v>
      </c>
      <c r="N873">
        <v>0</v>
      </c>
      <c r="O873">
        <v>0</v>
      </c>
      <c r="P873">
        <v>0</v>
      </c>
      <c r="Q873">
        <v>0</v>
      </c>
      <c r="R873">
        <v>0</v>
      </c>
      <c r="S873">
        <v>0</v>
      </c>
      <c r="T873">
        <v>0</v>
      </c>
      <c r="U873">
        <v>0</v>
      </c>
      <c r="V873">
        <v>0</v>
      </c>
      <c r="W873">
        <v>0</v>
      </c>
      <c r="X873">
        <v>0</v>
      </c>
      <c r="Y873">
        <v>0</v>
      </c>
      <c r="Z873">
        <v>0</v>
      </c>
      <c r="AA873">
        <v>0</v>
      </c>
      <c r="AB873">
        <v>0</v>
      </c>
    </row>
    <row r="874" spans="1:28">
      <c r="A874">
        <v>0</v>
      </c>
      <c r="B874">
        <v>0</v>
      </c>
      <c r="C874">
        <v>0</v>
      </c>
      <c r="D874">
        <v>0</v>
      </c>
      <c r="E874">
        <v>0</v>
      </c>
      <c r="F874">
        <v>0</v>
      </c>
      <c r="G874">
        <v>0</v>
      </c>
      <c r="H874">
        <v>0</v>
      </c>
      <c r="I874">
        <v>0</v>
      </c>
      <c r="J874">
        <v>0</v>
      </c>
      <c r="K874">
        <v>0</v>
      </c>
      <c r="L874">
        <v>0</v>
      </c>
      <c r="M874">
        <v>0</v>
      </c>
      <c r="N874">
        <v>0</v>
      </c>
      <c r="O874">
        <v>0</v>
      </c>
      <c r="P874">
        <v>0</v>
      </c>
      <c r="Q874">
        <v>0</v>
      </c>
      <c r="R874">
        <v>0</v>
      </c>
      <c r="S874">
        <v>0</v>
      </c>
      <c r="T874">
        <v>0</v>
      </c>
      <c r="U874">
        <v>0</v>
      </c>
      <c r="V874">
        <v>0</v>
      </c>
      <c r="W874">
        <v>0</v>
      </c>
      <c r="X874">
        <v>0</v>
      </c>
      <c r="Y874">
        <v>0</v>
      </c>
      <c r="Z874">
        <v>0</v>
      </c>
      <c r="AA874">
        <v>0</v>
      </c>
      <c r="AB874">
        <v>0</v>
      </c>
    </row>
    <row r="875" spans="1:28">
      <c r="A875">
        <v>0</v>
      </c>
      <c r="B875">
        <v>0</v>
      </c>
      <c r="C875">
        <v>0</v>
      </c>
      <c r="D875">
        <v>0</v>
      </c>
      <c r="E875">
        <v>0</v>
      </c>
      <c r="F875">
        <v>0</v>
      </c>
      <c r="G875">
        <v>0</v>
      </c>
      <c r="H875">
        <v>0</v>
      </c>
      <c r="I875">
        <v>0</v>
      </c>
      <c r="J875">
        <v>0</v>
      </c>
      <c r="K875">
        <v>0</v>
      </c>
      <c r="L875">
        <v>0</v>
      </c>
      <c r="M875">
        <v>0</v>
      </c>
      <c r="N875">
        <v>0</v>
      </c>
      <c r="O875">
        <v>0</v>
      </c>
      <c r="P875">
        <v>0</v>
      </c>
      <c r="Q875">
        <v>0</v>
      </c>
      <c r="R875">
        <v>0</v>
      </c>
      <c r="S875">
        <v>0</v>
      </c>
      <c r="T875">
        <v>0</v>
      </c>
      <c r="U875">
        <v>0</v>
      </c>
      <c r="V875">
        <v>0</v>
      </c>
      <c r="W875">
        <v>0</v>
      </c>
      <c r="X875">
        <v>0</v>
      </c>
      <c r="Y875">
        <v>0</v>
      </c>
      <c r="Z875">
        <v>0</v>
      </c>
      <c r="AA875">
        <v>0</v>
      </c>
      <c r="AB875">
        <v>0</v>
      </c>
    </row>
    <row r="876" spans="1:28">
      <c r="A876">
        <v>0</v>
      </c>
      <c r="B876">
        <v>0</v>
      </c>
      <c r="C876">
        <v>0</v>
      </c>
      <c r="D876">
        <v>0</v>
      </c>
      <c r="E876">
        <v>0</v>
      </c>
      <c r="F876">
        <v>0</v>
      </c>
      <c r="G876">
        <v>0</v>
      </c>
      <c r="H876">
        <v>0</v>
      </c>
      <c r="I876">
        <v>0</v>
      </c>
      <c r="J876">
        <v>0</v>
      </c>
      <c r="K876">
        <v>0</v>
      </c>
      <c r="L876">
        <v>0</v>
      </c>
      <c r="M876">
        <v>0</v>
      </c>
      <c r="N876">
        <v>0</v>
      </c>
      <c r="O876">
        <v>0</v>
      </c>
      <c r="P876">
        <v>0</v>
      </c>
      <c r="Q876">
        <v>0</v>
      </c>
      <c r="R876">
        <v>0</v>
      </c>
      <c r="S876">
        <v>0</v>
      </c>
      <c r="T876">
        <v>0</v>
      </c>
      <c r="U876">
        <v>0</v>
      </c>
      <c r="V876">
        <v>0</v>
      </c>
      <c r="W876">
        <v>0</v>
      </c>
      <c r="X876">
        <v>0</v>
      </c>
      <c r="Y876">
        <v>0</v>
      </c>
      <c r="Z876">
        <v>0</v>
      </c>
      <c r="AA876">
        <v>0</v>
      </c>
      <c r="AB876">
        <v>0</v>
      </c>
    </row>
    <row r="877" spans="1:28">
      <c r="A877">
        <v>0</v>
      </c>
      <c r="B877">
        <v>0</v>
      </c>
      <c r="C877">
        <v>0</v>
      </c>
      <c r="D877">
        <v>0</v>
      </c>
      <c r="E877">
        <v>0</v>
      </c>
      <c r="F877">
        <v>0</v>
      </c>
      <c r="G877">
        <v>0</v>
      </c>
      <c r="H877">
        <v>0</v>
      </c>
      <c r="I877">
        <v>0</v>
      </c>
      <c r="J877">
        <v>0</v>
      </c>
      <c r="K877">
        <v>0</v>
      </c>
      <c r="L877">
        <v>0</v>
      </c>
      <c r="M877">
        <v>0</v>
      </c>
      <c r="N877">
        <v>0</v>
      </c>
      <c r="O877">
        <v>0</v>
      </c>
      <c r="P877">
        <v>0</v>
      </c>
      <c r="Q877">
        <v>0</v>
      </c>
      <c r="R877">
        <v>0</v>
      </c>
      <c r="S877">
        <v>0</v>
      </c>
      <c r="T877">
        <v>0</v>
      </c>
      <c r="U877">
        <v>0</v>
      </c>
      <c r="V877">
        <v>0</v>
      </c>
      <c r="W877">
        <v>0</v>
      </c>
      <c r="X877">
        <v>0</v>
      </c>
      <c r="Y877">
        <v>0</v>
      </c>
      <c r="Z877">
        <v>0</v>
      </c>
      <c r="AA877">
        <v>0</v>
      </c>
      <c r="AB877">
        <v>0</v>
      </c>
    </row>
    <row r="878" spans="1:28">
      <c r="A878">
        <v>0</v>
      </c>
      <c r="B878">
        <v>0</v>
      </c>
      <c r="C878">
        <v>0</v>
      </c>
      <c r="D878">
        <v>0</v>
      </c>
      <c r="E878">
        <v>0</v>
      </c>
      <c r="F878">
        <v>0</v>
      </c>
      <c r="G878">
        <v>0</v>
      </c>
      <c r="H878">
        <v>0</v>
      </c>
      <c r="I878">
        <v>0</v>
      </c>
      <c r="J878">
        <v>0</v>
      </c>
      <c r="K878">
        <v>0</v>
      </c>
      <c r="L878">
        <v>0</v>
      </c>
      <c r="M878">
        <v>0</v>
      </c>
      <c r="N878">
        <v>0</v>
      </c>
      <c r="O878">
        <v>0</v>
      </c>
      <c r="P878">
        <v>0</v>
      </c>
      <c r="Q878">
        <v>0</v>
      </c>
      <c r="R878">
        <v>0</v>
      </c>
      <c r="S878">
        <v>0</v>
      </c>
      <c r="T878">
        <v>0</v>
      </c>
      <c r="U878">
        <v>0</v>
      </c>
      <c r="V878">
        <v>0</v>
      </c>
      <c r="W878">
        <v>0</v>
      </c>
      <c r="X878">
        <v>0</v>
      </c>
      <c r="Y878">
        <v>0</v>
      </c>
      <c r="Z878">
        <v>0</v>
      </c>
      <c r="AA878">
        <v>0</v>
      </c>
      <c r="AB878">
        <v>0</v>
      </c>
    </row>
    <row r="879" spans="1:28">
      <c r="A879">
        <v>0</v>
      </c>
      <c r="B879">
        <v>0</v>
      </c>
      <c r="C879">
        <v>0</v>
      </c>
      <c r="D879">
        <v>0</v>
      </c>
      <c r="E879">
        <v>0</v>
      </c>
      <c r="F879">
        <v>0</v>
      </c>
      <c r="G879">
        <v>0</v>
      </c>
      <c r="H879">
        <v>0</v>
      </c>
      <c r="I879">
        <v>0</v>
      </c>
      <c r="J879">
        <v>0</v>
      </c>
      <c r="K879">
        <v>0</v>
      </c>
      <c r="L879">
        <v>0</v>
      </c>
      <c r="M879">
        <v>0</v>
      </c>
      <c r="N879">
        <v>0</v>
      </c>
      <c r="O879">
        <v>0</v>
      </c>
      <c r="P879">
        <v>0</v>
      </c>
      <c r="Q879">
        <v>0</v>
      </c>
      <c r="R879">
        <v>0</v>
      </c>
      <c r="S879">
        <v>0</v>
      </c>
      <c r="T879">
        <v>0</v>
      </c>
      <c r="U879">
        <v>0</v>
      </c>
      <c r="V879">
        <v>0</v>
      </c>
      <c r="W879">
        <v>0</v>
      </c>
      <c r="X879">
        <v>0</v>
      </c>
      <c r="Y879">
        <v>0</v>
      </c>
      <c r="Z879">
        <v>0</v>
      </c>
      <c r="AA879">
        <v>0</v>
      </c>
      <c r="AB879">
        <v>0</v>
      </c>
    </row>
    <row r="880" spans="1:28">
      <c r="A880">
        <v>0</v>
      </c>
      <c r="B880">
        <v>0</v>
      </c>
      <c r="C880">
        <v>0</v>
      </c>
      <c r="D880">
        <v>0</v>
      </c>
      <c r="E880">
        <v>0</v>
      </c>
      <c r="F880">
        <v>0</v>
      </c>
      <c r="G880">
        <v>0</v>
      </c>
      <c r="H880">
        <v>0</v>
      </c>
      <c r="I880">
        <v>0</v>
      </c>
      <c r="J880">
        <v>0</v>
      </c>
      <c r="K880">
        <v>0</v>
      </c>
      <c r="L880">
        <v>0</v>
      </c>
      <c r="M880">
        <v>0</v>
      </c>
      <c r="N880">
        <v>0</v>
      </c>
      <c r="O880">
        <v>0</v>
      </c>
      <c r="P880">
        <v>0</v>
      </c>
      <c r="Q880">
        <v>0</v>
      </c>
      <c r="R880">
        <v>0</v>
      </c>
      <c r="S880">
        <v>0</v>
      </c>
      <c r="T880">
        <v>0</v>
      </c>
      <c r="U880">
        <v>0</v>
      </c>
      <c r="V880">
        <v>0</v>
      </c>
      <c r="W880">
        <v>0</v>
      </c>
      <c r="X880">
        <v>0</v>
      </c>
      <c r="Y880">
        <v>0</v>
      </c>
      <c r="Z880">
        <v>0</v>
      </c>
      <c r="AA880">
        <v>0</v>
      </c>
      <c r="AB880">
        <v>0</v>
      </c>
    </row>
    <row r="881" spans="1:28">
      <c r="A881">
        <v>0</v>
      </c>
      <c r="B881">
        <v>0</v>
      </c>
      <c r="C881">
        <v>0</v>
      </c>
      <c r="D881">
        <v>0</v>
      </c>
      <c r="E881">
        <v>0</v>
      </c>
      <c r="F881">
        <v>0</v>
      </c>
      <c r="G881">
        <v>0</v>
      </c>
      <c r="H881">
        <v>0</v>
      </c>
      <c r="I881">
        <v>0</v>
      </c>
      <c r="J881">
        <v>0</v>
      </c>
      <c r="K881">
        <v>0</v>
      </c>
      <c r="L881">
        <v>0</v>
      </c>
      <c r="M881">
        <v>0</v>
      </c>
      <c r="N881">
        <v>0</v>
      </c>
      <c r="O881">
        <v>0</v>
      </c>
      <c r="P881">
        <v>0</v>
      </c>
      <c r="Q881">
        <v>0</v>
      </c>
      <c r="R881">
        <v>0</v>
      </c>
      <c r="S881">
        <v>0</v>
      </c>
      <c r="T881">
        <v>0</v>
      </c>
      <c r="U881">
        <v>0</v>
      </c>
      <c r="V881">
        <v>0</v>
      </c>
      <c r="W881">
        <v>0</v>
      </c>
      <c r="X881">
        <v>0</v>
      </c>
      <c r="Y881">
        <v>0</v>
      </c>
      <c r="Z881">
        <v>0</v>
      </c>
      <c r="AA881">
        <v>0</v>
      </c>
      <c r="AB881">
        <v>0</v>
      </c>
    </row>
    <row r="882" spans="1:28">
      <c r="A882">
        <v>0</v>
      </c>
      <c r="B882">
        <v>0</v>
      </c>
      <c r="C882">
        <v>0</v>
      </c>
      <c r="D882">
        <v>0</v>
      </c>
      <c r="E882">
        <v>0</v>
      </c>
      <c r="F882">
        <v>0</v>
      </c>
      <c r="G882">
        <v>0</v>
      </c>
      <c r="H882">
        <v>0</v>
      </c>
      <c r="I882">
        <v>0</v>
      </c>
      <c r="J882">
        <v>0</v>
      </c>
      <c r="K882">
        <v>0</v>
      </c>
      <c r="L882">
        <v>0</v>
      </c>
      <c r="M882">
        <v>0</v>
      </c>
      <c r="N882">
        <v>0</v>
      </c>
      <c r="O882">
        <v>0</v>
      </c>
      <c r="P882">
        <v>0</v>
      </c>
      <c r="Q882">
        <v>0</v>
      </c>
      <c r="R882">
        <v>0</v>
      </c>
      <c r="S882">
        <v>0</v>
      </c>
      <c r="T882">
        <v>0</v>
      </c>
      <c r="U882">
        <v>0</v>
      </c>
      <c r="V882">
        <v>0</v>
      </c>
      <c r="W882">
        <v>0</v>
      </c>
      <c r="X882">
        <v>0</v>
      </c>
      <c r="Y882">
        <v>0</v>
      </c>
      <c r="Z882">
        <v>0</v>
      </c>
      <c r="AA882">
        <v>0</v>
      </c>
      <c r="AB882">
        <v>0</v>
      </c>
    </row>
    <row r="883" spans="1:28">
      <c r="A883">
        <v>0</v>
      </c>
      <c r="B883">
        <v>0</v>
      </c>
      <c r="C883">
        <v>0</v>
      </c>
      <c r="D883">
        <v>0</v>
      </c>
      <c r="E883">
        <v>0</v>
      </c>
      <c r="F883">
        <v>0</v>
      </c>
      <c r="G883">
        <v>0</v>
      </c>
      <c r="H883">
        <v>0</v>
      </c>
      <c r="I883">
        <v>0</v>
      </c>
      <c r="J883">
        <v>0</v>
      </c>
      <c r="K883">
        <v>0</v>
      </c>
      <c r="L883">
        <v>0</v>
      </c>
      <c r="M883">
        <v>0</v>
      </c>
      <c r="N883">
        <v>0</v>
      </c>
      <c r="O883">
        <v>0</v>
      </c>
      <c r="P883">
        <v>0</v>
      </c>
      <c r="Q883">
        <v>0</v>
      </c>
      <c r="R883">
        <v>0</v>
      </c>
      <c r="S883">
        <v>0</v>
      </c>
      <c r="T883">
        <v>0</v>
      </c>
      <c r="U883">
        <v>0</v>
      </c>
      <c r="V883">
        <v>0</v>
      </c>
      <c r="W883">
        <v>0</v>
      </c>
      <c r="X883">
        <v>0</v>
      </c>
      <c r="Y883">
        <v>0</v>
      </c>
      <c r="Z883">
        <v>0</v>
      </c>
      <c r="AA883">
        <v>0</v>
      </c>
      <c r="AB883">
        <v>0</v>
      </c>
    </row>
    <row r="884" spans="1:28">
      <c r="A884">
        <v>0</v>
      </c>
      <c r="B884">
        <v>0</v>
      </c>
      <c r="C884">
        <v>0</v>
      </c>
      <c r="D884">
        <v>0</v>
      </c>
      <c r="E884">
        <v>0</v>
      </c>
      <c r="F884">
        <v>0</v>
      </c>
      <c r="G884">
        <v>0</v>
      </c>
      <c r="H884">
        <v>0</v>
      </c>
      <c r="I884">
        <v>0</v>
      </c>
      <c r="J884">
        <v>0</v>
      </c>
      <c r="K884">
        <v>0</v>
      </c>
      <c r="L884">
        <v>0</v>
      </c>
      <c r="M884">
        <v>0</v>
      </c>
      <c r="N884">
        <v>0</v>
      </c>
      <c r="O884">
        <v>0</v>
      </c>
      <c r="P884">
        <v>0</v>
      </c>
      <c r="Q884">
        <v>0</v>
      </c>
      <c r="R884">
        <v>0</v>
      </c>
      <c r="S884">
        <v>0</v>
      </c>
      <c r="T884">
        <v>0</v>
      </c>
      <c r="U884">
        <v>0</v>
      </c>
      <c r="V884">
        <v>0</v>
      </c>
      <c r="W884">
        <v>0</v>
      </c>
      <c r="X884">
        <v>0</v>
      </c>
      <c r="Y884">
        <v>0</v>
      </c>
      <c r="Z884">
        <v>0</v>
      </c>
      <c r="AA884">
        <v>0</v>
      </c>
      <c r="AB884">
        <v>0</v>
      </c>
    </row>
    <row r="885" spans="1:28">
      <c r="A885">
        <v>0</v>
      </c>
      <c r="B885">
        <v>0</v>
      </c>
      <c r="C885">
        <v>0</v>
      </c>
      <c r="D885">
        <v>0</v>
      </c>
      <c r="E885">
        <v>0</v>
      </c>
      <c r="F885">
        <v>0</v>
      </c>
      <c r="G885">
        <v>0</v>
      </c>
      <c r="H885">
        <v>0</v>
      </c>
      <c r="I885">
        <v>0</v>
      </c>
      <c r="J885">
        <v>0</v>
      </c>
      <c r="K885">
        <v>0</v>
      </c>
      <c r="L885">
        <v>0</v>
      </c>
      <c r="M885">
        <v>0</v>
      </c>
      <c r="N885">
        <v>0</v>
      </c>
      <c r="O885">
        <v>0</v>
      </c>
      <c r="P885">
        <v>0</v>
      </c>
      <c r="Q885">
        <v>0</v>
      </c>
      <c r="R885">
        <v>0</v>
      </c>
      <c r="S885">
        <v>0</v>
      </c>
      <c r="T885">
        <v>0</v>
      </c>
      <c r="U885">
        <v>0</v>
      </c>
      <c r="V885">
        <v>0</v>
      </c>
      <c r="W885">
        <v>0</v>
      </c>
      <c r="X885">
        <v>0</v>
      </c>
      <c r="Y885">
        <v>0</v>
      </c>
      <c r="Z885">
        <v>0</v>
      </c>
      <c r="AA885">
        <v>0</v>
      </c>
      <c r="AB885">
        <v>0</v>
      </c>
    </row>
    <row r="886" spans="1:28">
      <c r="A886">
        <v>0</v>
      </c>
      <c r="B886">
        <v>0</v>
      </c>
      <c r="C886">
        <v>0</v>
      </c>
      <c r="D886">
        <v>0</v>
      </c>
      <c r="E886">
        <v>0</v>
      </c>
      <c r="F886">
        <v>0</v>
      </c>
      <c r="G886">
        <v>0</v>
      </c>
      <c r="H886">
        <v>0</v>
      </c>
      <c r="I886">
        <v>0</v>
      </c>
      <c r="J886">
        <v>0</v>
      </c>
      <c r="K886">
        <v>0</v>
      </c>
      <c r="L886">
        <v>0</v>
      </c>
      <c r="M886">
        <v>0</v>
      </c>
      <c r="N886">
        <v>0</v>
      </c>
      <c r="O886">
        <v>0</v>
      </c>
      <c r="P886">
        <v>0</v>
      </c>
      <c r="Q886">
        <v>0</v>
      </c>
      <c r="R886">
        <v>0</v>
      </c>
      <c r="S886">
        <v>0</v>
      </c>
      <c r="T886">
        <v>0</v>
      </c>
      <c r="U886">
        <v>0</v>
      </c>
      <c r="V886">
        <v>0</v>
      </c>
      <c r="W886">
        <v>0</v>
      </c>
      <c r="X886">
        <v>0</v>
      </c>
      <c r="Y886">
        <v>0</v>
      </c>
      <c r="Z886">
        <v>0</v>
      </c>
      <c r="AA886">
        <v>0</v>
      </c>
      <c r="AB886">
        <v>0</v>
      </c>
    </row>
    <row r="887" spans="1:28">
      <c r="A887">
        <v>0</v>
      </c>
      <c r="B887">
        <v>0</v>
      </c>
      <c r="C887">
        <v>0</v>
      </c>
      <c r="D887">
        <v>0</v>
      </c>
      <c r="E887">
        <v>0</v>
      </c>
      <c r="F887">
        <v>0</v>
      </c>
      <c r="G887">
        <v>0</v>
      </c>
      <c r="H887">
        <v>0</v>
      </c>
      <c r="I887">
        <v>0</v>
      </c>
      <c r="J887">
        <v>0</v>
      </c>
      <c r="K887">
        <v>0</v>
      </c>
      <c r="L887">
        <v>0</v>
      </c>
      <c r="M887">
        <v>0</v>
      </c>
      <c r="N887">
        <v>0</v>
      </c>
      <c r="O887">
        <v>0</v>
      </c>
      <c r="P887">
        <v>0</v>
      </c>
      <c r="Q887">
        <v>0</v>
      </c>
      <c r="R887">
        <v>0</v>
      </c>
      <c r="S887">
        <v>0</v>
      </c>
      <c r="T887">
        <v>0</v>
      </c>
      <c r="U887">
        <v>0</v>
      </c>
      <c r="V887">
        <v>0</v>
      </c>
      <c r="W887">
        <v>0</v>
      </c>
      <c r="X887">
        <v>0</v>
      </c>
      <c r="Y887">
        <v>0</v>
      </c>
      <c r="Z887">
        <v>0</v>
      </c>
      <c r="AA887">
        <v>0</v>
      </c>
      <c r="AB887">
        <v>0</v>
      </c>
    </row>
    <row r="888" spans="1:28">
      <c r="A888">
        <v>0</v>
      </c>
      <c r="B888">
        <v>0</v>
      </c>
      <c r="C888">
        <v>0</v>
      </c>
      <c r="D888">
        <v>0</v>
      </c>
      <c r="E888">
        <v>0</v>
      </c>
      <c r="F888">
        <v>0</v>
      </c>
      <c r="G888">
        <v>0</v>
      </c>
      <c r="H888">
        <v>0</v>
      </c>
      <c r="I888">
        <v>0</v>
      </c>
      <c r="J888">
        <v>0</v>
      </c>
      <c r="K888">
        <v>0</v>
      </c>
      <c r="L888">
        <v>0</v>
      </c>
      <c r="M888">
        <v>0</v>
      </c>
      <c r="N888">
        <v>0</v>
      </c>
      <c r="O888">
        <v>0</v>
      </c>
      <c r="P888">
        <v>0</v>
      </c>
      <c r="Q888">
        <v>0</v>
      </c>
      <c r="R888">
        <v>0</v>
      </c>
      <c r="S888">
        <v>0</v>
      </c>
      <c r="T888">
        <v>0</v>
      </c>
      <c r="U888">
        <v>0</v>
      </c>
      <c r="V888">
        <v>0</v>
      </c>
      <c r="W888">
        <v>0</v>
      </c>
      <c r="X888">
        <v>0</v>
      </c>
      <c r="Y888">
        <v>0</v>
      </c>
      <c r="Z888">
        <v>0</v>
      </c>
      <c r="AA888">
        <v>0</v>
      </c>
      <c r="AB888">
        <v>0</v>
      </c>
    </row>
    <row r="889" spans="1:28">
      <c r="A889">
        <v>0</v>
      </c>
      <c r="B889">
        <v>0</v>
      </c>
      <c r="C889">
        <v>0</v>
      </c>
      <c r="D889">
        <v>0</v>
      </c>
      <c r="E889">
        <v>0</v>
      </c>
      <c r="F889">
        <v>0</v>
      </c>
      <c r="G889">
        <v>0</v>
      </c>
      <c r="H889">
        <v>0</v>
      </c>
      <c r="I889">
        <v>0</v>
      </c>
      <c r="J889">
        <v>0</v>
      </c>
      <c r="K889">
        <v>0</v>
      </c>
      <c r="L889">
        <v>0</v>
      </c>
      <c r="M889">
        <v>0</v>
      </c>
      <c r="N889">
        <v>0</v>
      </c>
      <c r="O889">
        <v>0</v>
      </c>
      <c r="P889">
        <v>0</v>
      </c>
      <c r="Q889">
        <v>0</v>
      </c>
      <c r="R889">
        <v>0</v>
      </c>
      <c r="S889">
        <v>0</v>
      </c>
      <c r="T889">
        <v>0</v>
      </c>
      <c r="U889">
        <v>0</v>
      </c>
      <c r="V889">
        <v>0</v>
      </c>
      <c r="W889">
        <v>0</v>
      </c>
      <c r="X889">
        <v>0</v>
      </c>
      <c r="Y889">
        <v>0</v>
      </c>
      <c r="Z889">
        <v>0</v>
      </c>
      <c r="AA889">
        <v>0</v>
      </c>
      <c r="AB889">
        <v>0</v>
      </c>
    </row>
    <row r="890" spans="1:28">
      <c r="A890">
        <v>0</v>
      </c>
      <c r="B890">
        <v>0</v>
      </c>
      <c r="C890">
        <v>0</v>
      </c>
      <c r="D890">
        <v>0</v>
      </c>
      <c r="E890">
        <v>0</v>
      </c>
      <c r="F890">
        <v>0</v>
      </c>
      <c r="G890">
        <v>0</v>
      </c>
      <c r="H890">
        <v>0</v>
      </c>
      <c r="I890">
        <v>0</v>
      </c>
      <c r="J890">
        <v>0</v>
      </c>
      <c r="K890">
        <v>0</v>
      </c>
      <c r="L890">
        <v>0</v>
      </c>
      <c r="M890">
        <v>0</v>
      </c>
      <c r="N890">
        <v>0</v>
      </c>
      <c r="O890">
        <v>0</v>
      </c>
      <c r="P890">
        <v>0</v>
      </c>
      <c r="Q890">
        <v>0</v>
      </c>
      <c r="R890">
        <v>0</v>
      </c>
      <c r="S890">
        <v>0</v>
      </c>
      <c r="T890">
        <v>0</v>
      </c>
      <c r="U890">
        <v>0</v>
      </c>
      <c r="V890">
        <v>0</v>
      </c>
      <c r="W890">
        <v>0</v>
      </c>
      <c r="X890">
        <v>0</v>
      </c>
      <c r="Y890">
        <v>0</v>
      </c>
      <c r="Z890">
        <v>0</v>
      </c>
      <c r="AA890">
        <v>0</v>
      </c>
      <c r="AB890">
        <v>0</v>
      </c>
    </row>
    <row r="891" spans="1:28">
      <c r="A891">
        <v>0</v>
      </c>
      <c r="B891">
        <v>0</v>
      </c>
      <c r="C891">
        <v>0</v>
      </c>
      <c r="D891">
        <v>0</v>
      </c>
      <c r="E891">
        <v>0</v>
      </c>
      <c r="F891">
        <v>0</v>
      </c>
      <c r="G891">
        <v>0</v>
      </c>
      <c r="H891">
        <v>0</v>
      </c>
      <c r="I891">
        <v>0</v>
      </c>
      <c r="J891">
        <v>0</v>
      </c>
      <c r="K891">
        <v>0</v>
      </c>
      <c r="L891">
        <v>0</v>
      </c>
      <c r="M891">
        <v>0</v>
      </c>
      <c r="N891">
        <v>0</v>
      </c>
      <c r="O891">
        <v>0</v>
      </c>
      <c r="P891">
        <v>0</v>
      </c>
      <c r="Q891">
        <v>0</v>
      </c>
      <c r="R891">
        <v>0</v>
      </c>
      <c r="S891">
        <v>0</v>
      </c>
      <c r="T891">
        <v>0</v>
      </c>
      <c r="U891">
        <v>0</v>
      </c>
      <c r="V891">
        <v>0</v>
      </c>
      <c r="W891">
        <v>0</v>
      </c>
      <c r="X891">
        <v>0</v>
      </c>
      <c r="Y891">
        <v>0</v>
      </c>
      <c r="Z891">
        <v>0</v>
      </c>
      <c r="AA891">
        <v>0</v>
      </c>
      <c r="AB891">
        <v>0</v>
      </c>
    </row>
    <row r="892" spans="1:28">
      <c r="A892">
        <v>0</v>
      </c>
      <c r="B892">
        <v>0</v>
      </c>
      <c r="C892">
        <v>0</v>
      </c>
      <c r="D892">
        <v>0</v>
      </c>
      <c r="E892">
        <v>0</v>
      </c>
      <c r="F892">
        <v>0</v>
      </c>
      <c r="G892">
        <v>0</v>
      </c>
      <c r="H892">
        <v>0</v>
      </c>
      <c r="I892">
        <v>0</v>
      </c>
      <c r="J892">
        <v>0</v>
      </c>
      <c r="K892">
        <v>0</v>
      </c>
      <c r="L892">
        <v>0</v>
      </c>
      <c r="M892">
        <v>0</v>
      </c>
      <c r="N892">
        <v>0</v>
      </c>
      <c r="O892">
        <v>0</v>
      </c>
      <c r="P892">
        <v>0</v>
      </c>
      <c r="Q892">
        <v>0</v>
      </c>
      <c r="R892">
        <v>0</v>
      </c>
      <c r="S892">
        <v>0</v>
      </c>
      <c r="T892">
        <v>0</v>
      </c>
      <c r="U892">
        <v>0</v>
      </c>
      <c r="V892">
        <v>0</v>
      </c>
      <c r="W892">
        <v>0</v>
      </c>
      <c r="X892">
        <v>0</v>
      </c>
      <c r="Y892">
        <v>0</v>
      </c>
      <c r="Z892">
        <v>0</v>
      </c>
      <c r="AA892">
        <v>0</v>
      </c>
      <c r="AB892">
        <v>0</v>
      </c>
    </row>
    <row r="893" spans="1:28">
      <c r="A893">
        <v>0</v>
      </c>
      <c r="B893">
        <v>0</v>
      </c>
      <c r="C893">
        <v>0</v>
      </c>
      <c r="D893">
        <v>0</v>
      </c>
      <c r="E893">
        <v>0</v>
      </c>
      <c r="F893">
        <v>0</v>
      </c>
      <c r="G893">
        <v>0</v>
      </c>
      <c r="H893">
        <v>0</v>
      </c>
      <c r="I893">
        <v>0</v>
      </c>
      <c r="J893">
        <v>0</v>
      </c>
      <c r="K893">
        <v>0</v>
      </c>
      <c r="L893">
        <v>0</v>
      </c>
      <c r="M893">
        <v>0</v>
      </c>
      <c r="N893">
        <v>0</v>
      </c>
      <c r="O893">
        <v>0</v>
      </c>
      <c r="P893">
        <v>0</v>
      </c>
      <c r="Q893">
        <v>0</v>
      </c>
      <c r="R893">
        <v>0</v>
      </c>
      <c r="S893">
        <v>0</v>
      </c>
      <c r="T893">
        <v>0</v>
      </c>
      <c r="U893">
        <v>0</v>
      </c>
      <c r="V893">
        <v>0</v>
      </c>
      <c r="W893">
        <v>0</v>
      </c>
      <c r="X893">
        <v>0</v>
      </c>
      <c r="Y893">
        <v>0</v>
      </c>
      <c r="Z893">
        <v>0</v>
      </c>
      <c r="AA893">
        <v>0</v>
      </c>
      <c r="AB893">
        <v>0</v>
      </c>
    </row>
    <row r="894" spans="1:28">
      <c r="A894">
        <v>0</v>
      </c>
      <c r="B894">
        <v>0</v>
      </c>
      <c r="C894">
        <v>0</v>
      </c>
      <c r="D894">
        <v>0</v>
      </c>
      <c r="E894">
        <v>0</v>
      </c>
      <c r="F894">
        <v>0</v>
      </c>
      <c r="G894">
        <v>0</v>
      </c>
      <c r="H894">
        <v>0</v>
      </c>
      <c r="I894">
        <v>0</v>
      </c>
      <c r="J894">
        <v>0</v>
      </c>
      <c r="K894">
        <v>0</v>
      </c>
      <c r="L894">
        <v>0</v>
      </c>
      <c r="M894">
        <v>0</v>
      </c>
      <c r="N894">
        <v>0</v>
      </c>
      <c r="O894">
        <v>0</v>
      </c>
      <c r="P894">
        <v>0</v>
      </c>
      <c r="Q894">
        <v>0</v>
      </c>
      <c r="R894">
        <v>0</v>
      </c>
      <c r="S894">
        <v>0</v>
      </c>
      <c r="T894">
        <v>0</v>
      </c>
      <c r="U894">
        <v>0</v>
      </c>
      <c r="V894">
        <v>0</v>
      </c>
      <c r="W894">
        <v>0</v>
      </c>
      <c r="X894">
        <v>0</v>
      </c>
      <c r="Y894">
        <v>0</v>
      </c>
      <c r="Z894">
        <v>0</v>
      </c>
      <c r="AA894">
        <v>0</v>
      </c>
      <c r="AB894">
        <v>0</v>
      </c>
    </row>
    <row r="895" spans="1:28">
      <c r="A895">
        <v>0</v>
      </c>
      <c r="B895">
        <v>0</v>
      </c>
      <c r="C895">
        <v>0</v>
      </c>
      <c r="D895">
        <v>0</v>
      </c>
      <c r="E895">
        <v>0</v>
      </c>
      <c r="F895">
        <v>0</v>
      </c>
      <c r="G895">
        <v>0</v>
      </c>
      <c r="H895">
        <v>0</v>
      </c>
      <c r="I895">
        <v>0</v>
      </c>
      <c r="J895">
        <v>0</v>
      </c>
      <c r="K895">
        <v>0</v>
      </c>
      <c r="L895">
        <v>0</v>
      </c>
      <c r="M895">
        <v>0</v>
      </c>
      <c r="N895">
        <v>0</v>
      </c>
      <c r="O895">
        <v>0</v>
      </c>
      <c r="P895">
        <v>0</v>
      </c>
      <c r="Q895">
        <v>0</v>
      </c>
      <c r="R895">
        <v>0</v>
      </c>
      <c r="S895">
        <v>0</v>
      </c>
      <c r="T895">
        <v>0</v>
      </c>
      <c r="U895">
        <v>0</v>
      </c>
      <c r="V895">
        <v>0</v>
      </c>
      <c r="W895">
        <v>0</v>
      </c>
      <c r="X895">
        <v>0</v>
      </c>
      <c r="Y895">
        <v>0</v>
      </c>
      <c r="Z895">
        <v>0</v>
      </c>
      <c r="AA895">
        <v>0</v>
      </c>
      <c r="AB895">
        <v>0</v>
      </c>
    </row>
    <row r="896" spans="1:28">
      <c r="A896">
        <v>0</v>
      </c>
      <c r="B896">
        <v>0</v>
      </c>
      <c r="C896">
        <v>0</v>
      </c>
      <c r="D896">
        <v>0</v>
      </c>
      <c r="E896">
        <v>0</v>
      </c>
      <c r="F896">
        <v>0</v>
      </c>
      <c r="G896">
        <v>0</v>
      </c>
      <c r="H896">
        <v>0</v>
      </c>
      <c r="I896">
        <v>0</v>
      </c>
      <c r="J896">
        <v>0</v>
      </c>
      <c r="K896">
        <v>0</v>
      </c>
      <c r="L896">
        <v>0</v>
      </c>
      <c r="M896">
        <v>0</v>
      </c>
      <c r="N896">
        <v>0</v>
      </c>
      <c r="O896">
        <v>0</v>
      </c>
      <c r="P896">
        <v>0</v>
      </c>
      <c r="Q896">
        <v>0</v>
      </c>
      <c r="R896">
        <v>0</v>
      </c>
      <c r="S896">
        <v>0</v>
      </c>
      <c r="T896">
        <v>0</v>
      </c>
      <c r="U896">
        <v>0</v>
      </c>
      <c r="V896">
        <v>0</v>
      </c>
      <c r="W896">
        <v>0</v>
      </c>
      <c r="X896">
        <v>0</v>
      </c>
      <c r="Y896">
        <v>0</v>
      </c>
      <c r="Z896">
        <v>0</v>
      </c>
      <c r="AA896">
        <v>0</v>
      </c>
      <c r="AB896">
        <v>0</v>
      </c>
    </row>
    <row r="897" spans="1:28">
      <c r="A897">
        <v>0</v>
      </c>
      <c r="B897">
        <v>0</v>
      </c>
      <c r="C897">
        <v>0</v>
      </c>
      <c r="D897">
        <v>0</v>
      </c>
      <c r="E897">
        <v>0</v>
      </c>
      <c r="F897">
        <v>0</v>
      </c>
      <c r="G897">
        <v>0</v>
      </c>
      <c r="H897">
        <v>0</v>
      </c>
      <c r="I897">
        <v>0</v>
      </c>
      <c r="J897">
        <v>0</v>
      </c>
      <c r="K897">
        <v>0</v>
      </c>
      <c r="L897">
        <v>0</v>
      </c>
      <c r="M897">
        <v>0</v>
      </c>
      <c r="N897">
        <v>0</v>
      </c>
      <c r="O897">
        <v>0</v>
      </c>
      <c r="P897">
        <v>0</v>
      </c>
      <c r="Q897">
        <v>0</v>
      </c>
      <c r="R897">
        <v>0</v>
      </c>
      <c r="S897">
        <v>0</v>
      </c>
      <c r="T897">
        <v>0</v>
      </c>
      <c r="U897">
        <v>0</v>
      </c>
      <c r="V897">
        <v>0</v>
      </c>
      <c r="W897">
        <v>0</v>
      </c>
      <c r="X897">
        <v>0</v>
      </c>
      <c r="Y897">
        <v>0</v>
      </c>
      <c r="Z897">
        <v>0</v>
      </c>
      <c r="AA897">
        <v>0</v>
      </c>
      <c r="AB897">
        <v>0</v>
      </c>
    </row>
    <row r="898" spans="1:28">
      <c r="A898">
        <v>0</v>
      </c>
      <c r="B898">
        <v>0</v>
      </c>
      <c r="C898">
        <v>0</v>
      </c>
      <c r="D898">
        <v>0</v>
      </c>
      <c r="E898">
        <v>0</v>
      </c>
      <c r="F898">
        <v>0</v>
      </c>
      <c r="G898">
        <v>0</v>
      </c>
      <c r="H898">
        <v>0</v>
      </c>
      <c r="I898">
        <v>0</v>
      </c>
      <c r="J898">
        <v>0</v>
      </c>
      <c r="K898">
        <v>0</v>
      </c>
      <c r="L898">
        <v>0</v>
      </c>
      <c r="M898">
        <v>0</v>
      </c>
      <c r="N898">
        <v>0</v>
      </c>
      <c r="O898">
        <v>0</v>
      </c>
      <c r="P898">
        <v>0</v>
      </c>
      <c r="Q898">
        <v>0</v>
      </c>
      <c r="R898">
        <v>0</v>
      </c>
      <c r="S898">
        <v>0</v>
      </c>
      <c r="T898">
        <v>0</v>
      </c>
      <c r="U898">
        <v>0</v>
      </c>
      <c r="V898">
        <v>0</v>
      </c>
      <c r="W898">
        <v>0</v>
      </c>
      <c r="X898">
        <v>0</v>
      </c>
      <c r="Y898">
        <v>0</v>
      </c>
      <c r="Z898">
        <v>0</v>
      </c>
      <c r="AA898">
        <v>0</v>
      </c>
      <c r="AB898">
        <v>0</v>
      </c>
    </row>
    <row r="899" spans="1:28">
      <c r="A899">
        <v>0</v>
      </c>
      <c r="B899">
        <v>0</v>
      </c>
      <c r="C899">
        <v>0</v>
      </c>
      <c r="D899">
        <v>0</v>
      </c>
      <c r="E899">
        <v>0</v>
      </c>
      <c r="F899">
        <v>0</v>
      </c>
      <c r="G899">
        <v>0</v>
      </c>
      <c r="H899">
        <v>0</v>
      </c>
      <c r="I899">
        <v>0</v>
      </c>
      <c r="J899">
        <v>0</v>
      </c>
      <c r="K899">
        <v>0</v>
      </c>
      <c r="L899">
        <v>0</v>
      </c>
      <c r="M899">
        <v>0</v>
      </c>
      <c r="N899">
        <v>0</v>
      </c>
      <c r="O899">
        <v>0</v>
      </c>
      <c r="P899">
        <v>0</v>
      </c>
      <c r="Q899">
        <v>0</v>
      </c>
      <c r="R899">
        <v>0</v>
      </c>
      <c r="S899">
        <v>0</v>
      </c>
      <c r="T899">
        <v>0</v>
      </c>
      <c r="U899">
        <v>0</v>
      </c>
      <c r="V899">
        <v>0</v>
      </c>
      <c r="W899">
        <v>0</v>
      </c>
      <c r="X899">
        <v>0</v>
      </c>
      <c r="Y899">
        <v>0</v>
      </c>
      <c r="Z899">
        <v>0</v>
      </c>
      <c r="AA899">
        <v>0</v>
      </c>
      <c r="AB899">
        <v>0</v>
      </c>
    </row>
    <row r="900" spans="1:28">
      <c r="A900">
        <v>0</v>
      </c>
      <c r="B900">
        <v>0</v>
      </c>
      <c r="C900">
        <v>0</v>
      </c>
      <c r="D900">
        <v>0</v>
      </c>
      <c r="E900">
        <v>0</v>
      </c>
      <c r="F900">
        <v>0</v>
      </c>
      <c r="G900">
        <v>0</v>
      </c>
      <c r="H900">
        <v>0</v>
      </c>
      <c r="I900">
        <v>0</v>
      </c>
      <c r="J900">
        <v>0</v>
      </c>
      <c r="K900">
        <v>0</v>
      </c>
      <c r="L900">
        <v>0</v>
      </c>
      <c r="M900">
        <v>0</v>
      </c>
      <c r="N900">
        <v>0</v>
      </c>
      <c r="O900">
        <v>0</v>
      </c>
      <c r="P900">
        <v>0</v>
      </c>
      <c r="Q900">
        <v>0</v>
      </c>
      <c r="R900">
        <v>0</v>
      </c>
      <c r="S900">
        <v>0</v>
      </c>
      <c r="T900">
        <v>0</v>
      </c>
      <c r="U900">
        <v>0</v>
      </c>
      <c r="V900">
        <v>0</v>
      </c>
      <c r="W900">
        <v>0</v>
      </c>
      <c r="X900">
        <v>0</v>
      </c>
      <c r="Y900">
        <v>0</v>
      </c>
      <c r="Z900">
        <v>0</v>
      </c>
      <c r="AA900">
        <v>0</v>
      </c>
      <c r="AB900">
        <v>0</v>
      </c>
    </row>
    <row r="901" spans="1:28">
      <c r="A901">
        <v>0</v>
      </c>
      <c r="B901">
        <v>0</v>
      </c>
      <c r="C901">
        <v>0</v>
      </c>
      <c r="D901">
        <v>0</v>
      </c>
      <c r="E901">
        <v>0</v>
      </c>
      <c r="F901">
        <v>0</v>
      </c>
      <c r="G901">
        <v>0</v>
      </c>
      <c r="H901">
        <v>0</v>
      </c>
      <c r="I901">
        <v>0</v>
      </c>
      <c r="J901">
        <v>0</v>
      </c>
      <c r="K901">
        <v>0</v>
      </c>
      <c r="L901">
        <v>0</v>
      </c>
      <c r="M901">
        <v>0</v>
      </c>
      <c r="N901">
        <v>0</v>
      </c>
      <c r="O901">
        <v>0</v>
      </c>
      <c r="P901">
        <v>0</v>
      </c>
      <c r="Q901">
        <v>0</v>
      </c>
      <c r="R901">
        <v>0</v>
      </c>
      <c r="S901">
        <v>0</v>
      </c>
      <c r="T901">
        <v>0</v>
      </c>
      <c r="U901">
        <v>0</v>
      </c>
      <c r="V901">
        <v>0</v>
      </c>
      <c r="W901">
        <v>0</v>
      </c>
      <c r="X901">
        <v>0</v>
      </c>
      <c r="Y901">
        <v>0</v>
      </c>
      <c r="Z901">
        <v>0</v>
      </c>
      <c r="AA901">
        <v>0</v>
      </c>
      <c r="AB901">
        <v>0</v>
      </c>
    </row>
    <row r="902" spans="1:28">
      <c r="A902">
        <v>0</v>
      </c>
      <c r="B902">
        <v>0</v>
      </c>
      <c r="C902">
        <v>0</v>
      </c>
      <c r="D902">
        <v>0</v>
      </c>
      <c r="E902">
        <v>0</v>
      </c>
      <c r="F902">
        <v>0</v>
      </c>
      <c r="G902">
        <v>0</v>
      </c>
      <c r="H902">
        <v>0</v>
      </c>
      <c r="I902">
        <v>0</v>
      </c>
      <c r="J902">
        <v>0</v>
      </c>
      <c r="K902">
        <v>0</v>
      </c>
      <c r="L902">
        <v>0</v>
      </c>
      <c r="M902">
        <v>0</v>
      </c>
      <c r="N902">
        <v>0</v>
      </c>
      <c r="O902">
        <v>0</v>
      </c>
      <c r="P902">
        <v>0</v>
      </c>
      <c r="Q902">
        <v>0</v>
      </c>
      <c r="R902">
        <v>0</v>
      </c>
      <c r="S902">
        <v>0</v>
      </c>
      <c r="T902">
        <v>0</v>
      </c>
      <c r="U902">
        <v>0</v>
      </c>
      <c r="V902">
        <v>0</v>
      </c>
      <c r="W902">
        <v>0</v>
      </c>
      <c r="X902">
        <v>0</v>
      </c>
      <c r="Y902">
        <v>0</v>
      </c>
      <c r="Z902">
        <v>0</v>
      </c>
      <c r="AA902">
        <v>0</v>
      </c>
      <c r="AB902">
        <v>0</v>
      </c>
    </row>
    <row r="903" spans="1:28">
      <c r="A903">
        <v>0</v>
      </c>
      <c r="B903">
        <v>0</v>
      </c>
      <c r="C903">
        <v>0</v>
      </c>
      <c r="D903">
        <v>0</v>
      </c>
      <c r="E903">
        <v>0</v>
      </c>
      <c r="F903">
        <v>0</v>
      </c>
      <c r="G903">
        <v>0</v>
      </c>
      <c r="H903">
        <v>0</v>
      </c>
      <c r="I903">
        <v>0</v>
      </c>
      <c r="J903">
        <v>0</v>
      </c>
      <c r="K903">
        <v>0</v>
      </c>
      <c r="L903">
        <v>0</v>
      </c>
      <c r="M903">
        <v>0</v>
      </c>
      <c r="N903">
        <v>0</v>
      </c>
      <c r="O903">
        <v>0</v>
      </c>
      <c r="P903">
        <v>0</v>
      </c>
      <c r="Q903">
        <v>0</v>
      </c>
      <c r="R903">
        <v>0</v>
      </c>
      <c r="S903">
        <v>0</v>
      </c>
      <c r="T903">
        <v>0</v>
      </c>
      <c r="U903">
        <v>0</v>
      </c>
      <c r="V903">
        <v>0</v>
      </c>
      <c r="W903">
        <v>0</v>
      </c>
      <c r="X903">
        <v>0</v>
      </c>
      <c r="Y903">
        <v>0</v>
      </c>
      <c r="Z903">
        <v>0</v>
      </c>
      <c r="AA903">
        <v>0</v>
      </c>
      <c r="AB903">
        <v>0</v>
      </c>
    </row>
    <row r="904" spans="1:28">
      <c r="A904">
        <v>0</v>
      </c>
      <c r="B904">
        <v>0</v>
      </c>
      <c r="C904">
        <v>0</v>
      </c>
      <c r="D904">
        <v>0</v>
      </c>
      <c r="E904">
        <v>0</v>
      </c>
      <c r="F904">
        <v>0</v>
      </c>
      <c r="G904">
        <v>0</v>
      </c>
      <c r="H904">
        <v>0</v>
      </c>
      <c r="I904">
        <v>0</v>
      </c>
      <c r="J904">
        <v>0</v>
      </c>
      <c r="K904">
        <v>0</v>
      </c>
      <c r="L904">
        <v>0</v>
      </c>
      <c r="M904">
        <v>0</v>
      </c>
      <c r="N904">
        <v>0</v>
      </c>
      <c r="O904">
        <v>0</v>
      </c>
      <c r="P904">
        <v>0</v>
      </c>
      <c r="Q904">
        <v>0</v>
      </c>
      <c r="R904">
        <v>0</v>
      </c>
      <c r="S904">
        <v>0</v>
      </c>
      <c r="T904">
        <v>0</v>
      </c>
      <c r="U904">
        <v>0</v>
      </c>
      <c r="V904">
        <v>0</v>
      </c>
      <c r="W904">
        <v>0</v>
      </c>
      <c r="X904">
        <v>0</v>
      </c>
      <c r="Y904">
        <v>0</v>
      </c>
      <c r="Z904">
        <v>0</v>
      </c>
      <c r="AA904">
        <v>0</v>
      </c>
      <c r="AB904">
        <v>0</v>
      </c>
    </row>
    <row r="905" spans="1:28">
      <c r="A905">
        <v>0</v>
      </c>
      <c r="B905">
        <v>0</v>
      </c>
      <c r="C905">
        <v>0</v>
      </c>
      <c r="D905">
        <v>0</v>
      </c>
      <c r="E905">
        <v>0</v>
      </c>
      <c r="F905">
        <v>0</v>
      </c>
      <c r="G905">
        <v>0</v>
      </c>
      <c r="H905">
        <v>0</v>
      </c>
      <c r="I905">
        <v>0</v>
      </c>
      <c r="J905">
        <v>0</v>
      </c>
      <c r="K905">
        <v>0</v>
      </c>
      <c r="L905">
        <v>0</v>
      </c>
      <c r="M905">
        <v>0</v>
      </c>
      <c r="N905">
        <v>0</v>
      </c>
      <c r="O905">
        <v>0</v>
      </c>
      <c r="P905">
        <v>0</v>
      </c>
      <c r="Q905">
        <v>0</v>
      </c>
      <c r="R905">
        <v>0</v>
      </c>
      <c r="S905">
        <v>0</v>
      </c>
      <c r="T905">
        <v>0</v>
      </c>
      <c r="U905">
        <v>0</v>
      </c>
      <c r="V905">
        <v>0</v>
      </c>
      <c r="W905">
        <v>0</v>
      </c>
      <c r="X905">
        <v>0</v>
      </c>
      <c r="Y905">
        <v>0</v>
      </c>
      <c r="Z905">
        <v>0</v>
      </c>
      <c r="AA905">
        <v>0</v>
      </c>
      <c r="AB905">
        <v>0</v>
      </c>
    </row>
    <row r="906" spans="1:28">
      <c r="A906">
        <v>0</v>
      </c>
      <c r="B906">
        <v>0</v>
      </c>
      <c r="C906">
        <v>0</v>
      </c>
      <c r="D906">
        <v>0</v>
      </c>
      <c r="E906">
        <v>0</v>
      </c>
      <c r="F906">
        <v>0</v>
      </c>
      <c r="G906">
        <v>0</v>
      </c>
      <c r="H906">
        <v>0</v>
      </c>
      <c r="I906">
        <v>0</v>
      </c>
      <c r="J906">
        <v>0</v>
      </c>
      <c r="K906">
        <v>0</v>
      </c>
      <c r="L906">
        <v>0</v>
      </c>
      <c r="M906">
        <v>0</v>
      </c>
      <c r="N906">
        <v>0</v>
      </c>
      <c r="O906">
        <v>0</v>
      </c>
      <c r="P906">
        <v>0</v>
      </c>
      <c r="Q906">
        <v>0</v>
      </c>
      <c r="R906">
        <v>0</v>
      </c>
      <c r="S906">
        <v>0</v>
      </c>
      <c r="T906">
        <v>0</v>
      </c>
      <c r="U906">
        <v>0</v>
      </c>
      <c r="V906">
        <v>0</v>
      </c>
      <c r="W906">
        <v>0</v>
      </c>
      <c r="X906">
        <v>0</v>
      </c>
      <c r="Y906">
        <v>0</v>
      </c>
      <c r="Z906">
        <v>0</v>
      </c>
      <c r="AA906">
        <v>0</v>
      </c>
      <c r="AB906">
        <v>0</v>
      </c>
    </row>
    <row r="907" spans="1:28">
      <c r="A907">
        <v>0</v>
      </c>
      <c r="B907">
        <v>0</v>
      </c>
      <c r="C907">
        <v>0</v>
      </c>
      <c r="D907">
        <v>0</v>
      </c>
      <c r="E907">
        <v>0</v>
      </c>
      <c r="F907">
        <v>0</v>
      </c>
      <c r="G907">
        <v>0</v>
      </c>
      <c r="H907">
        <v>0</v>
      </c>
      <c r="I907">
        <v>0</v>
      </c>
      <c r="J907">
        <v>0</v>
      </c>
      <c r="K907">
        <v>0</v>
      </c>
      <c r="L907">
        <v>0</v>
      </c>
      <c r="M907">
        <v>0</v>
      </c>
      <c r="N907">
        <v>0</v>
      </c>
      <c r="O907">
        <v>0</v>
      </c>
      <c r="P907">
        <v>0</v>
      </c>
      <c r="Q907">
        <v>0</v>
      </c>
      <c r="R907">
        <v>0</v>
      </c>
      <c r="S907">
        <v>0</v>
      </c>
      <c r="T907">
        <v>0</v>
      </c>
      <c r="U907">
        <v>0</v>
      </c>
      <c r="V907">
        <v>0</v>
      </c>
      <c r="W907">
        <v>0</v>
      </c>
      <c r="X907">
        <v>0</v>
      </c>
      <c r="Y907">
        <v>0</v>
      </c>
      <c r="Z907">
        <v>0</v>
      </c>
      <c r="AA907">
        <v>0</v>
      </c>
      <c r="AB907">
        <v>0</v>
      </c>
    </row>
    <row r="908" spans="1:28">
      <c r="A908">
        <v>0</v>
      </c>
      <c r="B908">
        <v>0</v>
      </c>
      <c r="C908">
        <v>0</v>
      </c>
      <c r="D908">
        <v>0</v>
      </c>
      <c r="E908">
        <v>0</v>
      </c>
      <c r="F908">
        <v>0</v>
      </c>
      <c r="G908">
        <v>0</v>
      </c>
      <c r="H908">
        <v>0</v>
      </c>
      <c r="I908">
        <v>0</v>
      </c>
      <c r="J908">
        <v>0</v>
      </c>
      <c r="K908">
        <v>0</v>
      </c>
      <c r="L908">
        <v>0</v>
      </c>
      <c r="M908">
        <v>0</v>
      </c>
      <c r="N908">
        <v>0</v>
      </c>
      <c r="O908">
        <v>0</v>
      </c>
      <c r="P908">
        <v>0</v>
      </c>
      <c r="Q908">
        <v>0</v>
      </c>
      <c r="R908">
        <v>0</v>
      </c>
      <c r="S908">
        <v>0</v>
      </c>
      <c r="T908">
        <v>0</v>
      </c>
      <c r="U908">
        <v>0</v>
      </c>
      <c r="V908">
        <v>0</v>
      </c>
      <c r="W908">
        <v>0</v>
      </c>
      <c r="X908">
        <v>0</v>
      </c>
      <c r="Y908">
        <v>0</v>
      </c>
      <c r="Z908">
        <v>0</v>
      </c>
      <c r="AA908">
        <v>0</v>
      </c>
      <c r="AB908">
        <v>0</v>
      </c>
    </row>
    <row r="909" spans="1:28">
      <c r="A909">
        <v>0</v>
      </c>
      <c r="B909">
        <v>0</v>
      </c>
      <c r="C909">
        <v>0</v>
      </c>
      <c r="D909">
        <v>0</v>
      </c>
      <c r="E909">
        <v>0</v>
      </c>
      <c r="F909">
        <v>0</v>
      </c>
      <c r="G909">
        <v>0</v>
      </c>
      <c r="H909">
        <v>0</v>
      </c>
      <c r="I909">
        <v>0</v>
      </c>
      <c r="J909">
        <v>0</v>
      </c>
      <c r="K909">
        <v>0</v>
      </c>
      <c r="L909">
        <v>0</v>
      </c>
      <c r="M909">
        <v>0</v>
      </c>
      <c r="N909">
        <v>0</v>
      </c>
      <c r="O909">
        <v>0</v>
      </c>
      <c r="P909">
        <v>0</v>
      </c>
      <c r="Q909">
        <v>0</v>
      </c>
      <c r="R909">
        <v>0</v>
      </c>
      <c r="S909">
        <v>0</v>
      </c>
      <c r="T909">
        <v>0</v>
      </c>
      <c r="U909">
        <v>0</v>
      </c>
      <c r="V909">
        <v>0</v>
      </c>
      <c r="W909">
        <v>0</v>
      </c>
      <c r="X909">
        <v>0</v>
      </c>
      <c r="Y909">
        <v>0</v>
      </c>
      <c r="Z909">
        <v>0</v>
      </c>
      <c r="AA909">
        <v>0</v>
      </c>
      <c r="AB909">
        <v>0</v>
      </c>
    </row>
    <row r="910" spans="1:28">
      <c r="A910">
        <v>0</v>
      </c>
      <c r="B910">
        <v>0</v>
      </c>
      <c r="C910">
        <v>0</v>
      </c>
      <c r="D910">
        <v>0</v>
      </c>
      <c r="E910">
        <v>0</v>
      </c>
      <c r="F910">
        <v>0</v>
      </c>
      <c r="G910">
        <v>0</v>
      </c>
      <c r="H910">
        <v>0</v>
      </c>
      <c r="I910">
        <v>0</v>
      </c>
      <c r="J910">
        <v>0</v>
      </c>
      <c r="K910">
        <v>0</v>
      </c>
      <c r="L910">
        <v>0</v>
      </c>
      <c r="M910">
        <v>0</v>
      </c>
      <c r="N910">
        <v>0</v>
      </c>
      <c r="O910">
        <v>0</v>
      </c>
      <c r="P910">
        <v>0</v>
      </c>
      <c r="Q910">
        <v>0</v>
      </c>
      <c r="R910">
        <v>0</v>
      </c>
      <c r="S910">
        <v>0</v>
      </c>
      <c r="T910">
        <v>0</v>
      </c>
      <c r="U910">
        <v>0</v>
      </c>
      <c r="V910">
        <v>0</v>
      </c>
      <c r="W910">
        <v>0</v>
      </c>
      <c r="X910">
        <v>0</v>
      </c>
      <c r="Y910">
        <v>0</v>
      </c>
      <c r="Z910">
        <v>0</v>
      </c>
      <c r="AA910">
        <v>0</v>
      </c>
      <c r="AB910">
        <v>0</v>
      </c>
    </row>
    <row r="911" spans="1:28">
      <c r="A911">
        <v>0</v>
      </c>
      <c r="B911">
        <v>0</v>
      </c>
      <c r="C911">
        <v>0</v>
      </c>
      <c r="D911">
        <v>0</v>
      </c>
      <c r="E911">
        <v>0</v>
      </c>
      <c r="F911">
        <v>0</v>
      </c>
      <c r="G911">
        <v>0</v>
      </c>
      <c r="H911">
        <v>0</v>
      </c>
      <c r="I911">
        <v>0</v>
      </c>
      <c r="J911">
        <v>0</v>
      </c>
      <c r="K911">
        <v>0</v>
      </c>
      <c r="L911">
        <v>0</v>
      </c>
      <c r="M911">
        <v>0</v>
      </c>
      <c r="N911">
        <v>0</v>
      </c>
      <c r="O911">
        <v>0</v>
      </c>
      <c r="P911">
        <v>0</v>
      </c>
      <c r="Q911">
        <v>0</v>
      </c>
      <c r="R911">
        <v>0</v>
      </c>
      <c r="S911">
        <v>0</v>
      </c>
      <c r="T911">
        <v>0</v>
      </c>
      <c r="U911">
        <v>0</v>
      </c>
      <c r="V911">
        <v>0</v>
      </c>
      <c r="W911">
        <v>0</v>
      </c>
      <c r="X911">
        <v>0</v>
      </c>
      <c r="Y911">
        <v>0</v>
      </c>
      <c r="Z911">
        <v>0</v>
      </c>
      <c r="AA911">
        <v>0</v>
      </c>
      <c r="AB911">
        <v>0</v>
      </c>
    </row>
    <row r="912" spans="1:28">
      <c r="A912">
        <v>0</v>
      </c>
      <c r="B912">
        <v>0</v>
      </c>
      <c r="C912">
        <v>0</v>
      </c>
      <c r="D912">
        <v>0</v>
      </c>
      <c r="E912">
        <v>0</v>
      </c>
      <c r="F912">
        <v>0</v>
      </c>
      <c r="G912">
        <v>0</v>
      </c>
      <c r="H912">
        <v>0</v>
      </c>
      <c r="I912">
        <v>0</v>
      </c>
      <c r="J912">
        <v>0</v>
      </c>
      <c r="K912">
        <v>0</v>
      </c>
      <c r="L912">
        <v>0</v>
      </c>
      <c r="M912">
        <v>0</v>
      </c>
      <c r="N912">
        <v>0</v>
      </c>
      <c r="O912">
        <v>0</v>
      </c>
      <c r="P912">
        <v>0</v>
      </c>
      <c r="Q912">
        <v>0</v>
      </c>
      <c r="R912">
        <v>0</v>
      </c>
      <c r="S912">
        <v>0</v>
      </c>
      <c r="T912">
        <v>0</v>
      </c>
      <c r="U912">
        <v>0</v>
      </c>
      <c r="V912">
        <v>0</v>
      </c>
      <c r="W912">
        <v>0</v>
      </c>
      <c r="X912">
        <v>0</v>
      </c>
      <c r="Y912">
        <v>0</v>
      </c>
      <c r="Z912">
        <v>0</v>
      </c>
      <c r="AA912">
        <v>0</v>
      </c>
      <c r="AB912">
        <v>0</v>
      </c>
    </row>
    <row r="913" spans="1:28">
      <c r="A913">
        <v>0</v>
      </c>
      <c r="B913">
        <v>0</v>
      </c>
      <c r="C913">
        <v>0</v>
      </c>
      <c r="D913">
        <v>0</v>
      </c>
      <c r="E913">
        <v>0</v>
      </c>
      <c r="F913">
        <v>0</v>
      </c>
      <c r="G913">
        <v>0</v>
      </c>
      <c r="H913">
        <v>0</v>
      </c>
      <c r="I913">
        <v>0</v>
      </c>
      <c r="J913">
        <v>0</v>
      </c>
      <c r="K913">
        <v>0</v>
      </c>
      <c r="L913">
        <v>0</v>
      </c>
      <c r="M913">
        <v>0</v>
      </c>
      <c r="N913">
        <v>0</v>
      </c>
      <c r="O913">
        <v>0</v>
      </c>
      <c r="P913">
        <v>0</v>
      </c>
      <c r="Q913">
        <v>0</v>
      </c>
      <c r="R913">
        <v>0</v>
      </c>
      <c r="S913">
        <v>0</v>
      </c>
      <c r="T913">
        <v>0</v>
      </c>
      <c r="U913">
        <v>0</v>
      </c>
      <c r="V913">
        <v>0</v>
      </c>
      <c r="W913">
        <v>0</v>
      </c>
      <c r="X913">
        <v>0</v>
      </c>
      <c r="Y913">
        <v>0</v>
      </c>
      <c r="Z913">
        <v>0</v>
      </c>
      <c r="AA913">
        <v>0</v>
      </c>
      <c r="AB913">
        <v>0</v>
      </c>
    </row>
    <row r="914" spans="1:28">
      <c r="A914">
        <v>0</v>
      </c>
      <c r="B914">
        <v>0</v>
      </c>
      <c r="C914">
        <v>0</v>
      </c>
      <c r="D914">
        <v>0</v>
      </c>
      <c r="E914">
        <v>0</v>
      </c>
      <c r="F914">
        <v>0</v>
      </c>
      <c r="G914">
        <v>0</v>
      </c>
      <c r="H914">
        <v>0</v>
      </c>
      <c r="I914">
        <v>0</v>
      </c>
      <c r="J914">
        <v>0</v>
      </c>
      <c r="K914">
        <v>0</v>
      </c>
      <c r="L914">
        <v>0</v>
      </c>
      <c r="M914">
        <v>0</v>
      </c>
      <c r="N914">
        <v>0</v>
      </c>
      <c r="O914">
        <v>0</v>
      </c>
      <c r="P914">
        <v>0</v>
      </c>
      <c r="Q914">
        <v>0</v>
      </c>
      <c r="R914">
        <v>0</v>
      </c>
      <c r="S914">
        <v>0</v>
      </c>
      <c r="T914">
        <v>0</v>
      </c>
      <c r="U914">
        <v>0</v>
      </c>
      <c r="V914">
        <v>0</v>
      </c>
      <c r="W914">
        <v>0</v>
      </c>
      <c r="X914">
        <v>0</v>
      </c>
      <c r="Y914">
        <v>0</v>
      </c>
      <c r="Z914">
        <v>0</v>
      </c>
      <c r="AA914">
        <v>0</v>
      </c>
      <c r="AB914">
        <v>0</v>
      </c>
    </row>
    <row r="915" spans="1:28">
      <c r="A915">
        <v>0</v>
      </c>
      <c r="B915">
        <v>0</v>
      </c>
      <c r="C915">
        <v>0</v>
      </c>
      <c r="D915">
        <v>0</v>
      </c>
      <c r="E915">
        <v>0</v>
      </c>
      <c r="F915">
        <v>0</v>
      </c>
      <c r="G915">
        <v>0</v>
      </c>
      <c r="H915">
        <v>0</v>
      </c>
      <c r="I915">
        <v>0</v>
      </c>
      <c r="J915">
        <v>0</v>
      </c>
      <c r="K915">
        <v>0</v>
      </c>
      <c r="L915">
        <v>0</v>
      </c>
      <c r="M915">
        <v>0</v>
      </c>
      <c r="N915">
        <v>0</v>
      </c>
      <c r="O915">
        <v>0</v>
      </c>
      <c r="P915">
        <v>0</v>
      </c>
      <c r="Q915">
        <v>0</v>
      </c>
      <c r="R915">
        <v>0</v>
      </c>
      <c r="S915">
        <v>0</v>
      </c>
      <c r="T915">
        <v>0</v>
      </c>
      <c r="U915">
        <v>0</v>
      </c>
      <c r="V915">
        <v>0</v>
      </c>
      <c r="W915">
        <v>0</v>
      </c>
      <c r="X915">
        <v>0</v>
      </c>
      <c r="Y915">
        <v>0</v>
      </c>
      <c r="Z915">
        <v>0</v>
      </c>
      <c r="AA915">
        <v>0</v>
      </c>
      <c r="AB915">
        <v>0</v>
      </c>
    </row>
    <row r="916" spans="1:28">
      <c r="A916">
        <v>0</v>
      </c>
      <c r="B916">
        <v>0</v>
      </c>
      <c r="C916">
        <v>0</v>
      </c>
      <c r="D916">
        <v>0</v>
      </c>
      <c r="E916">
        <v>0</v>
      </c>
      <c r="F916">
        <v>0</v>
      </c>
      <c r="G916">
        <v>0</v>
      </c>
      <c r="H916">
        <v>0</v>
      </c>
      <c r="I916">
        <v>0</v>
      </c>
      <c r="J916">
        <v>0</v>
      </c>
      <c r="K916">
        <v>0</v>
      </c>
      <c r="L916">
        <v>0</v>
      </c>
      <c r="M916">
        <v>0</v>
      </c>
      <c r="N916">
        <v>0</v>
      </c>
      <c r="O916">
        <v>0</v>
      </c>
      <c r="P916">
        <v>0</v>
      </c>
      <c r="Q916">
        <v>0</v>
      </c>
      <c r="R916">
        <v>0</v>
      </c>
      <c r="S916">
        <v>0</v>
      </c>
      <c r="T916">
        <v>0</v>
      </c>
      <c r="U916">
        <v>0</v>
      </c>
      <c r="V916">
        <v>0</v>
      </c>
      <c r="W916">
        <v>0</v>
      </c>
      <c r="X916">
        <v>0</v>
      </c>
      <c r="Y916">
        <v>0</v>
      </c>
      <c r="Z916">
        <v>0</v>
      </c>
      <c r="AA916">
        <v>0</v>
      </c>
      <c r="AB916">
        <v>0</v>
      </c>
    </row>
    <row r="917" spans="1:28">
      <c r="A917">
        <v>0</v>
      </c>
      <c r="B917">
        <v>0</v>
      </c>
      <c r="C917">
        <v>0</v>
      </c>
      <c r="D917">
        <v>0</v>
      </c>
      <c r="E917">
        <v>0</v>
      </c>
      <c r="F917">
        <v>0</v>
      </c>
      <c r="G917">
        <v>0</v>
      </c>
      <c r="H917">
        <v>0</v>
      </c>
      <c r="I917">
        <v>0</v>
      </c>
      <c r="J917">
        <v>0</v>
      </c>
      <c r="K917">
        <v>0</v>
      </c>
      <c r="L917">
        <v>0</v>
      </c>
      <c r="M917">
        <v>0</v>
      </c>
      <c r="N917">
        <v>0</v>
      </c>
      <c r="O917">
        <v>0</v>
      </c>
      <c r="P917">
        <v>0</v>
      </c>
      <c r="Q917">
        <v>0</v>
      </c>
      <c r="R917">
        <v>0</v>
      </c>
      <c r="S917">
        <v>0</v>
      </c>
      <c r="T917">
        <v>0</v>
      </c>
      <c r="U917">
        <v>0</v>
      </c>
      <c r="V917">
        <v>0</v>
      </c>
      <c r="W917">
        <v>0</v>
      </c>
      <c r="X917">
        <v>0</v>
      </c>
      <c r="Y917">
        <v>0</v>
      </c>
      <c r="Z917">
        <v>0</v>
      </c>
      <c r="AA917">
        <v>0</v>
      </c>
      <c r="AB917">
        <v>0</v>
      </c>
    </row>
    <row r="918" spans="1:28">
      <c r="A918">
        <v>0</v>
      </c>
      <c r="B918">
        <v>0</v>
      </c>
      <c r="C918">
        <v>0</v>
      </c>
      <c r="D918">
        <v>0</v>
      </c>
      <c r="E918">
        <v>0</v>
      </c>
      <c r="F918">
        <v>0</v>
      </c>
      <c r="G918">
        <v>0</v>
      </c>
      <c r="H918">
        <v>0</v>
      </c>
      <c r="I918">
        <v>0</v>
      </c>
      <c r="J918">
        <v>0</v>
      </c>
      <c r="K918">
        <v>0</v>
      </c>
      <c r="L918">
        <v>0</v>
      </c>
      <c r="M918">
        <v>0</v>
      </c>
      <c r="N918">
        <v>0</v>
      </c>
      <c r="O918">
        <v>0</v>
      </c>
      <c r="P918">
        <v>0</v>
      </c>
      <c r="Q918">
        <v>0</v>
      </c>
      <c r="R918">
        <v>0</v>
      </c>
      <c r="S918">
        <v>0</v>
      </c>
      <c r="T918">
        <v>0</v>
      </c>
      <c r="U918">
        <v>0</v>
      </c>
      <c r="V918">
        <v>0</v>
      </c>
      <c r="W918">
        <v>0</v>
      </c>
      <c r="X918">
        <v>0</v>
      </c>
      <c r="Y918">
        <v>0</v>
      </c>
      <c r="Z918">
        <v>0</v>
      </c>
      <c r="AA918">
        <v>0</v>
      </c>
      <c r="AB918">
        <v>0</v>
      </c>
    </row>
    <row r="919" spans="1:28">
      <c r="A919">
        <v>0</v>
      </c>
      <c r="B919">
        <v>0</v>
      </c>
      <c r="C919">
        <v>0</v>
      </c>
      <c r="D919">
        <v>0</v>
      </c>
      <c r="E919">
        <v>0</v>
      </c>
      <c r="F919">
        <v>0</v>
      </c>
      <c r="G919">
        <v>0</v>
      </c>
      <c r="H919">
        <v>0</v>
      </c>
      <c r="I919">
        <v>0</v>
      </c>
      <c r="J919">
        <v>0</v>
      </c>
      <c r="K919">
        <v>0</v>
      </c>
      <c r="L919">
        <v>0</v>
      </c>
      <c r="M919">
        <v>0</v>
      </c>
      <c r="N919">
        <v>0</v>
      </c>
      <c r="O919">
        <v>0</v>
      </c>
      <c r="P919">
        <v>0</v>
      </c>
      <c r="Q919">
        <v>0</v>
      </c>
      <c r="R919">
        <v>0</v>
      </c>
      <c r="S919">
        <v>0</v>
      </c>
      <c r="T919">
        <v>0</v>
      </c>
      <c r="U919">
        <v>0</v>
      </c>
      <c r="V919">
        <v>0</v>
      </c>
      <c r="W919">
        <v>0</v>
      </c>
      <c r="X919">
        <v>0</v>
      </c>
      <c r="Y919">
        <v>0</v>
      </c>
      <c r="Z919">
        <v>0</v>
      </c>
      <c r="AA919">
        <v>0</v>
      </c>
      <c r="AB919">
        <v>0</v>
      </c>
    </row>
    <row r="920" spans="1:28">
      <c r="A920">
        <v>0</v>
      </c>
      <c r="B920">
        <v>0</v>
      </c>
      <c r="C920">
        <v>0</v>
      </c>
      <c r="D920">
        <v>0</v>
      </c>
      <c r="E920">
        <v>0</v>
      </c>
      <c r="F920">
        <v>0</v>
      </c>
      <c r="G920">
        <v>0</v>
      </c>
      <c r="H920">
        <v>0</v>
      </c>
      <c r="I920">
        <v>0</v>
      </c>
      <c r="J920">
        <v>0</v>
      </c>
      <c r="K920">
        <v>0</v>
      </c>
      <c r="L920">
        <v>0</v>
      </c>
      <c r="M920">
        <v>0</v>
      </c>
      <c r="N920">
        <v>0</v>
      </c>
      <c r="O920">
        <v>0</v>
      </c>
      <c r="P920">
        <v>0</v>
      </c>
      <c r="Q920">
        <v>0</v>
      </c>
      <c r="R920">
        <v>0</v>
      </c>
      <c r="S920">
        <v>0</v>
      </c>
      <c r="T920">
        <v>0</v>
      </c>
      <c r="U920">
        <v>0</v>
      </c>
      <c r="V920">
        <v>0</v>
      </c>
      <c r="W920">
        <v>0</v>
      </c>
      <c r="X920">
        <v>0</v>
      </c>
      <c r="Y920">
        <v>0</v>
      </c>
      <c r="Z920">
        <v>0</v>
      </c>
      <c r="AA920">
        <v>0</v>
      </c>
      <c r="AB920">
        <v>0</v>
      </c>
    </row>
    <row r="921" spans="1:28">
      <c r="A921">
        <v>0</v>
      </c>
      <c r="B921">
        <v>0</v>
      </c>
      <c r="C921">
        <v>0</v>
      </c>
      <c r="D921">
        <v>0</v>
      </c>
      <c r="E921">
        <v>0</v>
      </c>
      <c r="F921">
        <v>0</v>
      </c>
      <c r="G921">
        <v>0</v>
      </c>
      <c r="H921">
        <v>0</v>
      </c>
      <c r="I921">
        <v>0</v>
      </c>
      <c r="J921">
        <v>0</v>
      </c>
      <c r="K921">
        <v>0</v>
      </c>
      <c r="L921">
        <v>0</v>
      </c>
      <c r="M921">
        <v>0</v>
      </c>
      <c r="N921">
        <v>0</v>
      </c>
      <c r="O921">
        <v>0</v>
      </c>
      <c r="P921">
        <v>0</v>
      </c>
      <c r="Q921">
        <v>0</v>
      </c>
      <c r="R921">
        <v>0</v>
      </c>
      <c r="S921">
        <v>0</v>
      </c>
      <c r="T921">
        <v>0</v>
      </c>
      <c r="U921">
        <v>0</v>
      </c>
      <c r="V921">
        <v>0</v>
      </c>
      <c r="W921">
        <v>0</v>
      </c>
      <c r="X921">
        <v>0</v>
      </c>
      <c r="Y921">
        <v>0</v>
      </c>
      <c r="Z921">
        <v>0</v>
      </c>
      <c r="AA921">
        <v>0</v>
      </c>
      <c r="AB921">
        <v>0</v>
      </c>
    </row>
    <row r="922" spans="1:28">
      <c r="A922">
        <v>0</v>
      </c>
      <c r="B922">
        <v>0</v>
      </c>
      <c r="C922">
        <v>0</v>
      </c>
      <c r="D922">
        <v>0</v>
      </c>
      <c r="E922">
        <v>0</v>
      </c>
      <c r="F922">
        <v>0</v>
      </c>
      <c r="G922">
        <v>0</v>
      </c>
      <c r="H922">
        <v>0</v>
      </c>
      <c r="I922">
        <v>0</v>
      </c>
      <c r="J922">
        <v>0</v>
      </c>
      <c r="K922">
        <v>0</v>
      </c>
      <c r="L922">
        <v>0</v>
      </c>
      <c r="M922">
        <v>0</v>
      </c>
      <c r="N922">
        <v>0</v>
      </c>
      <c r="O922">
        <v>0</v>
      </c>
      <c r="P922">
        <v>0</v>
      </c>
      <c r="Q922">
        <v>0</v>
      </c>
      <c r="R922">
        <v>0</v>
      </c>
      <c r="S922">
        <v>0</v>
      </c>
      <c r="T922">
        <v>0</v>
      </c>
      <c r="U922">
        <v>0</v>
      </c>
      <c r="V922">
        <v>0</v>
      </c>
      <c r="W922">
        <v>0</v>
      </c>
      <c r="X922">
        <v>0</v>
      </c>
      <c r="Y922">
        <v>0</v>
      </c>
      <c r="Z922">
        <v>0</v>
      </c>
      <c r="AA922">
        <v>0</v>
      </c>
      <c r="AB922">
        <v>0</v>
      </c>
    </row>
    <row r="923" spans="1:28">
      <c r="A923">
        <v>0</v>
      </c>
      <c r="B923">
        <v>0</v>
      </c>
      <c r="C923">
        <v>0</v>
      </c>
      <c r="D923">
        <v>0</v>
      </c>
      <c r="E923">
        <v>0</v>
      </c>
      <c r="F923">
        <v>0</v>
      </c>
      <c r="G923">
        <v>0</v>
      </c>
      <c r="H923">
        <v>0</v>
      </c>
      <c r="I923">
        <v>0</v>
      </c>
      <c r="J923">
        <v>0</v>
      </c>
      <c r="K923">
        <v>0</v>
      </c>
      <c r="L923">
        <v>0</v>
      </c>
      <c r="M923">
        <v>0</v>
      </c>
      <c r="N923">
        <v>0</v>
      </c>
      <c r="O923">
        <v>0</v>
      </c>
      <c r="P923">
        <v>0</v>
      </c>
      <c r="Q923">
        <v>0</v>
      </c>
      <c r="R923">
        <v>0</v>
      </c>
      <c r="S923">
        <v>0</v>
      </c>
      <c r="T923">
        <v>0</v>
      </c>
      <c r="U923">
        <v>0</v>
      </c>
      <c r="V923">
        <v>0</v>
      </c>
      <c r="W923">
        <v>0</v>
      </c>
      <c r="X923">
        <v>0</v>
      </c>
      <c r="Y923">
        <v>0</v>
      </c>
      <c r="Z923">
        <v>0</v>
      </c>
      <c r="AA923">
        <v>0</v>
      </c>
      <c r="AB923">
        <v>0</v>
      </c>
    </row>
    <row r="924" spans="1:28">
      <c r="A924">
        <v>0</v>
      </c>
      <c r="B924">
        <v>0</v>
      </c>
      <c r="C924">
        <v>0</v>
      </c>
      <c r="D924">
        <v>0</v>
      </c>
      <c r="E924">
        <v>0</v>
      </c>
      <c r="F924">
        <v>0</v>
      </c>
      <c r="G924">
        <v>0</v>
      </c>
      <c r="H924">
        <v>0</v>
      </c>
      <c r="I924">
        <v>0</v>
      </c>
      <c r="J924">
        <v>0</v>
      </c>
      <c r="K924">
        <v>0</v>
      </c>
      <c r="L924">
        <v>0</v>
      </c>
      <c r="M924">
        <v>0</v>
      </c>
      <c r="N924">
        <v>0</v>
      </c>
      <c r="O924">
        <v>0</v>
      </c>
      <c r="P924">
        <v>0</v>
      </c>
      <c r="Q924">
        <v>0</v>
      </c>
      <c r="R924">
        <v>0</v>
      </c>
      <c r="S924">
        <v>0</v>
      </c>
      <c r="T924">
        <v>0</v>
      </c>
      <c r="U924">
        <v>0</v>
      </c>
      <c r="V924">
        <v>0</v>
      </c>
      <c r="W924">
        <v>0</v>
      </c>
      <c r="X924">
        <v>0</v>
      </c>
      <c r="Y924">
        <v>0</v>
      </c>
      <c r="Z924">
        <v>0</v>
      </c>
      <c r="AA924">
        <v>0</v>
      </c>
      <c r="AB924">
        <v>0</v>
      </c>
    </row>
    <row r="925" spans="1:28">
      <c r="A925">
        <v>0</v>
      </c>
      <c r="B925">
        <v>0</v>
      </c>
      <c r="C925">
        <v>0</v>
      </c>
      <c r="D925">
        <v>0</v>
      </c>
      <c r="E925">
        <v>0</v>
      </c>
      <c r="F925">
        <v>0</v>
      </c>
      <c r="G925">
        <v>0</v>
      </c>
      <c r="H925">
        <v>0</v>
      </c>
      <c r="I925">
        <v>0</v>
      </c>
      <c r="J925">
        <v>0</v>
      </c>
      <c r="K925">
        <v>0</v>
      </c>
      <c r="L925">
        <v>0</v>
      </c>
      <c r="M925">
        <v>0</v>
      </c>
      <c r="N925">
        <v>0</v>
      </c>
      <c r="O925">
        <v>0</v>
      </c>
      <c r="P925">
        <v>0</v>
      </c>
      <c r="Q925">
        <v>0</v>
      </c>
      <c r="R925">
        <v>0</v>
      </c>
      <c r="S925">
        <v>0</v>
      </c>
      <c r="T925">
        <v>0</v>
      </c>
      <c r="U925">
        <v>0</v>
      </c>
      <c r="V925">
        <v>0</v>
      </c>
      <c r="W925">
        <v>0</v>
      </c>
      <c r="X925">
        <v>0</v>
      </c>
      <c r="Y925">
        <v>0</v>
      </c>
      <c r="Z925">
        <v>0</v>
      </c>
      <c r="AA925">
        <v>0</v>
      </c>
      <c r="AB925">
        <v>0</v>
      </c>
    </row>
    <row r="926" spans="1:28">
      <c r="A926">
        <v>0</v>
      </c>
      <c r="B926">
        <v>0</v>
      </c>
      <c r="C926">
        <v>0</v>
      </c>
      <c r="D926">
        <v>0</v>
      </c>
      <c r="E926">
        <v>0</v>
      </c>
      <c r="F926">
        <v>0</v>
      </c>
      <c r="G926">
        <v>0</v>
      </c>
      <c r="H926">
        <v>0</v>
      </c>
      <c r="I926">
        <v>0</v>
      </c>
      <c r="J926">
        <v>0</v>
      </c>
      <c r="K926">
        <v>0</v>
      </c>
      <c r="L926">
        <v>0</v>
      </c>
      <c r="M926">
        <v>0</v>
      </c>
      <c r="N926">
        <v>0</v>
      </c>
      <c r="O926">
        <v>0</v>
      </c>
      <c r="P926">
        <v>0</v>
      </c>
      <c r="Q926">
        <v>0</v>
      </c>
      <c r="R926">
        <v>0</v>
      </c>
      <c r="S926">
        <v>0</v>
      </c>
      <c r="T926">
        <v>0</v>
      </c>
      <c r="U926">
        <v>0</v>
      </c>
      <c r="V926">
        <v>0</v>
      </c>
      <c r="W926">
        <v>0</v>
      </c>
      <c r="X926">
        <v>0</v>
      </c>
      <c r="Y926">
        <v>0</v>
      </c>
      <c r="Z926">
        <v>0</v>
      </c>
      <c r="AA926">
        <v>0</v>
      </c>
      <c r="AB926">
        <v>0</v>
      </c>
    </row>
    <row r="927" spans="1:28">
      <c r="A927">
        <v>0</v>
      </c>
      <c r="B927">
        <v>0</v>
      </c>
      <c r="C927">
        <v>0</v>
      </c>
      <c r="D927">
        <v>0</v>
      </c>
      <c r="E927">
        <v>0</v>
      </c>
      <c r="F927">
        <v>0</v>
      </c>
      <c r="G927">
        <v>0</v>
      </c>
      <c r="H927">
        <v>0</v>
      </c>
      <c r="I927">
        <v>0</v>
      </c>
      <c r="J927">
        <v>0</v>
      </c>
      <c r="K927">
        <v>0</v>
      </c>
      <c r="L927">
        <v>0</v>
      </c>
      <c r="M927">
        <v>0</v>
      </c>
      <c r="N927">
        <v>0</v>
      </c>
      <c r="O927">
        <v>0</v>
      </c>
      <c r="P927">
        <v>0</v>
      </c>
      <c r="Q927">
        <v>0</v>
      </c>
      <c r="R927">
        <v>0</v>
      </c>
      <c r="S927">
        <v>0</v>
      </c>
      <c r="T927">
        <v>0</v>
      </c>
      <c r="U927">
        <v>0</v>
      </c>
      <c r="V927">
        <v>0</v>
      </c>
      <c r="W927">
        <v>0</v>
      </c>
      <c r="X927">
        <v>0</v>
      </c>
      <c r="Y927">
        <v>0</v>
      </c>
      <c r="Z927">
        <v>0</v>
      </c>
      <c r="AA927">
        <v>0</v>
      </c>
      <c r="AB927">
        <v>0</v>
      </c>
    </row>
    <row r="928" spans="1:28">
      <c r="A928">
        <v>0</v>
      </c>
      <c r="B928">
        <v>0</v>
      </c>
      <c r="C928">
        <v>0</v>
      </c>
      <c r="D928">
        <v>0</v>
      </c>
      <c r="E928">
        <v>0</v>
      </c>
      <c r="F928">
        <v>0</v>
      </c>
      <c r="G928">
        <v>0</v>
      </c>
      <c r="H928">
        <v>0</v>
      </c>
      <c r="I928">
        <v>0</v>
      </c>
      <c r="J928">
        <v>0</v>
      </c>
      <c r="K928">
        <v>0</v>
      </c>
      <c r="L928">
        <v>0</v>
      </c>
      <c r="M928">
        <v>0</v>
      </c>
      <c r="N928">
        <v>0</v>
      </c>
      <c r="O928">
        <v>0</v>
      </c>
      <c r="P928">
        <v>0</v>
      </c>
      <c r="Q928">
        <v>0</v>
      </c>
      <c r="R928">
        <v>0</v>
      </c>
      <c r="S928">
        <v>0</v>
      </c>
      <c r="T928">
        <v>0</v>
      </c>
      <c r="U928">
        <v>0</v>
      </c>
      <c r="V928">
        <v>0</v>
      </c>
      <c r="W928">
        <v>0</v>
      </c>
      <c r="X928">
        <v>0</v>
      </c>
      <c r="Y928">
        <v>0</v>
      </c>
      <c r="Z928">
        <v>0</v>
      </c>
      <c r="AA928">
        <v>0</v>
      </c>
      <c r="AB928">
        <v>0</v>
      </c>
    </row>
    <row r="929" spans="1:28">
      <c r="A929">
        <v>0</v>
      </c>
      <c r="B929">
        <v>0</v>
      </c>
      <c r="C929">
        <v>0</v>
      </c>
      <c r="D929">
        <v>0</v>
      </c>
      <c r="E929">
        <v>0</v>
      </c>
      <c r="F929">
        <v>0</v>
      </c>
      <c r="G929">
        <v>0</v>
      </c>
      <c r="H929">
        <v>0</v>
      </c>
      <c r="I929">
        <v>0</v>
      </c>
      <c r="J929">
        <v>0</v>
      </c>
      <c r="K929">
        <v>0</v>
      </c>
      <c r="L929">
        <v>0</v>
      </c>
      <c r="M929">
        <v>0</v>
      </c>
      <c r="N929">
        <v>0</v>
      </c>
      <c r="O929">
        <v>0</v>
      </c>
      <c r="P929">
        <v>0</v>
      </c>
      <c r="Q929">
        <v>0</v>
      </c>
      <c r="R929">
        <v>0</v>
      </c>
      <c r="S929">
        <v>0</v>
      </c>
      <c r="T929">
        <v>0</v>
      </c>
      <c r="U929">
        <v>0</v>
      </c>
      <c r="V929">
        <v>0</v>
      </c>
      <c r="W929">
        <v>0</v>
      </c>
      <c r="X929">
        <v>0</v>
      </c>
      <c r="Y929">
        <v>0</v>
      </c>
      <c r="Z929">
        <v>0</v>
      </c>
      <c r="AA929">
        <v>0</v>
      </c>
      <c r="AB929">
        <v>0</v>
      </c>
    </row>
    <row r="930" spans="1:28">
      <c r="A930">
        <v>0</v>
      </c>
      <c r="B930">
        <v>0</v>
      </c>
      <c r="C930">
        <v>0</v>
      </c>
      <c r="D930">
        <v>0</v>
      </c>
      <c r="E930">
        <v>0</v>
      </c>
      <c r="F930">
        <v>0</v>
      </c>
      <c r="G930">
        <v>0</v>
      </c>
      <c r="H930">
        <v>0</v>
      </c>
      <c r="I930">
        <v>0</v>
      </c>
      <c r="J930">
        <v>0</v>
      </c>
      <c r="K930">
        <v>0</v>
      </c>
      <c r="L930">
        <v>0</v>
      </c>
      <c r="M930">
        <v>0</v>
      </c>
      <c r="N930">
        <v>0</v>
      </c>
      <c r="O930">
        <v>0</v>
      </c>
      <c r="P930">
        <v>0</v>
      </c>
      <c r="Q930">
        <v>0</v>
      </c>
      <c r="R930">
        <v>0</v>
      </c>
      <c r="S930">
        <v>0</v>
      </c>
      <c r="T930">
        <v>0</v>
      </c>
      <c r="U930">
        <v>0</v>
      </c>
      <c r="V930">
        <v>0</v>
      </c>
      <c r="W930">
        <v>0</v>
      </c>
      <c r="X930">
        <v>0</v>
      </c>
      <c r="Y930">
        <v>0</v>
      </c>
      <c r="Z930">
        <v>0</v>
      </c>
      <c r="AA930">
        <v>0</v>
      </c>
      <c r="AB930">
        <v>0</v>
      </c>
    </row>
    <row r="931" spans="1:28">
      <c r="A931">
        <v>0</v>
      </c>
      <c r="B931">
        <v>0</v>
      </c>
      <c r="C931">
        <v>0</v>
      </c>
      <c r="D931">
        <v>0</v>
      </c>
      <c r="E931">
        <v>0</v>
      </c>
      <c r="F931">
        <v>0</v>
      </c>
      <c r="G931">
        <v>0</v>
      </c>
      <c r="H931">
        <v>0</v>
      </c>
      <c r="I931">
        <v>0</v>
      </c>
      <c r="J931">
        <v>0</v>
      </c>
      <c r="K931">
        <v>0</v>
      </c>
      <c r="L931">
        <v>0</v>
      </c>
      <c r="M931">
        <v>0</v>
      </c>
      <c r="N931">
        <v>0</v>
      </c>
      <c r="O931">
        <v>0</v>
      </c>
      <c r="P931">
        <v>0</v>
      </c>
      <c r="Q931">
        <v>0</v>
      </c>
      <c r="R931">
        <v>0</v>
      </c>
      <c r="S931">
        <v>0</v>
      </c>
      <c r="T931">
        <v>0</v>
      </c>
      <c r="U931">
        <v>0</v>
      </c>
      <c r="V931">
        <v>0</v>
      </c>
      <c r="W931">
        <v>0</v>
      </c>
      <c r="X931">
        <v>0</v>
      </c>
      <c r="Y931">
        <v>0</v>
      </c>
      <c r="Z931">
        <v>0</v>
      </c>
      <c r="AA931">
        <v>0</v>
      </c>
      <c r="AB931">
        <v>0</v>
      </c>
    </row>
    <row r="932" spans="1:28">
      <c r="A932">
        <v>0</v>
      </c>
      <c r="B932">
        <v>0</v>
      </c>
      <c r="C932">
        <v>0</v>
      </c>
      <c r="D932">
        <v>0</v>
      </c>
      <c r="E932">
        <v>0</v>
      </c>
      <c r="F932">
        <v>0</v>
      </c>
      <c r="G932">
        <v>0</v>
      </c>
      <c r="H932">
        <v>0</v>
      </c>
      <c r="I932">
        <v>0</v>
      </c>
      <c r="J932">
        <v>0</v>
      </c>
      <c r="K932">
        <v>0</v>
      </c>
      <c r="L932">
        <v>0</v>
      </c>
      <c r="M932">
        <v>0</v>
      </c>
      <c r="N932">
        <v>0</v>
      </c>
      <c r="O932">
        <v>0</v>
      </c>
      <c r="P932">
        <v>0</v>
      </c>
      <c r="Q932">
        <v>0</v>
      </c>
      <c r="R932">
        <v>0</v>
      </c>
      <c r="S932">
        <v>0</v>
      </c>
      <c r="T932">
        <v>0</v>
      </c>
      <c r="U932">
        <v>0</v>
      </c>
      <c r="V932">
        <v>0</v>
      </c>
      <c r="W932">
        <v>0</v>
      </c>
      <c r="X932">
        <v>0</v>
      </c>
      <c r="Y932">
        <v>0</v>
      </c>
      <c r="Z932">
        <v>0</v>
      </c>
      <c r="AA932">
        <v>0</v>
      </c>
      <c r="AB932">
        <v>0</v>
      </c>
    </row>
    <row r="933" spans="1:28">
      <c r="A933">
        <v>0</v>
      </c>
      <c r="B933">
        <v>0</v>
      </c>
      <c r="C933">
        <v>0</v>
      </c>
      <c r="D933">
        <v>0</v>
      </c>
      <c r="E933">
        <v>0</v>
      </c>
      <c r="F933">
        <v>0</v>
      </c>
      <c r="G933">
        <v>0</v>
      </c>
      <c r="H933">
        <v>0</v>
      </c>
      <c r="I933">
        <v>0</v>
      </c>
      <c r="J933">
        <v>0</v>
      </c>
      <c r="K933">
        <v>0</v>
      </c>
      <c r="L933">
        <v>0</v>
      </c>
      <c r="M933">
        <v>0</v>
      </c>
      <c r="N933">
        <v>0</v>
      </c>
      <c r="O933">
        <v>0</v>
      </c>
      <c r="P933">
        <v>0</v>
      </c>
      <c r="Q933">
        <v>0</v>
      </c>
      <c r="R933">
        <v>0</v>
      </c>
      <c r="S933">
        <v>0</v>
      </c>
      <c r="T933">
        <v>0</v>
      </c>
      <c r="U933">
        <v>0</v>
      </c>
      <c r="V933">
        <v>0</v>
      </c>
      <c r="W933">
        <v>0</v>
      </c>
      <c r="X933">
        <v>0</v>
      </c>
      <c r="Y933">
        <v>0</v>
      </c>
      <c r="Z933">
        <v>0</v>
      </c>
      <c r="AA933">
        <v>0</v>
      </c>
      <c r="AB933">
        <v>0</v>
      </c>
    </row>
    <row r="934" spans="1:28">
      <c r="A934">
        <v>0</v>
      </c>
      <c r="B934">
        <v>0</v>
      </c>
      <c r="C934">
        <v>0</v>
      </c>
      <c r="D934">
        <v>0</v>
      </c>
      <c r="E934">
        <v>0</v>
      </c>
      <c r="F934">
        <v>0</v>
      </c>
      <c r="G934">
        <v>0</v>
      </c>
      <c r="H934">
        <v>0</v>
      </c>
      <c r="I934">
        <v>0</v>
      </c>
      <c r="J934">
        <v>0</v>
      </c>
      <c r="K934">
        <v>0</v>
      </c>
      <c r="L934">
        <v>0</v>
      </c>
      <c r="M934">
        <v>0</v>
      </c>
      <c r="N934">
        <v>0</v>
      </c>
      <c r="O934">
        <v>0</v>
      </c>
      <c r="P934">
        <v>0</v>
      </c>
      <c r="Q934">
        <v>0</v>
      </c>
      <c r="R934">
        <v>0</v>
      </c>
      <c r="S934">
        <v>0</v>
      </c>
      <c r="T934">
        <v>0</v>
      </c>
      <c r="U934">
        <v>0</v>
      </c>
      <c r="V934">
        <v>0</v>
      </c>
      <c r="W934">
        <v>0</v>
      </c>
      <c r="X934">
        <v>0</v>
      </c>
      <c r="Y934">
        <v>0</v>
      </c>
      <c r="Z934">
        <v>0</v>
      </c>
      <c r="AA934">
        <v>0</v>
      </c>
      <c r="AB934">
        <v>0</v>
      </c>
    </row>
    <row r="935" spans="1:28">
      <c r="A935">
        <v>0</v>
      </c>
      <c r="B935">
        <v>0</v>
      </c>
      <c r="C935">
        <v>0</v>
      </c>
      <c r="D935">
        <v>0</v>
      </c>
      <c r="E935">
        <v>0</v>
      </c>
      <c r="F935">
        <v>0</v>
      </c>
      <c r="G935">
        <v>0</v>
      </c>
      <c r="H935">
        <v>0</v>
      </c>
      <c r="I935">
        <v>0</v>
      </c>
      <c r="J935">
        <v>0</v>
      </c>
      <c r="K935">
        <v>0</v>
      </c>
      <c r="L935">
        <v>0</v>
      </c>
      <c r="M935">
        <v>0</v>
      </c>
      <c r="N935">
        <v>0</v>
      </c>
      <c r="O935">
        <v>0</v>
      </c>
      <c r="P935">
        <v>0</v>
      </c>
      <c r="Q935">
        <v>0</v>
      </c>
      <c r="R935">
        <v>0</v>
      </c>
      <c r="S935">
        <v>0</v>
      </c>
      <c r="T935">
        <v>0</v>
      </c>
      <c r="U935">
        <v>0</v>
      </c>
      <c r="V935">
        <v>0</v>
      </c>
      <c r="W935">
        <v>0</v>
      </c>
      <c r="X935">
        <v>0</v>
      </c>
      <c r="Y935">
        <v>0</v>
      </c>
      <c r="Z935">
        <v>0</v>
      </c>
      <c r="AA935">
        <v>0</v>
      </c>
      <c r="AB935">
        <v>0</v>
      </c>
    </row>
    <row r="936" spans="1:28">
      <c r="A936">
        <v>0</v>
      </c>
      <c r="B936">
        <v>0</v>
      </c>
      <c r="C936">
        <v>0</v>
      </c>
      <c r="D936">
        <v>0</v>
      </c>
      <c r="E936">
        <v>0</v>
      </c>
      <c r="F936">
        <v>0</v>
      </c>
      <c r="G936">
        <v>0</v>
      </c>
      <c r="H936">
        <v>0</v>
      </c>
      <c r="I936">
        <v>0</v>
      </c>
      <c r="J936">
        <v>0</v>
      </c>
      <c r="K936">
        <v>0</v>
      </c>
      <c r="L936">
        <v>0</v>
      </c>
      <c r="M936">
        <v>0</v>
      </c>
      <c r="N936">
        <v>0</v>
      </c>
      <c r="O936">
        <v>0</v>
      </c>
      <c r="P936">
        <v>0</v>
      </c>
      <c r="Q936">
        <v>0</v>
      </c>
      <c r="R936">
        <v>0</v>
      </c>
      <c r="S936">
        <v>0</v>
      </c>
      <c r="T936">
        <v>0</v>
      </c>
      <c r="U936">
        <v>0</v>
      </c>
      <c r="V936">
        <v>0</v>
      </c>
      <c r="W936">
        <v>0</v>
      </c>
      <c r="X936">
        <v>0</v>
      </c>
      <c r="Y936">
        <v>0</v>
      </c>
      <c r="Z936">
        <v>0</v>
      </c>
      <c r="AA936">
        <v>0</v>
      </c>
      <c r="AB936">
        <v>0</v>
      </c>
    </row>
    <row r="937" spans="1:28">
      <c r="A937">
        <v>0</v>
      </c>
      <c r="B937">
        <v>0</v>
      </c>
      <c r="C937">
        <v>0</v>
      </c>
      <c r="D937">
        <v>0</v>
      </c>
      <c r="E937">
        <v>0</v>
      </c>
      <c r="F937">
        <v>0</v>
      </c>
      <c r="G937">
        <v>0</v>
      </c>
      <c r="H937">
        <v>0</v>
      </c>
      <c r="I937">
        <v>0</v>
      </c>
      <c r="J937">
        <v>0</v>
      </c>
      <c r="K937">
        <v>0</v>
      </c>
      <c r="L937">
        <v>0</v>
      </c>
      <c r="M937">
        <v>0</v>
      </c>
      <c r="N937">
        <v>0</v>
      </c>
      <c r="O937">
        <v>0</v>
      </c>
      <c r="P937">
        <v>0</v>
      </c>
      <c r="Q937">
        <v>0</v>
      </c>
      <c r="R937">
        <v>0</v>
      </c>
      <c r="S937">
        <v>0</v>
      </c>
      <c r="T937">
        <v>0</v>
      </c>
      <c r="U937">
        <v>0</v>
      </c>
      <c r="V937">
        <v>0</v>
      </c>
      <c r="W937">
        <v>0</v>
      </c>
      <c r="X937">
        <v>0</v>
      </c>
      <c r="Y937">
        <v>0</v>
      </c>
      <c r="Z937">
        <v>0</v>
      </c>
      <c r="AA937">
        <v>0</v>
      </c>
      <c r="AB937">
        <v>0</v>
      </c>
    </row>
    <row r="938" spans="1:28">
      <c r="A938">
        <v>0</v>
      </c>
      <c r="B938">
        <v>0</v>
      </c>
      <c r="C938">
        <v>0</v>
      </c>
      <c r="D938">
        <v>0</v>
      </c>
      <c r="E938">
        <v>0</v>
      </c>
      <c r="F938">
        <v>0</v>
      </c>
      <c r="G938">
        <v>0</v>
      </c>
      <c r="H938">
        <v>0</v>
      </c>
      <c r="I938">
        <v>0</v>
      </c>
      <c r="J938">
        <v>0</v>
      </c>
      <c r="K938">
        <v>0</v>
      </c>
      <c r="L938">
        <v>0</v>
      </c>
      <c r="M938">
        <v>0</v>
      </c>
      <c r="N938">
        <v>0</v>
      </c>
      <c r="O938">
        <v>0</v>
      </c>
      <c r="P938">
        <v>0</v>
      </c>
      <c r="Q938">
        <v>0</v>
      </c>
      <c r="R938">
        <v>0</v>
      </c>
      <c r="S938">
        <v>0</v>
      </c>
      <c r="T938">
        <v>0</v>
      </c>
      <c r="U938">
        <v>0</v>
      </c>
      <c r="V938">
        <v>0</v>
      </c>
      <c r="W938">
        <v>0</v>
      </c>
      <c r="X938">
        <v>0</v>
      </c>
      <c r="Y938">
        <v>0</v>
      </c>
      <c r="Z938">
        <v>0</v>
      </c>
      <c r="AA938">
        <v>0</v>
      </c>
      <c r="AB938">
        <v>0</v>
      </c>
    </row>
    <row r="939" spans="1:28">
      <c r="A939">
        <v>0</v>
      </c>
      <c r="B939">
        <v>0</v>
      </c>
      <c r="C939">
        <v>0</v>
      </c>
      <c r="D939">
        <v>0</v>
      </c>
      <c r="E939">
        <v>0</v>
      </c>
      <c r="F939">
        <v>0</v>
      </c>
      <c r="G939">
        <v>0</v>
      </c>
      <c r="H939">
        <v>0</v>
      </c>
      <c r="I939">
        <v>0</v>
      </c>
      <c r="J939">
        <v>0</v>
      </c>
      <c r="K939">
        <v>0</v>
      </c>
      <c r="L939">
        <v>0</v>
      </c>
      <c r="M939">
        <v>0</v>
      </c>
      <c r="N939">
        <v>0</v>
      </c>
      <c r="O939">
        <v>0</v>
      </c>
      <c r="P939">
        <v>0</v>
      </c>
      <c r="Q939">
        <v>0</v>
      </c>
      <c r="R939">
        <v>0</v>
      </c>
      <c r="S939">
        <v>0</v>
      </c>
      <c r="T939">
        <v>0</v>
      </c>
      <c r="U939">
        <v>0</v>
      </c>
      <c r="V939">
        <v>0</v>
      </c>
      <c r="W939">
        <v>0</v>
      </c>
      <c r="X939">
        <v>0</v>
      </c>
      <c r="Y939">
        <v>0</v>
      </c>
      <c r="Z939">
        <v>0</v>
      </c>
      <c r="AA939">
        <v>0</v>
      </c>
      <c r="AB939">
        <v>0</v>
      </c>
    </row>
    <row r="940" spans="1:28">
      <c r="A940">
        <v>0</v>
      </c>
      <c r="B940">
        <v>0</v>
      </c>
      <c r="C940">
        <v>0</v>
      </c>
      <c r="D940">
        <v>0</v>
      </c>
      <c r="E940">
        <v>0</v>
      </c>
      <c r="F940">
        <v>0</v>
      </c>
      <c r="G940">
        <v>0</v>
      </c>
      <c r="H940">
        <v>0</v>
      </c>
      <c r="I940">
        <v>0</v>
      </c>
      <c r="J940">
        <v>0</v>
      </c>
      <c r="K940">
        <v>0</v>
      </c>
      <c r="L940">
        <v>0</v>
      </c>
      <c r="M940">
        <v>0</v>
      </c>
      <c r="N940">
        <v>0</v>
      </c>
      <c r="O940">
        <v>0</v>
      </c>
      <c r="P940">
        <v>0</v>
      </c>
      <c r="Q940">
        <v>0</v>
      </c>
      <c r="R940">
        <v>0</v>
      </c>
      <c r="S940">
        <v>0</v>
      </c>
      <c r="T940">
        <v>0</v>
      </c>
      <c r="U940">
        <v>0</v>
      </c>
      <c r="V940">
        <v>0</v>
      </c>
      <c r="W940">
        <v>0</v>
      </c>
      <c r="X940">
        <v>0</v>
      </c>
      <c r="Y940">
        <v>0</v>
      </c>
      <c r="Z940">
        <v>0</v>
      </c>
      <c r="AA940">
        <v>0</v>
      </c>
      <c r="AB940">
        <v>0</v>
      </c>
    </row>
    <row r="941" spans="1:28">
      <c r="A941">
        <v>0</v>
      </c>
      <c r="B941">
        <v>0</v>
      </c>
      <c r="C941">
        <v>0</v>
      </c>
      <c r="D941">
        <v>0</v>
      </c>
      <c r="E941">
        <v>0</v>
      </c>
      <c r="F941">
        <v>0</v>
      </c>
      <c r="G941">
        <v>0</v>
      </c>
      <c r="H941">
        <v>0</v>
      </c>
      <c r="I941">
        <v>0</v>
      </c>
      <c r="J941">
        <v>0</v>
      </c>
      <c r="K941">
        <v>0</v>
      </c>
      <c r="L941">
        <v>0</v>
      </c>
      <c r="M941">
        <v>0</v>
      </c>
      <c r="N941">
        <v>0</v>
      </c>
      <c r="O941">
        <v>0</v>
      </c>
      <c r="P941">
        <v>0</v>
      </c>
      <c r="Q941">
        <v>0</v>
      </c>
      <c r="R941">
        <v>0</v>
      </c>
      <c r="S941">
        <v>0</v>
      </c>
      <c r="T941">
        <v>0</v>
      </c>
      <c r="U941">
        <v>0</v>
      </c>
      <c r="V941">
        <v>0</v>
      </c>
      <c r="W941">
        <v>0</v>
      </c>
      <c r="X941">
        <v>0</v>
      </c>
      <c r="Y941">
        <v>0</v>
      </c>
      <c r="Z941">
        <v>0</v>
      </c>
      <c r="AA941">
        <v>0</v>
      </c>
      <c r="AB941">
        <v>0</v>
      </c>
    </row>
    <row r="942" spans="1:28">
      <c r="A942">
        <v>0</v>
      </c>
      <c r="B942">
        <v>0</v>
      </c>
      <c r="C942">
        <v>0</v>
      </c>
      <c r="D942">
        <v>0</v>
      </c>
      <c r="E942">
        <v>0</v>
      </c>
      <c r="F942">
        <v>0</v>
      </c>
      <c r="G942">
        <v>0</v>
      </c>
      <c r="H942">
        <v>0</v>
      </c>
      <c r="I942">
        <v>0</v>
      </c>
      <c r="J942">
        <v>0</v>
      </c>
      <c r="K942">
        <v>0</v>
      </c>
      <c r="L942">
        <v>0</v>
      </c>
      <c r="M942">
        <v>0</v>
      </c>
      <c r="N942">
        <v>0</v>
      </c>
      <c r="O942">
        <v>0</v>
      </c>
      <c r="P942">
        <v>0</v>
      </c>
      <c r="Q942">
        <v>0</v>
      </c>
      <c r="R942">
        <v>0</v>
      </c>
      <c r="S942">
        <v>0</v>
      </c>
      <c r="T942">
        <v>0</v>
      </c>
      <c r="U942">
        <v>0</v>
      </c>
      <c r="V942">
        <v>0</v>
      </c>
      <c r="W942">
        <v>0</v>
      </c>
      <c r="X942">
        <v>0</v>
      </c>
      <c r="Y942">
        <v>0</v>
      </c>
      <c r="Z942">
        <v>0</v>
      </c>
      <c r="AA942">
        <v>0</v>
      </c>
      <c r="AB942">
        <v>0</v>
      </c>
    </row>
    <row r="943" spans="1:28">
      <c r="A943">
        <v>0</v>
      </c>
      <c r="B943">
        <v>0</v>
      </c>
      <c r="C943">
        <v>0</v>
      </c>
      <c r="D943">
        <v>0</v>
      </c>
      <c r="E943">
        <v>0</v>
      </c>
      <c r="F943">
        <v>0</v>
      </c>
      <c r="G943">
        <v>0</v>
      </c>
      <c r="H943">
        <v>0</v>
      </c>
      <c r="I943">
        <v>0</v>
      </c>
      <c r="J943">
        <v>0</v>
      </c>
      <c r="K943">
        <v>0</v>
      </c>
      <c r="L943">
        <v>0</v>
      </c>
      <c r="M943">
        <v>0</v>
      </c>
      <c r="N943">
        <v>0</v>
      </c>
      <c r="O943">
        <v>0</v>
      </c>
      <c r="P943">
        <v>0</v>
      </c>
      <c r="Q943">
        <v>0</v>
      </c>
      <c r="R943">
        <v>0</v>
      </c>
      <c r="S943">
        <v>0</v>
      </c>
      <c r="T943">
        <v>0</v>
      </c>
      <c r="U943">
        <v>0</v>
      </c>
      <c r="V943">
        <v>0</v>
      </c>
      <c r="W943">
        <v>0</v>
      </c>
      <c r="X943">
        <v>0</v>
      </c>
      <c r="Y943">
        <v>0</v>
      </c>
      <c r="Z943">
        <v>0</v>
      </c>
      <c r="AA943">
        <v>0</v>
      </c>
      <c r="AB943">
        <v>0</v>
      </c>
    </row>
    <row r="944" spans="1:28">
      <c r="A944">
        <v>0</v>
      </c>
      <c r="B944">
        <v>0</v>
      </c>
      <c r="C944">
        <v>0</v>
      </c>
      <c r="D944">
        <v>0</v>
      </c>
      <c r="E944">
        <v>0</v>
      </c>
      <c r="F944">
        <v>0</v>
      </c>
      <c r="G944">
        <v>0</v>
      </c>
      <c r="H944">
        <v>0</v>
      </c>
      <c r="I944">
        <v>0</v>
      </c>
      <c r="J944">
        <v>0</v>
      </c>
      <c r="K944">
        <v>0</v>
      </c>
      <c r="L944">
        <v>0</v>
      </c>
      <c r="M944">
        <v>0</v>
      </c>
      <c r="N944">
        <v>0</v>
      </c>
      <c r="O944">
        <v>0</v>
      </c>
      <c r="P944">
        <v>0</v>
      </c>
      <c r="Q944">
        <v>0</v>
      </c>
      <c r="R944">
        <v>0</v>
      </c>
      <c r="S944">
        <v>0</v>
      </c>
      <c r="T944">
        <v>0</v>
      </c>
      <c r="U944">
        <v>0</v>
      </c>
      <c r="V944">
        <v>0</v>
      </c>
      <c r="W944">
        <v>0</v>
      </c>
      <c r="X944">
        <v>0</v>
      </c>
      <c r="Y944">
        <v>0</v>
      </c>
      <c r="Z944">
        <v>0</v>
      </c>
      <c r="AA944">
        <v>0</v>
      </c>
      <c r="AB944">
        <v>0</v>
      </c>
    </row>
    <row r="945" spans="1:28">
      <c r="A945">
        <v>0</v>
      </c>
      <c r="B945">
        <v>0</v>
      </c>
      <c r="C945">
        <v>0</v>
      </c>
      <c r="D945">
        <v>0</v>
      </c>
      <c r="E945">
        <v>0</v>
      </c>
      <c r="F945">
        <v>0</v>
      </c>
      <c r="G945">
        <v>0</v>
      </c>
      <c r="H945">
        <v>0</v>
      </c>
      <c r="I945">
        <v>0</v>
      </c>
      <c r="J945">
        <v>0</v>
      </c>
      <c r="K945">
        <v>0</v>
      </c>
      <c r="L945">
        <v>0</v>
      </c>
      <c r="M945">
        <v>0</v>
      </c>
      <c r="N945">
        <v>0</v>
      </c>
      <c r="O945">
        <v>0</v>
      </c>
      <c r="P945">
        <v>0</v>
      </c>
      <c r="Q945">
        <v>0</v>
      </c>
      <c r="R945">
        <v>0</v>
      </c>
      <c r="S945">
        <v>0</v>
      </c>
      <c r="T945">
        <v>0</v>
      </c>
      <c r="U945">
        <v>0</v>
      </c>
      <c r="V945">
        <v>0</v>
      </c>
      <c r="W945">
        <v>0</v>
      </c>
      <c r="X945">
        <v>0</v>
      </c>
      <c r="Y945">
        <v>0</v>
      </c>
      <c r="Z945">
        <v>0</v>
      </c>
      <c r="AA945">
        <v>0</v>
      </c>
      <c r="AB945">
        <v>0</v>
      </c>
    </row>
    <row r="946" spans="1:28">
      <c r="A946">
        <v>0</v>
      </c>
      <c r="B946">
        <v>0</v>
      </c>
      <c r="C946">
        <v>0</v>
      </c>
      <c r="D946">
        <v>0</v>
      </c>
      <c r="E946">
        <v>0</v>
      </c>
      <c r="F946">
        <v>0</v>
      </c>
      <c r="G946">
        <v>0</v>
      </c>
      <c r="H946">
        <v>0</v>
      </c>
      <c r="I946">
        <v>0</v>
      </c>
      <c r="J946">
        <v>0</v>
      </c>
      <c r="K946">
        <v>0</v>
      </c>
      <c r="L946">
        <v>0</v>
      </c>
      <c r="M946">
        <v>0</v>
      </c>
      <c r="N946">
        <v>0</v>
      </c>
      <c r="O946">
        <v>0</v>
      </c>
      <c r="P946">
        <v>0</v>
      </c>
      <c r="Q946">
        <v>0</v>
      </c>
      <c r="R946">
        <v>0</v>
      </c>
      <c r="S946">
        <v>0</v>
      </c>
      <c r="T946">
        <v>0</v>
      </c>
      <c r="U946">
        <v>0</v>
      </c>
      <c r="V946">
        <v>0</v>
      </c>
      <c r="W946">
        <v>0</v>
      </c>
      <c r="X946">
        <v>0</v>
      </c>
      <c r="Y946">
        <v>0</v>
      </c>
      <c r="Z946">
        <v>0</v>
      </c>
      <c r="AA946">
        <v>0</v>
      </c>
      <c r="AB946">
        <v>0</v>
      </c>
    </row>
    <row r="947" spans="1:28">
      <c r="A947">
        <v>0</v>
      </c>
      <c r="B947">
        <v>0</v>
      </c>
      <c r="C947">
        <v>0</v>
      </c>
      <c r="D947">
        <v>0</v>
      </c>
      <c r="E947">
        <v>0</v>
      </c>
      <c r="F947">
        <v>0</v>
      </c>
      <c r="G947">
        <v>0</v>
      </c>
      <c r="H947">
        <v>0</v>
      </c>
      <c r="I947">
        <v>0</v>
      </c>
      <c r="J947">
        <v>0</v>
      </c>
      <c r="K947">
        <v>0</v>
      </c>
      <c r="L947">
        <v>0</v>
      </c>
      <c r="M947">
        <v>0</v>
      </c>
      <c r="N947">
        <v>0</v>
      </c>
      <c r="O947">
        <v>0</v>
      </c>
      <c r="P947">
        <v>0</v>
      </c>
      <c r="Q947">
        <v>0</v>
      </c>
      <c r="R947">
        <v>0</v>
      </c>
      <c r="S947">
        <v>0</v>
      </c>
      <c r="T947">
        <v>0</v>
      </c>
      <c r="U947">
        <v>0</v>
      </c>
      <c r="V947">
        <v>0</v>
      </c>
      <c r="W947">
        <v>0</v>
      </c>
      <c r="X947">
        <v>0</v>
      </c>
      <c r="Y947">
        <v>0</v>
      </c>
      <c r="Z947">
        <v>0</v>
      </c>
      <c r="AA947">
        <v>0</v>
      </c>
      <c r="AB947">
        <v>0</v>
      </c>
    </row>
    <row r="948" spans="1:28">
      <c r="A948">
        <v>0</v>
      </c>
      <c r="B948">
        <v>0</v>
      </c>
      <c r="C948">
        <v>0</v>
      </c>
      <c r="D948">
        <v>0</v>
      </c>
      <c r="E948">
        <v>0</v>
      </c>
      <c r="F948">
        <v>0</v>
      </c>
      <c r="G948">
        <v>0</v>
      </c>
      <c r="H948">
        <v>0</v>
      </c>
      <c r="I948">
        <v>0</v>
      </c>
      <c r="J948">
        <v>0</v>
      </c>
      <c r="K948">
        <v>0</v>
      </c>
      <c r="L948">
        <v>0</v>
      </c>
      <c r="M948">
        <v>0</v>
      </c>
      <c r="N948">
        <v>0</v>
      </c>
      <c r="O948">
        <v>0</v>
      </c>
      <c r="P948">
        <v>0</v>
      </c>
      <c r="Q948">
        <v>0</v>
      </c>
      <c r="R948">
        <v>0</v>
      </c>
      <c r="S948">
        <v>0</v>
      </c>
      <c r="T948">
        <v>0</v>
      </c>
      <c r="U948">
        <v>0</v>
      </c>
      <c r="V948">
        <v>0</v>
      </c>
      <c r="W948">
        <v>0</v>
      </c>
      <c r="X948">
        <v>0</v>
      </c>
      <c r="Y948">
        <v>0</v>
      </c>
      <c r="Z948">
        <v>0</v>
      </c>
      <c r="AA948">
        <v>0</v>
      </c>
      <c r="AB948">
        <v>0</v>
      </c>
    </row>
    <row r="949" spans="1:28">
      <c r="A949">
        <v>0</v>
      </c>
      <c r="B949">
        <v>0</v>
      </c>
      <c r="C949">
        <v>0</v>
      </c>
      <c r="D949">
        <v>0</v>
      </c>
      <c r="E949">
        <v>0</v>
      </c>
      <c r="F949">
        <v>0</v>
      </c>
      <c r="G949">
        <v>0</v>
      </c>
      <c r="H949">
        <v>0</v>
      </c>
      <c r="I949">
        <v>0</v>
      </c>
      <c r="J949">
        <v>0</v>
      </c>
      <c r="K949">
        <v>0</v>
      </c>
      <c r="L949">
        <v>0</v>
      </c>
      <c r="M949">
        <v>0</v>
      </c>
      <c r="N949">
        <v>0</v>
      </c>
      <c r="O949">
        <v>0</v>
      </c>
      <c r="P949">
        <v>0</v>
      </c>
      <c r="Q949">
        <v>0</v>
      </c>
      <c r="R949">
        <v>0</v>
      </c>
      <c r="S949">
        <v>0</v>
      </c>
      <c r="T949">
        <v>0</v>
      </c>
      <c r="U949">
        <v>0</v>
      </c>
      <c r="V949">
        <v>0</v>
      </c>
      <c r="W949">
        <v>0</v>
      </c>
      <c r="X949">
        <v>0</v>
      </c>
      <c r="Y949">
        <v>0</v>
      </c>
      <c r="Z949">
        <v>0</v>
      </c>
      <c r="AA949">
        <v>0</v>
      </c>
      <c r="AB949">
        <v>0</v>
      </c>
    </row>
    <row r="950" spans="1:28">
      <c r="A950">
        <v>0</v>
      </c>
      <c r="B950">
        <v>0</v>
      </c>
      <c r="C950">
        <v>0</v>
      </c>
      <c r="D950">
        <v>0</v>
      </c>
      <c r="E950">
        <v>0</v>
      </c>
      <c r="F950">
        <v>0</v>
      </c>
      <c r="G950">
        <v>0</v>
      </c>
      <c r="H950">
        <v>0</v>
      </c>
      <c r="I950">
        <v>0</v>
      </c>
      <c r="J950">
        <v>0</v>
      </c>
      <c r="K950">
        <v>0</v>
      </c>
      <c r="L950">
        <v>0</v>
      </c>
      <c r="M950">
        <v>0</v>
      </c>
      <c r="N950">
        <v>0</v>
      </c>
      <c r="O950">
        <v>0</v>
      </c>
      <c r="P950">
        <v>0</v>
      </c>
      <c r="Q950">
        <v>0</v>
      </c>
      <c r="R950">
        <v>0</v>
      </c>
      <c r="S950">
        <v>0</v>
      </c>
      <c r="T950">
        <v>0</v>
      </c>
      <c r="U950">
        <v>0</v>
      </c>
      <c r="V950">
        <v>0</v>
      </c>
      <c r="W950">
        <v>0</v>
      </c>
      <c r="X950">
        <v>0</v>
      </c>
      <c r="Y950">
        <v>0</v>
      </c>
      <c r="Z950">
        <v>0</v>
      </c>
      <c r="AA950">
        <v>0</v>
      </c>
      <c r="AB950">
        <v>0</v>
      </c>
    </row>
    <row r="951" spans="1:28">
      <c r="A951">
        <v>0</v>
      </c>
      <c r="B951">
        <v>0</v>
      </c>
      <c r="C951">
        <v>0</v>
      </c>
      <c r="D951">
        <v>0</v>
      </c>
      <c r="E951">
        <v>0</v>
      </c>
      <c r="F951">
        <v>0</v>
      </c>
      <c r="G951">
        <v>0</v>
      </c>
      <c r="H951">
        <v>0</v>
      </c>
      <c r="I951">
        <v>0</v>
      </c>
      <c r="J951">
        <v>0</v>
      </c>
      <c r="K951">
        <v>0</v>
      </c>
      <c r="L951">
        <v>0</v>
      </c>
      <c r="M951">
        <v>0</v>
      </c>
      <c r="N951">
        <v>0</v>
      </c>
      <c r="O951">
        <v>0</v>
      </c>
      <c r="P951">
        <v>0</v>
      </c>
      <c r="Q951">
        <v>0</v>
      </c>
      <c r="R951">
        <v>0</v>
      </c>
      <c r="S951">
        <v>0</v>
      </c>
      <c r="T951">
        <v>0</v>
      </c>
      <c r="U951">
        <v>0</v>
      </c>
      <c r="V951">
        <v>0</v>
      </c>
      <c r="W951">
        <v>0</v>
      </c>
      <c r="X951">
        <v>0</v>
      </c>
      <c r="Y951">
        <v>0</v>
      </c>
      <c r="Z951">
        <v>0</v>
      </c>
      <c r="AA951">
        <v>0</v>
      </c>
      <c r="AB951">
        <v>0</v>
      </c>
    </row>
    <row r="952" spans="1:28">
      <c r="A952">
        <v>0</v>
      </c>
      <c r="B952">
        <v>0</v>
      </c>
      <c r="C952">
        <v>0</v>
      </c>
      <c r="D952">
        <v>0</v>
      </c>
      <c r="E952">
        <v>0</v>
      </c>
      <c r="F952">
        <v>0</v>
      </c>
      <c r="G952">
        <v>0</v>
      </c>
      <c r="H952">
        <v>0</v>
      </c>
      <c r="I952">
        <v>0</v>
      </c>
      <c r="J952">
        <v>0</v>
      </c>
      <c r="K952">
        <v>0</v>
      </c>
      <c r="L952">
        <v>0</v>
      </c>
      <c r="M952">
        <v>0</v>
      </c>
      <c r="N952">
        <v>0</v>
      </c>
      <c r="O952">
        <v>0</v>
      </c>
      <c r="P952">
        <v>0</v>
      </c>
      <c r="Q952">
        <v>0</v>
      </c>
      <c r="R952">
        <v>0</v>
      </c>
      <c r="S952">
        <v>0</v>
      </c>
      <c r="T952">
        <v>0</v>
      </c>
      <c r="U952">
        <v>0</v>
      </c>
      <c r="V952">
        <v>0</v>
      </c>
      <c r="W952">
        <v>0</v>
      </c>
      <c r="X952">
        <v>0</v>
      </c>
      <c r="Y952">
        <v>0</v>
      </c>
      <c r="Z952">
        <v>0</v>
      </c>
      <c r="AA952">
        <v>0</v>
      </c>
      <c r="AB952">
        <v>0</v>
      </c>
    </row>
    <row r="953" spans="1:28">
      <c r="A953">
        <v>0</v>
      </c>
      <c r="B953">
        <v>0</v>
      </c>
      <c r="C953">
        <v>0</v>
      </c>
      <c r="D953">
        <v>0</v>
      </c>
      <c r="E953">
        <v>0</v>
      </c>
      <c r="F953">
        <v>0</v>
      </c>
      <c r="G953">
        <v>0</v>
      </c>
      <c r="H953">
        <v>0</v>
      </c>
      <c r="I953">
        <v>0</v>
      </c>
      <c r="J953">
        <v>0</v>
      </c>
      <c r="K953">
        <v>0</v>
      </c>
      <c r="L953">
        <v>0</v>
      </c>
      <c r="M953">
        <v>0</v>
      </c>
      <c r="N953">
        <v>0</v>
      </c>
      <c r="O953">
        <v>0</v>
      </c>
      <c r="P953">
        <v>0</v>
      </c>
      <c r="Q953">
        <v>0</v>
      </c>
      <c r="R953">
        <v>0</v>
      </c>
      <c r="S953">
        <v>0</v>
      </c>
      <c r="T953">
        <v>0</v>
      </c>
      <c r="U953">
        <v>0</v>
      </c>
      <c r="V953">
        <v>0</v>
      </c>
      <c r="W953">
        <v>0</v>
      </c>
      <c r="X953">
        <v>0</v>
      </c>
      <c r="Y953">
        <v>0</v>
      </c>
      <c r="Z953">
        <v>0</v>
      </c>
      <c r="AA953">
        <v>0</v>
      </c>
      <c r="AB953">
        <v>0</v>
      </c>
    </row>
    <row r="954" spans="1:28">
      <c r="A954">
        <v>0</v>
      </c>
      <c r="B954">
        <v>0</v>
      </c>
      <c r="C954">
        <v>0</v>
      </c>
      <c r="D954">
        <v>0</v>
      </c>
      <c r="E954">
        <v>0</v>
      </c>
      <c r="F954">
        <v>0</v>
      </c>
      <c r="G954">
        <v>0</v>
      </c>
      <c r="H954">
        <v>0</v>
      </c>
      <c r="I954">
        <v>0</v>
      </c>
      <c r="J954">
        <v>0</v>
      </c>
      <c r="K954">
        <v>0</v>
      </c>
      <c r="L954">
        <v>0</v>
      </c>
      <c r="M954">
        <v>0</v>
      </c>
      <c r="N954">
        <v>0</v>
      </c>
      <c r="O954">
        <v>0</v>
      </c>
      <c r="P954">
        <v>0</v>
      </c>
      <c r="Q954">
        <v>0</v>
      </c>
      <c r="R954">
        <v>0</v>
      </c>
      <c r="S954">
        <v>0</v>
      </c>
      <c r="T954">
        <v>0</v>
      </c>
      <c r="U954">
        <v>0</v>
      </c>
      <c r="V954">
        <v>0</v>
      </c>
      <c r="W954">
        <v>0</v>
      </c>
      <c r="X954">
        <v>0</v>
      </c>
      <c r="Y954">
        <v>0</v>
      </c>
      <c r="Z954">
        <v>0</v>
      </c>
      <c r="AA954">
        <v>0</v>
      </c>
      <c r="AB954">
        <v>0</v>
      </c>
    </row>
    <row r="955" spans="1:28">
      <c r="A955">
        <v>0</v>
      </c>
      <c r="B955">
        <v>0</v>
      </c>
      <c r="C955">
        <v>0</v>
      </c>
      <c r="D955">
        <v>0</v>
      </c>
      <c r="E955">
        <v>0</v>
      </c>
      <c r="F955">
        <v>0</v>
      </c>
      <c r="G955">
        <v>0</v>
      </c>
      <c r="H955">
        <v>0</v>
      </c>
      <c r="I955">
        <v>0</v>
      </c>
      <c r="J955">
        <v>0</v>
      </c>
      <c r="K955">
        <v>0</v>
      </c>
      <c r="L955">
        <v>0</v>
      </c>
      <c r="M955">
        <v>0</v>
      </c>
      <c r="N955">
        <v>0</v>
      </c>
      <c r="O955">
        <v>0</v>
      </c>
      <c r="P955">
        <v>0</v>
      </c>
      <c r="Q955">
        <v>0</v>
      </c>
      <c r="R955">
        <v>0</v>
      </c>
      <c r="S955">
        <v>0</v>
      </c>
      <c r="T955">
        <v>0</v>
      </c>
      <c r="U955">
        <v>0</v>
      </c>
      <c r="V955">
        <v>0</v>
      </c>
      <c r="W955">
        <v>0</v>
      </c>
      <c r="X955">
        <v>0</v>
      </c>
      <c r="Y955">
        <v>0</v>
      </c>
      <c r="Z955">
        <v>0</v>
      </c>
      <c r="AA955">
        <v>0</v>
      </c>
      <c r="AB955">
        <v>0</v>
      </c>
    </row>
    <row r="956" spans="1:28">
      <c r="A956">
        <v>0</v>
      </c>
      <c r="B956">
        <v>0</v>
      </c>
      <c r="C956">
        <v>0</v>
      </c>
      <c r="D956">
        <v>0</v>
      </c>
      <c r="E956">
        <v>0</v>
      </c>
      <c r="F956">
        <v>0</v>
      </c>
      <c r="G956">
        <v>0</v>
      </c>
      <c r="H956">
        <v>0</v>
      </c>
      <c r="I956">
        <v>0</v>
      </c>
      <c r="J956">
        <v>0</v>
      </c>
      <c r="K956">
        <v>0</v>
      </c>
      <c r="L956">
        <v>0</v>
      </c>
      <c r="M956">
        <v>0</v>
      </c>
      <c r="N956">
        <v>0</v>
      </c>
      <c r="O956">
        <v>0</v>
      </c>
      <c r="P956">
        <v>0</v>
      </c>
      <c r="Q956">
        <v>0</v>
      </c>
      <c r="R956">
        <v>0</v>
      </c>
      <c r="S956">
        <v>0</v>
      </c>
      <c r="T956">
        <v>0</v>
      </c>
      <c r="U956">
        <v>0</v>
      </c>
      <c r="V956">
        <v>0</v>
      </c>
      <c r="W956">
        <v>0</v>
      </c>
      <c r="X956">
        <v>0</v>
      </c>
      <c r="Y956">
        <v>0</v>
      </c>
      <c r="Z956">
        <v>0</v>
      </c>
      <c r="AA956">
        <v>0</v>
      </c>
      <c r="AB956">
        <v>0</v>
      </c>
    </row>
    <row r="957" spans="1:28">
      <c r="A957">
        <v>0</v>
      </c>
      <c r="B957">
        <v>0</v>
      </c>
      <c r="C957">
        <v>0</v>
      </c>
      <c r="D957">
        <v>0</v>
      </c>
      <c r="E957">
        <v>0</v>
      </c>
      <c r="F957">
        <v>0</v>
      </c>
      <c r="G957">
        <v>0</v>
      </c>
      <c r="H957">
        <v>0</v>
      </c>
      <c r="I957">
        <v>0</v>
      </c>
      <c r="J957">
        <v>0</v>
      </c>
      <c r="K957">
        <v>0</v>
      </c>
      <c r="L957">
        <v>0</v>
      </c>
      <c r="M957">
        <v>0</v>
      </c>
      <c r="N957">
        <v>0</v>
      </c>
      <c r="O957">
        <v>0</v>
      </c>
      <c r="P957">
        <v>0</v>
      </c>
      <c r="Q957">
        <v>0</v>
      </c>
      <c r="R957">
        <v>0</v>
      </c>
      <c r="S957">
        <v>0</v>
      </c>
      <c r="T957">
        <v>0</v>
      </c>
      <c r="U957">
        <v>0</v>
      </c>
      <c r="V957">
        <v>0</v>
      </c>
      <c r="W957">
        <v>0</v>
      </c>
      <c r="X957">
        <v>0</v>
      </c>
      <c r="Y957">
        <v>0</v>
      </c>
      <c r="Z957">
        <v>0</v>
      </c>
      <c r="AA957">
        <v>0</v>
      </c>
      <c r="AB957">
        <v>0</v>
      </c>
    </row>
    <row r="958" spans="1:28">
      <c r="A958">
        <v>0</v>
      </c>
      <c r="B958">
        <v>0</v>
      </c>
      <c r="C958">
        <v>0</v>
      </c>
      <c r="D958">
        <v>0</v>
      </c>
      <c r="E958">
        <v>0</v>
      </c>
      <c r="F958">
        <v>0</v>
      </c>
      <c r="G958">
        <v>0</v>
      </c>
      <c r="H958">
        <v>0</v>
      </c>
      <c r="I958">
        <v>0</v>
      </c>
      <c r="J958">
        <v>0</v>
      </c>
      <c r="K958">
        <v>0</v>
      </c>
      <c r="L958">
        <v>0</v>
      </c>
      <c r="M958">
        <v>0</v>
      </c>
      <c r="N958">
        <v>0</v>
      </c>
      <c r="O958">
        <v>0</v>
      </c>
      <c r="P958">
        <v>0</v>
      </c>
      <c r="Q958">
        <v>0</v>
      </c>
      <c r="R958">
        <v>0</v>
      </c>
      <c r="S958">
        <v>0</v>
      </c>
      <c r="T958">
        <v>0</v>
      </c>
      <c r="U958">
        <v>0</v>
      </c>
      <c r="V958">
        <v>0</v>
      </c>
      <c r="W958">
        <v>0</v>
      </c>
      <c r="X958">
        <v>0</v>
      </c>
      <c r="Y958">
        <v>0</v>
      </c>
      <c r="Z958">
        <v>0</v>
      </c>
      <c r="AA958">
        <v>0</v>
      </c>
      <c r="AB958">
        <v>0</v>
      </c>
    </row>
    <row r="959" spans="1:28">
      <c r="A959">
        <v>0</v>
      </c>
      <c r="B959">
        <v>0</v>
      </c>
      <c r="C959">
        <v>0</v>
      </c>
      <c r="D959">
        <v>0</v>
      </c>
      <c r="E959">
        <v>0</v>
      </c>
      <c r="F959">
        <v>0</v>
      </c>
      <c r="G959">
        <v>0</v>
      </c>
      <c r="H959">
        <v>0</v>
      </c>
      <c r="I959">
        <v>0</v>
      </c>
      <c r="J959">
        <v>0</v>
      </c>
      <c r="K959">
        <v>0</v>
      </c>
      <c r="L959">
        <v>0</v>
      </c>
      <c r="M959">
        <v>0</v>
      </c>
      <c r="N959">
        <v>0</v>
      </c>
      <c r="O959">
        <v>0</v>
      </c>
      <c r="P959">
        <v>0</v>
      </c>
      <c r="Q959">
        <v>0</v>
      </c>
      <c r="R959">
        <v>0</v>
      </c>
      <c r="S959">
        <v>0</v>
      </c>
      <c r="T959">
        <v>0</v>
      </c>
      <c r="U959">
        <v>0</v>
      </c>
      <c r="V959">
        <v>0</v>
      </c>
      <c r="W959">
        <v>0</v>
      </c>
      <c r="X959">
        <v>0</v>
      </c>
      <c r="Y959">
        <v>0</v>
      </c>
      <c r="Z959">
        <v>0</v>
      </c>
      <c r="AA959">
        <v>0</v>
      </c>
      <c r="AB959">
        <v>0</v>
      </c>
    </row>
    <row r="960" spans="1:28">
      <c r="A960">
        <v>0</v>
      </c>
      <c r="B960">
        <v>0</v>
      </c>
      <c r="C960">
        <v>0</v>
      </c>
      <c r="D960">
        <v>0</v>
      </c>
      <c r="E960">
        <v>0</v>
      </c>
      <c r="F960">
        <v>0</v>
      </c>
      <c r="G960">
        <v>0</v>
      </c>
      <c r="H960">
        <v>0</v>
      </c>
      <c r="I960">
        <v>0</v>
      </c>
      <c r="J960">
        <v>0</v>
      </c>
      <c r="K960">
        <v>0</v>
      </c>
      <c r="L960">
        <v>0</v>
      </c>
      <c r="M960">
        <v>0</v>
      </c>
      <c r="N960">
        <v>0</v>
      </c>
      <c r="O960">
        <v>0</v>
      </c>
      <c r="P960">
        <v>0</v>
      </c>
      <c r="Q960">
        <v>0</v>
      </c>
      <c r="R960">
        <v>0</v>
      </c>
      <c r="S960">
        <v>0</v>
      </c>
      <c r="T960">
        <v>0</v>
      </c>
      <c r="U960">
        <v>0</v>
      </c>
      <c r="V960">
        <v>0</v>
      </c>
      <c r="W960">
        <v>0</v>
      </c>
      <c r="X960">
        <v>0</v>
      </c>
      <c r="Y960">
        <v>0</v>
      </c>
      <c r="Z960">
        <v>0</v>
      </c>
      <c r="AA960">
        <v>0</v>
      </c>
      <c r="AB960">
        <v>0</v>
      </c>
    </row>
    <row r="961" spans="1:28">
      <c r="A961">
        <v>0</v>
      </c>
      <c r="B961">
        <v>0</v>
      </c>
      <c r="C961">
        <v>0</v>
      </c>
      <c r="D961">
        <v>0</v>
      </c>
      <c r="E961">
        <v>0</v>
      </c>
      <c r="F961">
        <v>0</v>
      </c>
      <c r="G961">
        <v>0</v>
      </c>
      <c r="H961">
        <v>0</v>
      </c>
      <c r="I961">
        <v>0</v>
      </c>
      <c r="J961">
        <v>0</v>
      </c>
      <c r="K961">
        <v>0</v>
      </c>
      <c r="L961">
        <v>0</v>
      </c>
      <c r="M961">
        <v>0</v>
      </c>
      <c r="N961">
        <v>0</v>
      </c>
      <c r="O961">
        <v>0</v>
      </c>
      <c r="P961">
        <v>0</v>
      </c>
      <c r="Q961">
        <v>0</v>
      </c>
      <c r="R961">
        <v>0</v>
      </c>
      <c r="S961">
        <v>0</v>
      </c>
      <c r="T961">
        <v>0</v>
      </c>
      <c r="U961">
        <v>0</v>
      </c>
      <c r="V961">
        <v>0</v>
      </c>
      <c r="W961">
        <v>0</v>
      </c>
      <c r="X961">
        <v>0</v>
      </c>
      <c r="Y961">
        <v>0</v>
      </c>
      <c r="Z961">
        <v>0</v>
      </c>
      <c r="AA961">
        <v>0</v>
      </c>
      <c r="AB961">
        <v>0</v>
      </c>
    </row>
    <row r="962" spans="1:28">
      <c r="A962">
        <v>0</v>
      </c>
      <c r="B962">
        <v>0</v>
      </c>
      <c r="C962">
        <v>0</v>
      </c>
      <c r="D962">
        <v>0</v>
      </c>
      <c r="E962">
        <v>0</v>
      </c>
      <c r="F962">
        <v>0</v>
      </c>
      <c r="G962">
        <v>0</v>
      </c>
      <c r="H962">
        <v>0</v>
      </c>
      <c r="I962">
        <v>0</v>
      </c>
      <c r="J962">
        <v>0</v>
      </c>
      <c r="K962">
        <v>0</v>
      </c>
      <c r="L962">
        <v>0</v>
      </c>
      <c r="M962">
        <v>0</v>
      </c>
      <c r="N962">
        <v>0</v>
      </c>
      <c r="O962">
        <v>0</v>
      </c>
      <c r="P962">
        <v>0</v>
      </c>
      <c r="Q962">
        <v>0</v>
      </c>
      <c r="R962">
        <v>0</v>
      </c>
      <c r="S962">
        <v>0</v>
      </c>
      <c r="T962">
        <v>0</v>
      </c>
      <c r="U962">
        <v>0</v>
      </c>
      <c r="V962">
        <v>0</v>
      </c>
      <c r="W962">
        <v>0</v>
      </c>
      <c r="X962">
        <v>0</v>
      </c>
      <c r="Y962">
        <v>0</v>
      </c>
      <c r="Z962">
        <v>0</v>
      </c>
      <c r="AA962">
        <v>0</v>
      </c>
      <c r="AB962">
        <v>0</v>
      </c>
    </row>
    <row r="963" spans="1:28">
      <c r="A963">
        <v>0</v>
      </c>
      <c r="B963">
        <v>0</v>
      </c>
      <c r="C963">
        <v>0</v>
      </c>
      <c r="D963">
        <v>0</v>
      </c>
      <c r="E963">
        <v>0</v>
      </c>
      <c r="F963">
        <v>0</v>
      </c>
      <c r="G963">
        <v>0</v>
      </c>
      <c r="H963">
        <v>0</v>
      </c>
      <c r="I963">
        <v>0</v>
      </c>
      <c r="J963">
        <v>0</v>
      </c>
      <c r="K963">
        <v>0</v>
      </c>
      <c r="L963">
        <v>0</v>
      </c>
      <c r="M963">
        <v>0</v>
      </c>
      <c r="N963">
        <v>0</v>
      </c>
      <c r="O963">
        <v>0</v>
      </c>
      <c r="P963">
        <v>0</v>
      </c>
      <c r="Q963">
        <v>0</v>
      </c>
      <c r="R963">
        <v>0</v>
      </c>
      <c r="S963">
        <v>0</v>
      </c>
      <c r="T963">
        <v>0</v>
      </c>
      <c r="U963">
        <v>0</v>
      </c>
      <c r="V963">
        <v>0</v>
      </c>
      <c r="W963">
        <v>0</v>
      </c>
      <c r="X963">
        <v>0</v>
      </c>
      <c r="Y963">
        <v>0</v>
      </c>
      <c r="Z963">
        <v>0</v>
      </c>
      <c r="AA963">
        <v>0</v>
      </c>
      <c r="AB963">
        <v>0</v>
      </c>
    </row>
    <row r="964" spans="1:28">
      <c r="A964">
        <v>0</v>
      </c>
      <c r="B964">
        <v>0</v>
      </c>
      <c r="C964">
        <v>0</v>
      </c>
      <c r="D964">
        <v>0</v>
      </c>
      <c r="E964">
        <v>0</v>
      </c>
      <c r="F964">
        <v>0</v>
      </c>
      <c r="G964">
        <v>0</v>
      </c>
      <c r="H964">
        <v>0</v>
      </c>
      <c r="I964">
        <v>0</v>
      </c>
      <c r="J964">
        <v>0</v>
      </c>
      <c r="K964">
        <v>0</v>
      </c>
      <c r="L964">
        <v>0</v>
      </c>
      <c r="M964">
        <v>0</v>
      </c>
      <c r="N964">
        <v>0</v>
      </c>
      <c r="O964">
        <v>0</v>
      </c>
      <c r="P964">
        <v>0</v>
      </c>
      <c r="Q964">
        <v>0</v>
      </c>
      <c r="R964">
        <v>0</v>
      </c>
      <c r="S964">
        <v>0</v>
      </c>
      <c r="T964">
        <v>0</v>
      </c>
      <c r="U964">
        <v>0</v>
      </c>
      <c r="V964">
        <v>0</v>
      </c>
      <c r="W964">
        <v>0</v>
      </c>
      <c r="X964">
        <v>0</v>
      </c>
      <c r="Y964">
        <v>0</v>
      </c>
      <c r="Z964">
        <v>0</v>
      </c>
      <c r="AA964">
        <v>0</v>
      </c>
      <c r="AB964">
        <v>0</v>
      </c>
    </row>
    <row r="965" spans="1:28">
      <c r="A965">
        <v>0</v>
      </c>
      <c r="B965">
        <v>0</v>
      </c>
      <c r="C965">
        <v>0</v>
      </c>
      <c r="D965">
        <v>0</v>
      </c>
      <c r="E965">
        <v>0</v>
      </c>
      <c r="F965">
        <v>0</v>
      </c>
      <c r="G965">
        <v>0</v>
      </c>
      <c r="H965">
        <v>0</v>
      </c>
      <c r="I965">
        <v>0</v>
      </c>
      <c r="J965">
        <v>0</v>
      </c>
      <c r="K965">
        <v>0</v>
      </c>
      <c r="L965">
        <v>0</v>
      </c>
      <c r="M965">
        <v>0</v>
      </c>
      <c r="N965">
        <v>0</v>
      </c>
      <c r="O965">
        <v>0</v>
      </c>
      <c r="P965">
        <v>0</v>
      </c>
      <c r="Q965">
        <v>0</v>
      </c>
      <c r="R965">
        <v>0</v>
      </c>
      <c r="S965">
        <v>0</v>
      </c>
      <c r="T965">
        <v>0</v>
      </c>
      <c r="U965">
        <v>0</v>
      </c>
      <c r="V965">
        <v>0</v>
      </c>
      <c r="W965">
        <v>0</v>
      </c>
      <c r="X965">
        <v>0</v>
      </c>
      <c r="Y965">
        <v>0</v>
      </c>
      <c r="Z965">
        <v>0</v>
      </c>
      <c r="AA965">
        <v>0</v>
      </c>
      <c r="AB965">
        <v>0</v>
      </c>
    </row>
    <row r="966" spans="1:28">
      <c r="A966">
        <v>0</v>
      </c>
      <c r="B966">
        <v>0</v>
      </c>
      <c r="C966">
        <v>0</v>
      </c>
      <c r="D966">
        <v>0</v>
      </c>
      <c r="E966">
        <v>0</v>
      </c>
      <c r="F966">
        <v>0</v>
      </c>
      <c r="G966">
        <v>0</v>
      </c>
      <c r="H966">
        <v>0</v>
      </c>
      <c r="I966">
        <v>0</v>
      </c>
      <c r="J966">
        <v>0</v>
      </c>
      <c r="K966">
        <v>0</v>
      </c>
      <c r="L966">
        <v>0</v>
      </c>
      <c r="M966">
        <v>0</v>
      </c>
      <c r="N966">
        <v>0</v>
      </c>
      <c r="O966">
        <v>0</v>
      </c>
      <c r="P966">
        <v>0</v>
      </c>
      <c r="Q966">
        <v>0</v>
      </c>
      <c r="R966">
        <v>0</v>
      </c>
      <c r="S966">
        <v>0</v>
      </c>
      <c r="T966">
        <v>0</v>
      </c>
      <c r="U966">
        <v>0</v>
      </c>
      <c r="V966">
        <v>0</v>
      </c>
      <c r="W966">
        <v>0</v>
      </c>
      <c r="X966">
        <v>0</v>
      </c>
      <c r="Y966">
        <v>0</v>
      </c>
      <c r="Z966">
        <v>0</v>
      </c>
      <c r="AA966">
        <v>0</v>
      </c>
      <c r="AB966">
        <v>0</v>
      </c>
    </row>
    <row r="967" spans="1:28">
      <c r="A967">
        <v>0</v>
      </c>
      <c r="B967">
        <v>0</v>
      </c>
      <c r="C967">
        <v>0</v>
      </c>
      <c r="D967">
        <v>0</v>
      </c>
      <c r="E967">
        <v>0</v>
      </c>
      <c r="F967">
        <v>0</v>
      </c>
      <c r="G967">
        <v>0</v>
      </c>
      <c r="H967">
        <v>0</v>
      </c>
      <c r="I967">
        <v>0</v>
      </c>
      <c r="J967">
        <v>0</v>
      </c>
      <c r="K967">
        <v>0</v>
      </c>
      <c r="L967">
        <v>0</v>
      </c>
      <c r="M967">
        <v>0</v>
      </c>
      <c r="N967">
        <v>0</v>
      </c>
      <c r="O967">
        <v>0</v>
      </c>
      <c r="P967">
        <v>0</v>
      </c>
      <c r="Q967">
        <v>0</v>
      </c>
      <c r="R967">
        <v>0</v>
      </c>
      <c r="S967">
        <v>0</v>
      </c>
      <c r="T967">
        <v>0</v>
      </c>
      <c r="U967">
        <v>0</v>
      </c>
      <c r="V967">
        <v>0</v>
      </c>
      <c r="W967">
        <v>0</v>
      </c>
      <c r="X967">
        <v>0</v>
      </c>
      <c r="Y967">
        <v>0</v>
      </c>
      <c r="Z967">
        <v>0</v>
      </c>
      <c r="AA967">
        <v>0</v>
      </c>
      <c r="AB967">
        <v>0</v>
      </c>
    </row>
    <row r="968" spans="1:28">
      <c r="A968">
        <v>0</v>
      </c>
      <c r="B968">
        <v>0</v>
      </c>
      <c r="C968">
        <v>0</v>
      </c>
      <c r="D968">
        <v>0</v>
      </c>
      <c r="E968">
        <v>0</v>
      </c>
      <c r="F968">
        <v>0</v>
      </c>
      <c r="G968">
        <v>0</v>
      </c>
      <c r="H968">
        <v>0</v>
      </c>
      <c r="I968">
        <v>0</v>
      </c>
      <c r="J968">
        <v>0</v>
      </c>
      <c r="K968">
        <v>0</v>
      </c>
      <c r="L968">
        <v>0</v>
      </c>
      <c r="M968">
        <v>0</v>
      </c>
      <c r="N968">
        <v>0</v>
      </c>
      <c r="O968">
        <v>0</v>
      </c>
      <c r="P968">
        <v>0</v>
      </c>
      <c r="Q968">
        <v>0</v>
      </c>
      <c r="R968">
        <v>0</v>
      </c>
      <c r="S968">
        <v>0</v>
      </c>
      <c r="T968">
        <v>0</v>
      </c>
      <c r="U968">
        <v>0</v>
      </c>
      <c r="V968">
        <v>0</v>
      </c>
      <c r="W968">
        <v>0</v>
      </c>
      <c r="X968">
        <v>0</v>
      </c>
      <c r="Y968">
        <v>0</v>
      </c>
      <c r="Z968">
        <v>0</v>
      </c>
      <c r="AA968">
        <v>0</v>
      </c>
      <c r="AB968">
        <v>0</v>
      </c>
    </row>
    <row r="969" spans="1:28">
      <c r="A969">
        <v>0</v>
      </c>
      <c r="B969">
        <v>0</v>
      </c>
      <c r="C969">
        <v>0</v>
      </c>
      <c r="D969">
        <v>0</v>
      </c>
      <c r="E969">
        <v>0</v>
      </c>
      <c r="F969">
        <v>0</v>
      </c>
      <c r="G969">
        <v>0</v>
      </c>
      <c r="H969">
        <v>0</v>
      </c>
      <c r="I969">
        <v>0</v>
      </c>
      <c r="J969">
        <v>0</v>
      </c>
      <c r="K969">
        <v>0</v>
      </c>
      <c r="L969">
        <v>0</v>
      </c>
      <c r="M969">
        <v>0</v>
      </c>
      <c r="N969">
        <v>0</v>
      </c>
      <c r="O969">
        <v>0</v>
      </c>
      <c r="P969">
        <v>0</v>
      </c>
      <c r="Q969">
        <v>0</v>
      </c>
      <c r="R969">
        <v>0</v>
      </c>
      <c r="S969">
        <v>0</v>
      </c>
      <c r="T969">
        <v>0</v>
      </c>
      <c r="U969">
        <v>0</v>
      </c>
      <c r="V969">
        <v>0</v>
      </c>
      <c r="W969">
        <v>0</v>
      </c>
      <c r="X969">
        <v>0</v>
      </c>
      <c r="Y969">
        <v>0</v>
      </c>
      <c r="Z969">
        <v>0</v>
      </c>
      <c r="AA969">
        <v>0</v>
      </c>
      <c r="AB969">
        <v>0</v>
      </c>
    </row>
    <row r="970" spans="1:28">
      <c r="A970">
        <v>0</v>
      </c>
      <c r="B970">
        <v>0</v>
      </c>
      <c r="C970">
        <v>0</v>
      </c>
      <c r="D970">
        <v>0</v>
      </c>
      <c r="E970">
        <v>0</v>
      </c>
      <c r="F970">
        <v>0</v>
      </c>
      <c r="G970">
        <v>0</v>
      </c>
      <c r="H970">
        <v>0</v>
      </c>
      <c r="I970">
        <v>0</v>
      </c>
      <c r="J970">
        <v>0</v>
      </c>
      <c r="K970">
        <v>0</v>
      </c>
      <c r="L970">
        <v>0</v>
      </c>
      <c r="M970">
        <v>0</v>
      </c>
      <c r="N970">
        <v>0</v>
      </c>
      <c r="O970">
        <v>0</v>
      </c>
      <c r="P970">
        <v>0</v>
      </c>
      <c r="Q970">
        <v>0</v>
      </c>
      <c r="R970">
        <v>0</v>
      </c>
      <c r="S970">
        <v>0</v>
      </c>
      <c r="T970">
        <v>0</v>
      </c>
      <c r="U970">
        <v>0</v>
      </c>
      <c r="V970">
        <v>0</v>
      </c>
      <c r="W970">
        <v>0</v>
      </c>
      <c r="X970">
        <v>0</v>
      </c>
      <c r="Y970">
        <v>0</v>
      </c>
      <c r="Z970">
        <v>0</v>
      </c>
      <c r="AA970">
        <v>0</v>
      </c>
      <c r="AB970">
        <v>0</v>
      </c>
    </row>
    <row r="971" spans="1:28">
      <c r="A971">
        <v>0</v>
      </c>
      <c r="B971">
        <v>0</v>
      </c>
      <c r="C971">
        <v>0</v>
      </c>
      <c r="D971">
        <v>0</v>
      </c>
      <c r="E971">
        <v>0</v>
      </c>
      <c r="F971">
        <v>0</v>
      </c>
      <c r="G971">
        <v>0</v>
      </c>
      <c r="H971">
        <v>0</v>
      </c>
      <c r="I971">
        <v>0</v>
      </c>
      <c r="J971">
        <v>0</v>
      </c>
      <c r="K971">
        <v>0</v>
      </c>
      <c r="L971">
        <v>0</v>
      </c>
      <c r="M971">
        <v>0</v>
      </c>
      <c r="N971">
        <v>0</v>
      </c>
      <c r="O971">
        <v>0</v>
      </c>
      <c r="P971">
        <v>0</v>
      </c>
      <c r="Q971">
        <v>0</v>
      </c>
      <c r="R971">
        <v>0</v>
      </c>
      <c r="S971">
        <v>0</v>
      </c>
      <c r="T971">
        <v>0</v>
      </c>
      <c r="U971">
        <v>0</v>
      </c>
      <c r="V971">
        <v>0</v>
      </c>
      <c r="W971">
        <v>0</v>
      </c>
      <c r="X971">
        <v>0</v>
      </c>
      <c r="Y971">
        <v>0</v>
      </c>
      <c r="Z971">
        <v>0</v>
      </c>
      <c r="AA971">
        <v>0</v>
      </c>
      <c r="AB971">
        <v>0</v>
      </c>
    </row>
    <row r="972" spans="1:28">
      <c r="A972">
        <v>0</v>
      </c>
      <c r="B972">
        <v>0</v>
      </c>
      <c r="C972">
        <v>0</v>
      </c>
      <c r="D972">
        <v>0</v>
      </c>
      <c r="E972">
        <v>0</v>
      </c>
      <c r="F972">
        <v>0</v>
      </c>
      <c r="G972">
        <v>0</v>
      </c>
      <c r="H972">
        <v>0</v>
      </c>
      <c r="I972">
        <v>0</v>
      </c>
      <c r="J972">
        <v>0</v>
      </c>
      <c r="K972">
        <v>0</v>
      </c>
      <c r="L972">
        <v>0</v>
      </c>
      <c r="M972">
        <v>0</v>
      </c>
      <c r="N972">
        <v>0</v>
      </c>
      <c r="O972">
        <v>0</v>
      </c>
      <c r="P972">
        <v>0</v>
      </c>
      <c r="Q972">
        <v>0</v>
      </c>
      <c r="R972">
        <v>0</v>
      </c>
      <c r="S972">
        <v>0</v>
      </c>
      <c r="T972">
        <v>0</v>
      </c>
      <c r="U972">
        <v>0</v>
      </c>
      <c r="V972">
        <v>0</v>
      </c>
      <c r="W972">
        <v>0</v>
      </c>
      <c r="X972">
        <v>0</v>
      </c>
      <c r="Y972">
        <v>0</v>
      </c>
      <c r="Z972">
        <v>0</v>
      </c>
      <c r="AA972">
        <v>0</v>
      </c>
      <c r="AB972">
        <v>0</v>
      </c>
    </row>
    <row r="973" spans="1:28">
      <c r="A973">
        <v>0</v>
      </c>
      <c r="B973">
        <v>0</v>
      </c>
      <c r="C973">
        <v>0</v>
      </c>
      <c r="D973">
        <v>0</v>
      </c>
      <c r="E973">
        <v>0</v>
      </c>
      <c r="F973">
        <v>0</v>
      </c>
      <c r="G973">
        <v>0</v>
      </c>
      <c r="H973">
        <v>0</v>
      </c>
      <c r="I973">
        <v>0</v>
      </c>
      <c r="J973">
        <v>0</v>
      </c>
      <c r="K973">
        <v>0</v>
      </c>
      <c r="L973">
        <v>0</v>
      </c>
      <c r="M973">
        <v>0</v>
      </c>
      <c r="N973">
        <v>0</v>
      </c>
      <c r="O973">
        <v>0</v>
      </c>
      <c r="P973">
        <v>0</v>
      </c>
      <c r="Q973">
        <v>0</v>
      </c>
      <c r="R973">
        <v>0</v>
      </c>
      <c r="S973">
        <v>0</v>
      </c>
      <c r="T973">
        <v>0</v>
      </c>
      <c r="U973">
        <v>0</v>
      </c>
      <c r="V973">
        <v>0</v>
      </c>
      <c r="W973">
        <v>0</v>
      </c>
      <c r="X973">
        <v>0</v>
      </c>
      <c r="Y973">
        <v>0</v>
      </c>
      <c r="Z973">
        <v>0</v>
      </c>
      <c r="AA973">
        <v>0</v>
      </c>
      <c r="AB973">
        <v>0</v>
      </c>
    </row>
    <row r="974" spans="1:28">
      <c r="A974">
        <v>0</v>
      </c>
      <c r="B974">
        <v>0</v>
      </c>
      <c r="C974">
        <v>0</v>
      </c>
      <c r="D974">
        <v>0</v>
      </c>
      <c r="E974">
        <v>0</v>
      </c>
      <c r="F974">
        <v>0</v>
      </c>
      <c r="G974">
        <v>0</v>
      </c>
      <c r="H974">
        <v>0</v>
      </c>
      <c r="I974">
        <v>0</v>
      </c>
      <c r="J974">
        <v>0</v>
      </c>
      <c r="K974">
        <v>0</v>
      </c>
      <c r="L974">
        <v>0</v>
      </c>
      <c r="M974">
        <v>0</v>
      </c>
      <c r="N974">
        <v>0</v>
      </c>
      <c r="O974">
        <v>0</v>
      </c>
      <c r="P974">
        <v>0</v>
      </c>
      <c r="Q974">
        <v>0</v>
      </c>
      <c r="R974">
        <v>0</v>
      </c>
      <c r="S974">
        <v>0</v>
      </c>
      <c r="T974">
        <v>0</v>
      </c>
      <c r="U974">
        <v>0</v>
      </c>
      <c r="V974">
        <v>0</v>
      </c>
      <c r="W974">
        <v>0</v>
      </c>
      <c r="X974">
        <v>0</v>
      </c>
      <c r="Y974">
        <v>0</v>
      </c>
      <c r="Z974">
        <v>0</v>
      </c>
      <c r="AA974">
        <v>0</v>
      </c>
      <c r="AB974">
        <v>0</v>
      </c>
    </row>
    <row r="975" spans="1:28">
      <c r="A975">
        <v>0</v>
      </c>
      <c r="B975">
        <v>0</v>
      </c>
      <c r="C975">
        <v>0</v>
      </c>
      <c r="D975">
        <v>0</v>
      </c>
      <c r="E975">
        <v>0</v>
      </c>
      <c r="F975">
        <v>0</v>
      </c>
      <c r="G975">
        <v>0</v>
      </c>
      <c r="H975">
        <v>0</v>
      </c>
      <c r="I975">
        <v>0</v>
      </c>
      <c r="J975">
        <v>0</v>
      </c>
      <c r="K975">
        <v>0</v>
      </c>
      <c r="L975">
        <v>0</v>
      </c>
      <c r="M975">
        <v>0</v>
      </c>
      <c r="N975">
        <v>0</v>
      </c>
      <c r="O975">
        <v>0</v>
      </c>
      <c r="P975">
        <v>0</v>
      </c>
      <c r="Q975">
        <v>0</v>
      </c>
      <c r="R975">
        <v>0</v>
      </c>
      <c r="S975">
        <v>0</v>
      </c>
      <c r="T975">
        <v>0</v>
      </c>
      <c r="U975">
        <v>0</v>
      </c>
      <c r="V975">
        <v>0</v>
      </c>
      <c r="W975">
        <v>0</v>
      </c>
      <c r="X975">
        <v>0</v>
      </c>
      <c r="Y975">
        <v>0</v>
      </c>
      <c r="Z975">
        <v>0</v>
      </c>
      <c r="AA975">
        <v>0</v>
      </c>
      <c r="AB975">
        <v>0</v>
      </c>
    </row>
    <row r="976" spans="1:28">
      <c r="A976">
        <v>0</v>
      </c>
      <c r="B976">
        <v>0</v>
      </c>
      <c r="C976">
        <v>0</v>
      </c>
      <c r="D976">
        <v>0</v>
      </c>
      <c r="E976">
        <v>0</v>
      </c>
      <c r="F976">
        <v>0</v>
      </c>
      <c r="G976">
        <v>0</v>
      </c>
      <c r="H976">
        <v>0</v>
      </c>
      <c r="I976">
        <v>0</v>
      </c>
      <c r="J976">
        <v>0</v>
      </c>
      <c r="K976">
        <v>0</v>
      </c>
      <c r="L976">
        <v>0</v>
      </c>
      <c r="M976">
        <v>0</v>
      </c>
      <c r="N976">
        <v>0</v>
      </c>
      <c r="O976">
        <v>0</v>
      </c>
      <c r="P976">
        <v>0</v>
      </c>
      <c r="Q976">
        <v>0</v>
      </c>
      <c r="R976">
        <v>0</v>
      </c>
      <c r="S976">
        <v>0</v>
      </c>
      <c r="T976">
        <v>0</v>
      </c>
      <c r="U976">
        <v>0</v>
      </c>
      <c r="V976">
        <v>0</v>
      </c>
      <c r="W976">
        <v>0</v>
      </c>
      <c r="X976">
        <v>0</v>
      </c>
      <c r="Y976">
        <v>0</v>
      </c>
      <c r="Z976">
        <v>0</v>
      </c>
      <c r="AA976">
        <v>0</v>
      </c>
      <c r="AB976">
        <v>0</v>
      </c>
    </row>
    <row r="977" spans="1:28">
      <c r="A977">
        <v>0</v>
      </c>
      <c r="B977">
        <v>0</v>
      </c>
      <c r="C977">
        <v>0</v>
      </c>
      <c r="D977">
        <v>0</v>
      </c>
      <c r="E977">
        <v>0</v>
      </c>
      <c r="F977">
        <v>0</v>
      </c>
      <c r="G977">
        <v>0</v>
      </c>
      <c r="H977">
        <v>0</v>
      </c>
      <c r="I977">
        <v>0</v>
      </c>
      <c r="J977">
        <v>0</v>
      </c>
      <c r="K977">
        <v>0</v>
      </c>
      <c r="L977">
        <v>0</v>
      </c>
      <c r="M977">
        <v>0</v>
      </c>
      <c r="N977">
        <v>0</v>
      </c>
      <c r="O977">
        <v>0</v>
      </c>
      <c r="P977">
        <v>0</v>
      </c>
      <c r="Q977">
        <v>0</v>
      </c>
      <c r="R977">
        <v>0</v>
      </c>
      <c r="S977">
        <v>0</v>
      </c>
      <c r="T977">
        <v>0</v>
      </c>
      <c r="U977">
        <v>0</v>
      </c>
      <c r="V977">
        <v>0</v>
      </c>
      <c r="W977">
        <v>0</v>
      </c>
      <c r="X977">
        <v>0</v>
      </c>
      <c r="Y977">
        <v>0</v>
      </c>
      <c r="Z977">
        <v>0</v>
      </c>
      <c r="AA977">
        <v>0</v>
      </c>
      <c r="AB977">
        <v>0</v>
      </c>
    </row>
    <row r="978" spans="1:28">
      <c r="A978">
        <v>0</v>
      </c>
      <c r="B978">
        <v>0</v>
      </c>
      <c r="C978">
        <v>0</v>
      </c>
      <c r="D978">
        <v>0</v>
      </c>
      <c r="E978">
        <v>0</v>
      </c>
      <c r="F978">
        <v>0</v>
      </c>
      <c r="G978">
        <v>0</v>
      </c>
      <c r="H978">
        <v>0</v>
      </c>
      <c r="I978">
        <v>0</v>
      </c>
      <c r="J978">
        <v>0</v>
      </c>
      <c r="K978">
        <v>0</v>
      </c>
      <c r="L978">
        <v>0</v>
      </c>
      <c r="M978">
        <v>0</v>
      </c>
      <c r="N978">
        <v>0</v>
      </c>
      <c r="O978">
        <v>0</v>
      </c>
      <c r="P978">
        <v>0</v>
      </c>
      <c r="Q978">
        <v>0</v>
      </c>
      <c r="R978">
        <v>0</v>
      </c>
      <c r="S978">
        <v>0</v>
      </c>
      <c r="T978">
        <v>0</v>
      </c>
      <c r="U978">
        <v>0</v>
      </c>
      <c r="V978">
        <v>0</v>
      </c>
      <c r="W978">
        <v>0</v>
      </c>
      <c r="X978">
        <v>0</v>
      </c>
      <c r="Y978">
        <v>0</v>
      </c>
      <c r="Z978">
        <v>0</v>
      </c>
      <c r="AA978">
        <v>0</v>
      </c>
      <c r="AB978">
        <v>0</v>
      </c>
    </row>
    <row r="979" spans="1:28">
      <c r="A979">
        <v>0</v>
      </c>
      <c r="B979">
        <v>0</v>
      </c>
      <c r="C979">
        <v>0</v>
      </c>
      <c r="D979">
        <v>0</v>
      </c>
      <c r="E979">
        <v>0</v>
      </c>
      <c r="F979">
        <v>0</v>
      </c>
      <c r="G979">
        <v>0</v>
      </c>
      <c r="H979">
        <v>0</v>
      </c>
      <c r="I979">
        <v>0</v>
      </c>
      <c r="J979">
        <v>0</v>
      </c>
      <c r="K979">
        <v>0</v>
      </c>
      <c r="L979">
        <v>0</v>
      </c>
      <c r="M979">
        <v>0</v>
      </c>
      <c r="N979">
        <v>0</v>
      </c>
      <c r="O979">
        <v>0</v>
      </c>
      <c r="P979">
        <v>0</v>
      </c>
      <c r="Q979">
        <v>0</v>
      </c>
      <c r="R979">
        <v>0</v>
      </c>
      <c r="S979">
        <v>0</v>
      </c>
      <c r="T979">
        <v>0</v>
      </c>
      <c r="U979">
        <v>0</v>
      </c>
      <c r="V979">
        <v>0</v>
      </c>
      <c r="W979">
        <v>0</v>
      </c>
      <c r="X979">
        <v>0</v>
      </c>
      <c r="Y979">
        <v>0</v>
      </c>
      <c r="Z979">
        <v>0</v>
      </c>
      <c r="AA979">
        <v>0</v>
      </c>
      <c r="AB979">
        <v>0</v>
      </c>
    </row>
    <row r="980" spans="1:28">
      <c r="A980">
        <v>0</v>
      </c>
      <c r="B980">
        <v>0</v>
      </c>
      <c r="C980">
        <v>0</v>
      </c>
      <c r="D980">
        <v>0</v>
      </c>
      <c r="E980">
        <v>0</v>
      </c>
      <c r="F980">
        <v>0</v>
      </c>
      <c r="G980">
        <v>0</v>
      </c>
      <c r="H980">
        <v>0</v>
      </c>
      <c r="I980">
        <v>0</v>
      </c>
      <c r="J980">
        <v>0</v>
      </c>
      <c r="K980">
        <v>0</v>
      </c>
      <c r="L980">
        <v>0</v>
      </c>
      <c r="M980">
        <v>0</v>
      </c>
      <c r="N980">
        <v>0</v>
      </c>
      <c r="O980">
        <v>0</v>
      </c>
      <c r="P980">
        <v>0</v>
      </c>
      <c r="Q980">
        <v>0</v>
      </c>
      <c r="R980">
        <v>0</v>
      </c>
      <c r="S980">
        <v>0</v>
      </c>
      <c r="T980">
        <v>0</v>
      </c>
      <c r="U980">
        <v>0</v>
      </c>
      <c r="V980">
        <v>0</v>
      </c>
      <c r="W980">
        <v>0</v>
      </c>
      <c r="X980">
        <v>0</v>
      </c>
      <c r="Y980">
        <v>0</v>
      </c>
      <c r="Z980">
        <v>0</v>
      </c>
      <c r="AA980">
        <v>0</v>
      </c>
      <c r="AB980">
        <v>0</v>
      </c>
    </row>
    <row r="981" spans="1:28">
      <c r="A981">
        <v>0</v>
      </c>
      <c r="B981">
        <v>0</v>
      </c>
      <c r="C981">
        <v>0</v>
      </c>
      <c r="D981">
        <v>0</v>
      </c>
      <c r="E981">
        <v>0</v>
      </c>
      <c r="F981">
        <v>0</v>
      </c>
      <c r="G981">
        <v>0</v>
      </c>
      <c r="H981">
        <v>0</v>
      </c>
      <c r="I981">
        <v>0</v>
      </c>
      <c r="J981">
        <v>0</v>
      </c>
      <c r="K981">
        <v>0</v>
      </c>
      <c r="L981">
        <v>0</v>
      </c>
      <c r="M981">
        <v>0</v>
      </c>
      <c r="N981">
        <v>0</v>
      </c>
      <c r="O981">
        <v>0</v>
      </c>
      <c r="P981">
        <v>0</v>
      </c>
      <c r="Q981">
        <v>0</v>
      </c>
      <c r="R981">
        <v>0</v>
      </c>
      <c r="S981">
        <v>0</v>
      </c>
      <c r="T981">
        <v>0</v>
      </c>
      <c r="U981">
        <v>0</v>
      </c>
      <c r="V981">
        <v>0</v>
      </c>
      <c r="W981">
        <v>0</v>
      </c>
      <c r="X981">
        <v>0</v>
      </c>
      <c r="Y981">
        <v>0</v>
      </c>
      <c r="Z981">
        <v>0</v>
      </c>
      <c r="AA981">
        <v>0</v>
      </c>
      <c r="AB981">
        <v>0</v>
      </c>
    </row>
    <row r="982" spans="1:28">
      <c r="A982">
        <v>0</v>
      </c>
      <c r="B982">
        <v>0</v>
      </c>
      <c r="C982">
        <v>0</v>
      </c>
      <c r="D982">
        <v>0</v>
      </c>
      <c r="E982">
        <v>0</v>
      </c>
      <c r="F982">
        <v>0</v>
      </c>
      <c r="G982">
        <v>0</v>
      </c>
      <c r="H982">
        <v>0</v>
      </c>
      <c r="I982">
        <v>0</v>
      </c>
      <c r="J982">
        <v>0</v>
      </c>
      <c r="K982">
        <v>0</v>
      </c>
      <c r="L982">
        <v>0</v>
      </c>
      <c r="M982">
        <v>0</v>
      </c>
      <c r="N982">
        <v>0</v>
      </c>
      <c r="O982">
        <v>0</v>
      </c>
      <c r="P982">
        <v>0</v>
      </c>
      <c r="Q982">
        <v>0</v>
      </c>
      <c r="R982">
        <v>0</v>
      </c>
      <c r="S982">
        <v>0</v>
      </c>
      <c r="T982">
        <v>0</v>
      </c>
      <c r="U982">
        <v>0</v>
      </c>
      <c r="V982">
        <v>0</v>
      </c>
      <c r="W982">
        <v>0</v>
      </c>
      <c r="X982">
        <v>0</v>
      </c>
      <c r="Y982">
        <v>0</v>
      </c>
      <c r="Z982">
        <v>0</v>
      </c>
      <c r="AA982">
        <v>0</v>
      </c>
      <c r="AB982">
        <v>0</v>
      </c>
    </row>
    <row r="983" spans="1:28">
      <c r="A983">
        <v>0</v>
      </c>
      <c r="B983">
        <v>0</v>
      </c>
      <c r="C983">
        <v>0</v>
      </c>
      <c r="D983">
        <v>0</v>
      </c>
      <c r="E983">
        <v>0</v>
      </c>
      <c r="F983">
        <v>0</v>
      </c>
      <c r="G983">
        <v>0</v>
      </c>
      <c r="H983">
        <v>0</v>
      </c>
      <c r="I983">
        <v>0</v>
      </c>
      <c r="J983">
        <v>0</v>
      </c>
      <c r="K983">
        <v>0</v>
      </c>
      <c r="L983">
        <v>0</v>
      </c>
      <c r="M983">
        <v>0</v>
      </c>
      <c r="N983">
        <v>0</v>
      </c>
      <c r="O983">
        <v>0</v>
      </c>
      <c r="P983">
        <v>0</v>
      </c>
      <c r="Q983">
        <v>0</v>
      </c>
      <c r="R983">
        <v>0</v>
      </c>
      <c r="S983">
        <v>0</v>
      </c>
      <c r="T983">
        <v>0</v>
      </c>
      <c r="U983">
        <v>0</v>
      </c>
      <c r="V983">
        <v>0</v>
      </c>
      <c r="W983">
        <v>0</v>
      </c>
      <c r="X983">
        <v>0</v>
      </c>
      <c r="Y983">
        <v>0</v>
      </c>
      <c r="Z983">
        <v>0</v>
      </c>
      <c r="AA983">
        <v>0</v>
      </c>
      <c r="AB983">
        <v>0</v>
      </c>
    </row>
    <row r="984" spans="1:28">
      <c r="A984">
        <v>0</v>
      </c>
      <c r="B984">
        <v>0</v>
      </c>
      <c r="C984">
        <v>0</v>
      </c>
      <c r="D984">
        <v>0</v>
      </c>
      <c r="E984">
        <v>0</v>
      </c>
      <c r="F984">
        <v>0</v>
      </c>
      <c r="G984">
        <v>0</v>
      </c>
      <c r="H984">
        <v>0</v>
      </c>
      <c r="I984">
        <v>0</v>
      </c>
      <c r="J984">
        <v>0</v>
      </c>
      <c r="K984">
        <v>0</v>
      </c>
      <c r="L984">
        <v>0</v>
      </c>
      <c r="M984">
        <v>0</v>
      </c>
      <c r="N984">
        <v>0</v>
      </c>
      <c r="O984">
        <v>0</v>
      </c>
      <c r="P984">
        <v>0</v>
      </c>
      <c r="Q984">
        <v>0</v>
      </c>
      <c r="R984">
        <v>0</v>
      </c>
      <c r="S984">
        <v>0</v>
      </c>
      <c r="T984">
        <v>0</v>
      </c>
      <c r="U984">
        <v>0</v>
      </c>
      <c r="V984">
        <v>0</v>
      </c>
      <c r="W984">
        <v>0</v>
      </c>
      <c r="X984">
        <v>0</v>
      </c>
      <c r="Y984">
        <v>0</v>
      </c>
      <c r="Z984">
        <v>0</v>
      </c>
      <c r="AA984">
        <v>0</v>
      </c>
      <c r="AB984">
        <v>0</v>
      </c>
    </row>
    <row r="985" spans="1:28">
      <c r="A985">
        <v>0</v>
      </c>
      <c r="B985">
        <v>0</v>
      </c>
      <c r="C985">
        <v>0</v>
      </c>
      <c r="D985">
        <v>0</v>
      </c>
      <c r="E985">
        <v>0</v>
      </c>
      <c r="F985">
        <v>0</v>
      </c>
      <c r="G985">
        <v>0</v>
      </c>
      <c r="H985">
        <v>0</v>
      </c>
      <c r="I985">
        <v>0</v>
      </c>
      <c r="J985">
        <v>0</v>
      </c>
      <c r="K985">
        <v>0</v>
      </c>
      <c r="L985">
        <v>0</v>
      </c>
      <c r="M985">
        <v>0</v>
      </c>
      <c r="N985">
        <v>0</v>
      </c>
      <c r="O985">
        <v>0</v>
      </c>
      <c r="P985">
        <v>0</v>
      </c>
      <c r="Q985">
        <v>0</v>
      </c>
      <c r="R985">
        <v>0</v>
      </c>
      <c r="S985">
        <v>0</v>
      </c>
      <c r="T985">
        <v>0</v>
      </c>
      <c r="U985">
        <v>0</v>
      </c>
      <c r="V985">
        <v>0</v>
      </c>
      <c r="W985">
        <v>0</v>
      </c>
      <c r="X985">
        <v>0</v>
      </c>
      <c r="Y985">
        <v>0</v>
      </c>
      <c r="Z985">
        <v>0</v>
      </c>
      <c r="AA985">
        <v>0</v>
      </c>
      <c r="AB985">
        <v>0</v>
      </c>
    </row>
    <row r="986" spans="1:28">
      <c r="A986">
        <v>0</v>
      </c>
      <c r="B986">
        <v>0</v>
      </c>
      <c r="C986">
        <v>0</v>
      </c>
      <c r="D986">
        <v>0</v>
      </c>
      <c r="E986">
        <v>0</v>
      </c>
      <c r="F986">
        <v>0</v>
      </c>
      <c r="G986">
        <v>0</v>
      </c>
      <c r="H986">
        <v>0</v>
      </c>
      <c r="I986">
        <v>0</v>
      </c>
      <c r="J986">
        <v>0</v>
      </c>
      <c r="K986">
        <v>0</v>
      </c>
      <c r="L986">
        <v>0</v>
      </c>
      <c r="M986">
        <v>0</v>
      </c>
      <c r="N986">
        <v>0</v>
      </c>
      <c r="O986">
        <v>0</v>
      </c>
      <c r="P986">
        <v>0</v>
      </c>
      <c r="Q986">
        <v>0</v>
      </c>
      <c r="R986">
        <v>0</v>
      </c>
      <c r="S986">
        <v>0</v>
      </c>
      <c r="T986">
        <v>0</v>
      </c>
      <c r="U986">
        <v>0</v>
      </c>
      <c r="V986">
        <v>0</v>
      </c>
      <c r="W986">
        <v>0</v>
      </c>
      <c r="X986">
        <v>0</v>
      </c>
      <c r="Y986">
        <v>0</v>
      </c>
      <c r="Z986">
        <v>0</v>
      </c>
      <c r="AA986">
        <v>0</v>
      </c>
      <c r="AB986">
        <v>0</v>
      </c>
    </row>
    <row r="987" spans="1:28">
      <c r="A987">
        <v>0</v>
      </c>
      <c r="B987">
        <v>0</v>
      </c>
      <c r="C987">
        <v>0</v>
      </c>
      <c r="D987">
        <v>0</v>
      </c>
      <c r="E987">
        <v>0</v>
      </c>
      <c r="F987">
        <v>0</v>
      </c>
      <c r="G987">
        <v>0</v>
      </c>
      <c r="H987">
        <v>0</v>
      </c>
      <c r="I987">
        <v>0</v>
      </c>
      <c r="J987">
        <v>0</v>
      </c>
      <c r="K987">
        <v>0</v>
      </c>
      <c r="L987">
        <v>0</v>
      </c>
      <c r="M987">
        <v>0</v>
      </c>
      <c r="N987">
        <v>0</v>
      </c>
      <c r="O987">
        <v>0</v>
      </c>
      <c r="P987">
        <v>0</v>
      </c>
      <c r="Q987">
        <v>0</v>
      </c>
      <c r="R987">
        <v>0</v>
      </c>
      <c r="S987">
        <v>0</v>
      </c>
      <c r="T987">
        <v>0</v>
      </c>
      <c r="U987">
        <v>0</v>
      </c>
      <c r="V987">
        <v>0</v>
      </c>
      <c r="W987">
        <v>0</v>
      </c>
      <c r="X987">
        <v>0</v>
      </c>
      <c r="Y987">
        <v>0</v>
      </c>
      <c r="Z987">
        <v>0</v>
      </c>
      <c r="AA987">
        <v>0</v>
      </c>
      <c r="AB987">
        <v>0</v>
      </c>
    </row>
    <row r="988" spans="1:28">
      <c r="A988">
        <v>0</v>
      </c>
      <c r="B988">
        <v>0</v>
      </c>
      <c r="C988">
        <v>0</v>
      </c>
      <c r="D988">
        <v>0</v>
      </c>
      <c r="E988">
        <v>0</v>
      </c>
      <c r="F988">
        <v>0</v>
      </c>
      <c r="G988">
        <v>0</v>
      </c>
      <c r="H988">
        <v>0</v>
      </c>
      <c r="I988">
        <v>0</v>
      </c>
      <c r="J988">
        <v>0</v>
      </c>
      <c r="K988">
        <v>0</v>
      </c>
      <c r="L988">
        <v>0</v>
      </c>
      <c r="M988">
        <v>0</v>
      </c>
      <c r="N988">
        <v>0</v>
      </c>
      <c r="O988">
        <v>0</v>
      </c>
      <c r="P988">
        <v>0</v>
      </c>
      <c r="Q988">
        <v>0</v>
      </c>
      <c r="R988">
        <v>0</v>
      </c>
      <c r="S988">
        <v>0</v>
      </c>
      <c r="T988">
        <v>0</v>
      </c>
      <c r="U988">
        <v>0</v>
      </c>
      <c r="V988">
        <v>0</v>
      </c>
      <c r="W988">
        <v>0</v>
      </c>
      <c r="X988">
        <v>0</v>
      </c>
      <c r="Y988">
        <v>0</v>
      </c>
      <c r="Z988">
        <v>0</v>
      </c>
      <c r="AA988">
        <v>0</v>
      </c>
      <c r="AB988">
        <v>0</v>
      </c>
    </row>
    <row r="989" spans="1:28">
      <c r="A989">
        <v>0</v>
      </c>
      <c r="B989">
        <v>0</v>
      </c>
      <c r="C989">
        <v>0</v>
      </c>
      <c r="D989">
        <v>0</v>
      </c>
      <c r="E989">
        <v>0</v>
      </c>
      <c r="F989">
        <v>0</v>
      </c>
      <c r="G989">
        <v>0</v>
      </c>
      <c r="H989">
        <v>0</v>
      </c>
      <c r="I989">
        <v>0</v>
      </c>
      <c r="J989">
        <v>0</v>
      </c>
      <c r="K989">
        <v>0</v>
      </c>
      <c r="L989">
        <v>0</v>
      </c>
      <c r="M989">
        <v>0</v>
      </c>
      <c r="N989">
        <v>0</v>
      </c>
      <c r="O989">
        <v>0</v>
      </c>
      <c r="P989">
        <v>0</v>
      </c>
      <c r="Q989">
        <v>0</v>
      </c>
      <c r="R989">
        <v>0</v>
      </c>
      <c r="S989">
        <v>0</v>
      </c>
      <c r="T989">
        <v>0</v>
      </c>
      <c r="U989">
        <v>0</v>
      </c>
      <c r="V989">
        <v>0</v>
      </c>
      <c r="W989">
        <v>0</v>
      </c>
      <c r="X989">
        <v>0</v>
      </c>
      <c r="Y989">
        <v>0</v>
      </c>
      <c r="Z989">
        <v>0</v>
      </c>
      <c r="AA989">
        <v>0</v>
      </c>
      <c r="AB989">
        <v>0</v>
      </c>
    </row>
    <row r="990" spans="1:28">
      <c r="A990">
        <v>0</v>
      </c>
      <c r="B990">
        <v>0</v>
      </c>
      <c r="C990">
        <v>0</v>
      </c>
      <c r="D990">
        <v>0</v>
      </c>
      <c r="E990">
        <v>0</v>
      </c>
      <c r="F990">
        <v>0</v>
      </c>
      <c r="G990">
        <v>0</v>
      </c>
      <c r="H990">
        <v>0</v>
      </c>
      <c r="I990">
        <v>0</v>
      </c>
      <c r="J990">
        <v>0</v>
      </c>
      <c r="K990">
        <v>0</v>
      </c>
      <c r="L990">
        <v>0</v>
      </c>
      <c r="M990">
        <v>0</v>
      </c>
      <c r="N990">
        <v>0</v>
      </c>
      <c r="O990">
        <v>0</v>
      </c>
      <c r="P990">
        <v>0</v>
      </c>
      <c r="Q990">
        <v>0</v>
      </c>
      <c r="R990">
        <v>0</v>
      </c>
      <c r="S990">
        <v>0</v>
      </c>
      <c r="T990">
        <v>0</v>
      </c>
      <c r="U990">
        <v>0</v>
      </c>
      <c r="V990">
        <v>0</v>
      </c>
      <c r="W990">
        <v>0</v>
      </c>
      <c r="X990">
        <v>0</v>
      </c>
      <c r="Y990">
        <v>0</v>
      </c>
      <c r="Z990">
        <v>0</v>
      </c>
      <c r="AA990">
        <v>0</v>
      </c>
      <c r="AB990">
        <v>0</v>
      </c>
    </row>
    <row r="991" spans="1:28">
      <c r="A991">
        <v>0</v>
      </c>
      <c r="B991">
        <v>0</v>
      </c>
      <c r="C991">
        <v>0</v>
      </c>
      <c r="D991">
        <v>0</v>
      </c>
      <c r="E991">
        <v>0</v>
      </c>
      <c r="F991">
        <v>0</v>
      </c>
      <c r="G991">
        <v>0</v>
      </c>
      <c r="H991">
        <v>0</v>
      </c>
      <c r="I991">
        <v>0</v>
      </c>
      <c r="J991">
        <v>0</v>
      </c>
      <c r="K991">
        <v>0</v>
      </c>
      <c r="L991">
        <v>0</v>
      </c>
      <c r="M991">
        <v>0</v>
      </c>
      <c r="N991">
        <v>0</v>
      </c>
      <c r="O991">
        <v>0</v>
      </c>
      <c r="P991">
        <v>0</v>
      </c>
      <c r="Q991">
        <v>0</v>
      </c>
      <c r="R991">
        <v>0</v>
      </c>
      <c r="S991">
        <v>0</v>
      </c>
      <c r="T991">
        <v>0</v>
      </c>
      <c r="U991">
        <v>0</v>
      </c>
      <c r="V991">
        <v>0</v>
      </c>
      <c r="W991">
        <v>0</v>
      </c>
      <c r="X991">
        <v>0</v>
      </c>
      <c r="Y991">
        <v>0</v>
      </c>
      <c r="Z991">
        <v>0</v>
      </c>
      <c r="AA991">
        <v>0</v>
      </c>
      <c r="AB991">
        <v>0</v>
      </c>
    </row>
    <row r="992" spans="1:28">
      <c r="A992">
        <v>0</v>
      </c>
      <c r="B992">
        <v>0</v>
      </c>
      <c r="C992">
        <v>0</v>
      </c>
      <c r="D992">
        <v>0</v>
      </c>
      <c r="E992">
        <v>0</v>
      </c>
      <c r="F992">
        <v>0</v>
      </c>
      <c r="G992">
        <v>0</v>
      </c>
      <c r="H992">
        <v>0</v>
      </c>
      <c r="I992">
        <v>0</v>
      </c>
      <c r="J992">
        <v>0</v>
      </c>
      <c r="K992">
        <v>0</v>
      </c>
      <c r="L992">
        <v>0</v>
      </c>
      <c r="M992">
        <v>0</v>
      </c>
      <c r="N992">
        <v>0</v>
      </c>
      <c r="O992">
        <v>0</v>
      </c>
      <c r="P992">
        <v>0</v>
      </c>
      <c r="Q992">
        <v>0</v>
      </c>
      <c r="R992">
        <v>0</v>
      </c>
      <c r="S992">
        <v>0</v>
      </c>
      <c r="T992">
        <v>0</v>
      </c>
      <c r="U992">
        <v>0</v>
      </c>
      <c r="V992">
        <v>0</v>
      </c>
      <c r="W992">
        <v>0</v>
      </c>
      <c r="X992">
        <v>0</v>
      </c>
      <c r="Y992">
        <v>0</v>
      </c>
      <c r="Z992">
        <v>0</v>
      </c>
      <c r="AA992">
        <v>0</v>
      </c>
      <c r="AB992">
        <v>0</v>
      </c>
    </row>
    <row r="993" spans="1:28">
      <c r="A993">
        <v>0</v>
      </c>
      <c r="B993">
        <v>0</v>
      </c>
      <c r="C993">
        <v>0</v>
      </c>
      <c r="D993">
        <v>0</v>
      </c>
      <c r="E993">
        <v>0</v>
      </c>
      <c r="F993">
        <v>0</v>
      </c>
      <c r="G993">
        <v>0</v>
      </c>
      <c r="H993">
        <v>0</v>
      </c>
      <c r="I993">
        <v>0</v>
      </c>
      <c r="J993">
        <v>0</v>
      </c>
      <c r="K993">
        <v>0</v>
      </c>
      <c r="L993">
        <v>0</v>
      </c>
      <c r="M993">
        <v>0</v>
      </c>
      <c r="N993">
        <v>0</v>
      </c>
      <c r="O993">
        <v>0</v>
      </c>
      <c r="P993">
        <v>0</v>
      </c>
      <c r="Q993">
        <v>0</v>
      </c>
      <c r="R993">
        <v>0</v>
      </c>
      <c r="S993">
        <v>0</v>
      </c>
      <c r="T993">
        <v>0</v>
      </c>
      <c r="U993">
        <v>0</v>
      </c>
      <c r="V993">
        <v>0</v>
      </c>
      <c r="W993">
        <v>0</v>
      </c>
      <c r="X993">
        <v>0</v>
      </c>
      <c r="Y993">
        <v>0</v>
      </c>
      <c r="Z993">
        <v>0</v>
      </c>
      <c r="AA993">
        <v>0</v>
      </c>
      <c r="AB993">
        <v>0</v>
      </c>
    </row>
    <row r="994" spans="1:28">
      <c r="A994">
        <v>0</v>
      </c>
      <c r="B994">
        <v>0</v>
      </c>
      <c r="C994">
        <v>0</v>
      </c>
      <c r="D994">
        <v>0</v>
      </c>
      <c r="E994">
        <v>0</v>
      </c>
      <c r="F994">
        <v>0</v>
      </c>
      <c r="G994">
        <v>0</v>
      </c>
      <c r="H994">
        <v>0</v>
      </c>
      <c r="I994">
        <v>0</v>
      </c>
      <c r="J994">
        <v>0</v>
      </c>
      <c r="K994">
        <v>0</v>
      </c>
      <c r="L994">
        <v>0</v>
      </c>
      <c r="M994">
        <v>0</v>
      </c>
      <c r="N994">
        <v>0</v>
      </c>
      <c r="O994">
        <v>0</v>
      </c>
      <c r="P994">
        <v>0</v>
      </c>
      <c r="Q994">
        <v>0</v>
      </c>
      <c r="R994">
        <v>0</v>
      </c>
      <c r="S994">
        <v>0</v>
      </c>
      <c r="T994">
        <v>0</v>
      </c>
      <c r="U994">
        <v>0</v>
      </c>
      <c r="V994">
        <v>0</v>
      </c>
      <c r="W994">
        <v>0</v>
      </c>
      <c r="X994">
        <v>0</v>
      </c>
      <c r="Y994">
        <v>0</v>
      </c>
      <c r="Z994">
        <v>0</v>
      </c>
      <c r="AA994">
        <v>0</v>
      </c>
      <c r="AB994">
        <v>0</v>
      </c>
    </row>
    <row r="995" spans="1:28">
      <c r="A995">
        <v>0</v>
      </c>
      <c r="B995">
        <v>0</v>
      </c>
      <c r="C995">
        <v>0</v>
      </c>
      <c r="D995">
        <v>0</v>
      </c>
      <c r="E995">
        <v>0</v>
      </c>
      <c r="F995">
        <v>0</v>
      </c>
      <c r="G995">
        <v>0</v>
      </c>
      <c r="H995">
        <v>0</v>
      </c>
      <c r="I995">
        <v>0</v>
      </c>
      <c r="J995">
        <v>0</v>
      </c>
      <c r="K995">
        <v>0</v>
      </c>
      <c r="L995">
        <v>0</v>
      </c>
      <c r="M995">
        <v>0</v>
      </c>
      <c r="N995">
        <v>0</v>
      </c>
      <c r="O995">
        <v>0</v>
      </c>
      <c r="P995">
        <v>0</v>
      </c>
      <c r="Q995">
        <v>0</v>
      </c>
      <c r="R995">
        <v>0</v>
      </c>
      <c r="S995">
        <v>0</v>
      </c>
      <c r="T995">
        <v>0</v>
      </c>
      <c r="U995">
        <v>0</v>
      </c>
      <c r="V995">
        <v>0</v>
      </c>
      <c r="W995">
        <v>0</v>
      </c>
      <c r="X995">
        <v>0</v>
      </c>
      <c r="Y995">
        <v>0</v>
      </c>
      <c r="Z995">
        <v>0</v>
      </c>
      <c r="AA995">
        <v>0</v>
      </c>
      <c r="AB995">
        <v>0</v>
      </c>
    </row>
    <row r="996" spans="1:28">
      <c r="A996">
        <v>0</v>
      </c>
      <c r="B996">
        <v>0</v>
      </c>
      <c r="C996">
        <v>0</v>
      </c>
      <c r="D996">
        <v>0</v>
      </c>
      <c r="E996">
        <v>0</v>
      </c>
      <c r="F996">
        <v>0</v>
      </c>
      <c r="G996">
        <v>0</v>
      </c>
      <c r="H996">
        <v>0</v>
      </c>
      <c r="I996">
        <v>0</v>
      </c>
      <c r="J996">
        <v>0</v>
      </c>
      <c r="K996">
        <v>0</v>
      </c>
      <c r="L996">
        <v>0</v>
      </c>
      <c r="M996">
        <v>0</v>
      </c>
      <c r="N996">
        <v>0</v>
      </c>
      <c r="O996">
        <v>0</v>
      </c>
      <c r="P996">
        <v>0</v>
      </c>
      <c r="Q996">
        <v>0</v>
      </c>
      <c r="R996">
        <v>0</v>
      </c>
      <c r="S996">
        <v>0</v>
      </c>
      <c r="T996">
        <v>0</v>
      </c>
      <c r="U996">
        <v>0</v>
      </c>
      <c r="V996">
        <v>0</v>
      </c>
      <c r="W996">
        <v>0</v>
      </c>
      <c r="X996">
        <v>0</v>
      </c>
      <c r="Y996">
        <v>0</v>
      </c>
      <c r="Z996">
        <v>0</v>
      </c>
      <c r="AA996">
        <v>0</v>
      </c>
      <c r="AB996">
        <v>0</v>
      </c>
    </row>
    <row r="997" spans="1:28">
      <c r="A997">
        <v>0</v>
      </c>
      <c r="B997">
        <v>0</v>
      </c>
      <c r="C997">
        <v>0</v>
      </c>
      <c r="D997">
        <v>0</v>
      </c>
      <c r="E997">
        <v>0</v>
      </c>
      <c r="F997">
        <v>0</v>
      </c>
      <c r="G997">
        <v>0</v>
      </c>
      <c r="H997">
        <v>0</v>
      </c>
      <c r="I997">
        <v>0</v>
      </c>
      <c r="J997">
        <v>0</v>
      </c>
      <c r="K997">
        <v>0</v>
      </c>
      <c r="L997">
        <v>0</v>
      </c>
      <c r="M997">
        <v>0</v>
      </c>
      <c r="N997">
        <v>0</v>
      </c>
      <c r="O997">
        <v>0</v>
      </c>
      <c r="P997">
        <v>0</v>
      </c>
      <c r="Q997">
        <v>0</v>
      </c>
      <c r="R997">
        <v>0</v>
      </c>
      <c r="S997">
        <v>0</v>
      </c>
      <c r="T997">
        <v>0</v>
      </c>
      <c r="U997">
        <v>0</v>
      </c>
      <c r="V997">
        <v>0</v>
      </c>
      <c r="W997">
        <v>0</v>
      </c>
      <c r="X997">
        <v>0</v>
      </c>
      <c r="Y997">
        <v>0</v>
      </c>
      <c r="Z997">
        <v>0</v>
      </c>
      <c r="AA997">
        <v>0</v>
      </c>
      <c r="AB997">
        <v>0</v>
      </c>
    </row>
    <row r="998" spans="1:28">
      <c r="A998">
        <v>0</v>
      </c>
      <c r="B998">
        <v>0</v>
      </c>
      <c r="C998">
        <v>0</v>
      </c>
      <c r="D998">
        <v>0</v>
      </c>
      <c r="E998">
        <v>0</v>
      </c>
      <c r="F998">
        <v>0</v>
      </c>
      <c r="G998">
        <v>0</v>
      </c>
      <c r="H998">
        <v>0</v>
      </c>
      <c r="I998">
        <v>0</v>
      </c>
      <c r="J998">
        <v>0</v>
      </c>
      <c r="K998">
        <v>0</v>
      </c>
      <c r="L998">
        <v>0</v>
      </c>
      <c r="M998">
        <v>0</v>
      </c>
      <c r="N998">
        <v>0</v>
      </c>
      <c r="O998">
        <v>0</v>
      </c>
      <c r="P998">
        <v>0</v>
      </c>
      <c r="Q998">
        <v>0</v>
      </c>
      <c r="R998">
        <v>0</v>
      </c>
      <c r="S998">
        <v>0</v>
      </c>
      <c r="T998">
        <v>0</v>
      </c>
      <c r="U998">
        <v>0</v>
      </c>
      <c r="V998">
        <v>0</v>
      </c>
      <c r="W998">
        <v>0</v>
      </c>
      <c r="X998">
        <v>0</v>
      </c>
      <c r="Y998">
        <v>0</v>
      </c>
      <c r="Z998">
        <v>0</v>
      </c>
      <c r="AA998">
        <v>0</v>
      </c>
      <c r="AB998">
        <v>0</v>
      </c>
    </row>
    <row r="999" spans="1:28">
      <c r="A999">
        <v>0</v>
      </c>
      <c r="B999">
        <v>0</v>
      </c>
      <c r="C999">
        <v>0</v>
      </c>
      <c r="D999">
        <v>0</v>
      </c>
      <c r="E999">
        <v>0</v>
      </c>
      <c r="F999">
        <v>0</v>
      </c>
      <c r="G999">
        <v>0</v>
      </c>
      <c r="H999">
        <v>0</v>
      </c>
      <c r="I999">
        <v>0</v>
      </c>
      <c r="J999">
        <v>0</v>
      </c>
      <c r="K999">
        <v>0</v>
      </c>
      <c r="L999">
        <v>0</v>
      </c>
      <c r="M999">
        <v>0</v>
      </c>
      <c r="N999">
        <v>0</v>
      </c>
      <c r="O999">
        <v>0</v>
      </c>
      <c r="P999">
        <v>0</v>
      </c>
      <c r="Q999">
        <v>0</v>
      </c>
      <c r="R999">
        <v>0</v>
      </c>
      <c r="S999">
        <v>0</v>
      </c>
      <c r="T999">
        <v>0</v>
      </c>
      <c r="U999">
        <v>0</v>
      </c>
      <c r="V999">
        <v>0</v>
      </c>
      <c r="W999">
        <v>0</v>
      </c>
      <c r="X999">
        <v>0</v>
      </c>
      <c r="Y999">
        <v>0</v>
      </c>
      <c r="Z999">
        <v>0</v>
      </c>
      <c r="AA999">
        <v>0</v>
      </c>
      <c r="AB999">
        <v>0</v>
      </c>
    </row>
    <row r="1000" spans="1:28">
      <c r="A1000">
        <v>0</v>
      </c>
      <c r="B1000">
        <v>0</v>
      </c>
      <c r="C1000">
        <v>0</v>
      </c>
      <c r="D1000">
        <v>0</v>
      </c>
      <c r="E1000">
        <v>0</v>
      </c>
      <c r="F1000">
        <v>0</v>
      </c>
      <c r="G1000">
        <v>0</v>
      </c>
      <c r="H1000">
        <v>0</v>
      </c>
      <c r="I1000">
        <v>0</v>
      </c>
      <c r="J1000">
        <v>0</v>
      </c>
      <c r="K1000">
        <v>0</v>
      </c>
      <c r="L1000">
        <v>0</v>
      </c>
      <c r="M1000">
        <v>0</v>
      </c>
      <c r="N1000">
        <v>0</v>
      </c>
      <c r="O1000">
        <v>0</v>
      </c>
      <c r="P1000">
        <v>0</v>
      </c>
      <c r="Q1000">
        <v>0</v>
      </c>
      <c r="R1000">
        <v>0</v>
      </c>
      <c r="S1000">
        <v>0</v>
      </c>
      <c r="T1000">
        <v>0</v>
      </c>
      <c r="U1000">
        <v>0</v>
      </c>
      <c r="V1000">
        <v>0</v>
      </c>
      <c r="W1000">
        <v>0</v>
      </c>
      <c r="X1000">
        <v>0</v>
      </c>
      <c r="Y1000">
        <v>0</v>
      </c>
      <c r="Z1000">
        <v>0</v>
      </c>
      <c r="AA1000">
        <v>0</v>
      </c>
      <c r="AB1000">
        <v>0</v>
      </c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F6210CF-1086-4A7E-91E7-34B983F2F1A0}">
  <sheetPr codeName="Sheet6"/>
  <dimension ref="A1:Q34"/>
  <sheetViews>
    <sheetView workbookViewId="0">
      <selection activeCell="K36" sqref="K36"/>
    </sheetView>
  </sheetViews>
  <sheetFormatPr defaultRowHeight="15"/>
  <cols>
    <col min="1" max="1" width="11.28515625" customWidth="1"/>
    <col min="2" max="2" width="14.140625" bestFit="1" customWidth="1"/>
    <col min="3" max="4" width="14.140625" customWidth="1"/>
    <col min="5" max="5" width="15.85546875" bestFit="1" customWidth="1"/>
    <col min="6" max="6" width="11" bestFit="1" customWidth="1"/>
    <col min="7" max="7" width="5" customWidth="1"/>
    <col min="8" max="8" width="8.7109375" bestFit="1" customWidth="1"/>
    <col min="9" max="9" width="15.5703125" customWidth="1"/>
    <col min="10" max="10" width="17.42578125" customWidth="1"/>
    <col min="11" max="11" width="13.5703125" customWidth="1"/>
    <col min="12" max="12" width="8.85546875" customWidth="1"/>
    <col min="13" max="13" width="16" customWidth="1"/>
    <col min="14" max="14" width="19.42578125" bestFit="1" customWidth="1"/>
    <col min="15" max="15" width="16.140625" bestFit="1" customWidth="1"/>
    <col min="16" max="16" width="32.140625" bestFit="1" customWidth="1"/>
    <col min="17" max="17" width="21.140625" customWidth="1"/>
    <col min="18" max="18" width="12.140625" customWidth="1"/>
  </cols>
  <sheetData>
    <row r="1" spans="1:17">
      <c r="A1" t="s">
        <v>0</v>
      </c>
      <c r="B1" t="s">
        <v>65</v>
      </c>
      <c r="C1" t="s">
        <v>2</v>
      </c>
      <c r="D1" t="s">
        <v>5</v>
      </c>
      <c r="E1" t="s">
        <v>6</v>
      </c>
      <c r="F1" t="s">
        <v>9</v>
      </c>
      <c r="G1" t="s">
        <v>66</v>
      </c>
      <c r="H1" t="s">
        <v>11</v>
      </c>
      <c r="I1" t="s">
        <v>67</v>
      </c>
      <c r="J1" t="s">
        <v>68</v>
      </c>
      <c r="K1" t="s">
        <v>69</v>
      </c>
      <c r="L1" t="s">
        <v>70</v>
      </c>
      <c r="M1" s="14" t="s">
        <v>71</v>
      </c>
      <c r="N1" t="s">
        <v>72</v>
      </c>
      <c r="O1" t="s">
        <v>73</v>
      </c>
      <c r="P1" t="s">
        <v>13</v>
      </c>
      <c r="Q1" t="s">
        <v>74</v>
      </c>
    </row>
    <row r="2" spans="1:17">
      <c r="A2" t="str" cm="1">
        <f t="array" ref="A2">IFERROR(_xlfn.TEXTSPLIT(Input!A3,"*"),"")</f>
        <v/>
      </c>
      <c r="Q2">
        <f>_xlfn.XLOOKUP(B2,Input!J:J,Input!I:I,"Missing",0,1)</f>
        <v>0</v>
      </c>
    </row>
    <row r="3" spans="1:17">
      <c r="A3" t="str" cm="1">
        <f t="array" ref="A3">IFERROR(_xlfn.TEXTSPLIT(Input!A4,"*"),"")</f>
        <v/>
      </c>
      <c r="Q3">
        <f>_xlfn.XLOOKUP(B3,Input!J:J,Input!I:I,"Missing",0,1)</f>
        <v>0</v>
      </c>
    </row>
    <row r="4" spans="1:17">
      <c r="A4" t="str" cm="1">
        <f t="array" ref="A4">IFERROR(_xlfn.TEXTSPLIT(Input!A5,"*"),"")</f>
        <v/>
      </c>
      <c r="Q4">
        <f>_xlfn.XLOOKUP(B4,Input!J:J,Input!I:I,"Missing",0,1)</f>
        <v>0</v>
      </c>
    </row>
    <row r="5" spans="1:17">
      <c r="A5" t="str" cm="1">
        <f t="array" ref="A5">IFERROR(_xlfn.TEXTSPLIT(Input!A6,"*"),"")</f>
        <v/>
      </c>
      <c r="Q5">
        <f>_xlfn.XLOOKUP(B5,Input!J:J,Input!I:I,"Missing",0,1)</f>
        <v>0</v>
      </c>
    </row>
    <row r="6" spans="1:17">
      <c r="A6" t="str" cm="1">
        <f t="array" ref="A6">IFERROR(_xlfn.TEXTSPLIT(Input!A7,"*"),"")</f>
        <v/>
      </c>
      <c r="Q6">
        <f>_xlfn.XLOOKUP(B6,Input!J:J,Input!I:I,"Missing",0,1)</f>
        <v>0</v>
      </c>
    </row>
    <row r="7" spans="1:17">
      <c r="A7" t="str" cm="1">
        <f t="array" ref="A7">IFERROR(_xlfn.TEXTSPLIT(Input!A8,"*"),"")</f>
        <v/>
      </c>
      <c r="Q7">
        <f>_xlfn.XLOOKUP(B7,Input!J:J,Input!I:I,"Missing",0,1)</f>
        <v>0</v>
      </c>
    </row>
    <row r="8" spans="1:17">
      <c r="A8" t="str" cm="1">
        <f t="array" ref="A8">IFERROR(_xlfn.TEXTSPLIT(Input!A9,"*"),"")</f>
        <v/>
      </c>
      <c r="Q8">
        <f>_xlfn.XLOOKUP(B8,Input!J:J,Input!I:I,"Missing",0,1)</f>
        <v>0</v>
      </c>
    </row>
    <row r="9" spans="1:17">
      <c r="A9" t="str" cm="1">
        <f t="array" ref="A9">IFERROR(_xlfn.TEXTSPLIT(Input!A10,"*"),"")</f>
        <v/>
      </c>
      <c r="Q9">
        <f>_xlfn.XLOOKUP(B9,Input!J:J,Input!I:I,"Missing",0,1)</f>
        <v>0</v>
      </c>
    </row>
    <row r="10" spans="1:17">
      <c r="A10" t="str" cm="1">
        <f t="array" ref="A10">IFERROR(_xlfn.TEXTSPLIT(Input!A11,"*"),"")</f>
        <v/>
      </c>
      <c r="Q10">
        <f>_xlfn.XLOOKUP(B10,Input!J:J,Input!I:I,"Missing",0,1)</f>
        <v>0</v>
      </c>
    </row>
    <row r="11" spans="1:17">
      <c r="A11" t="str" cm="1">
        <f t="array" ref="A11">IFERROR(_xlfn.TEXTSPLIT(Input!A12,"*"),"")</f>
        <v/>
      </c>
      <c r="Q11">
        <f>_xlfn.XLOOKUP(B11,Input!J:J,Input!I:I,"Missing",0,1)</f>
        <v>0</v>
      </c>
    </row>
    <row r="12" spans="1:17">
      <c r="A12" t="str" cm="1">
        <f t="array" ref="A12">IFERROR(_xlfn.TEXTSPLIT(Input!A13,"*"),"")</f>
        <v/>
      </c>
      <c r="Q12">
        <f>_xlfn.XLOOKUP(B12,Input!J:J,Input!I:I,"Missing",0,1)</f>
        <v>0</v>
      </c>
    </row>
    <row r="13" spans="1:17">
      <c r="A13" t="str" cm="1">
        <f t="array" ref="A13">IFERROR(_xlfn.TEXTSPLIT(Input!A14,"*"),"")</f>
        <v/>
      </c>
      <c r="Q13">
        <f>_xlfn.XLOOKUP(B13,Input!J:J,Input!I:I,"Missing",0,1)</f>
        <v>0</v>
      </c>
    </row>
    <row r="14" spans="1:17">
      <c r="A14" t="str" cm="1">
        <f t="array" ref="A14">IFERROR(_xlfn.TEXTSPLIT(Input!A15,"*"),"")</f>
        <v/>
      </c>
      <c r="Q14">
        <f>_xlfn.XLOOKUP(B14,Input!J:J,Input!I:I,"Missing",0,1)</f>
        <v>0</v>
      </c>
    </row>
    <row r="15" spans="1:17">
      <c r="A15" t="str" cm="1">
        <f t="array" ref="A15">IFERROR(_xlfn.TEXTSPLIT(Input!A16,"*"),"")</f>
        <v/>
      </c>
      <c r="Q15">
        <f>_xlfn.XLOOKUP(B15,Input!J:J,Input!I:I,"Missing",0,1)</f>
        <v>0</v>
      </c>
    </row>
    <row r="16" spans="1:17">
      <c r="A16" t="str" cm="1">
        <f t="array" ref="A16">IFERROR(_xlfn.TEXTSPLIT(Input!A17,"*"),"")</f>
        <v/>
      </c>
      <c r="Q16">
        <f>_xlfn.XLOOKUP(B16,Input!J:J,Input!I:I,"Missing",0,1)</f>
        <v>0</v>
      </c>
    </row>
    <row r="17" spans="1:17">
      <c r="A17" t="str" cm="1">
        <f t="array" ref="A17">IFERROR(_xlfn.TEXTSPLIT(Input!A18,"*"),"")</f>
        <v/>
      </c>
      <c r="Q17">
        <f>_xlfn.XLOOKUP(B17,Input!J:J,Input!I:I,"Missing",0,1)</f>
        <v>0</v>
      </c>
    </row>
    <row r="18" spans="1:17">
      <c r="A18" t="str" cm="1">
        <f t="array" ref="A18">IFERROR(_xlfn.TEXTSPLIT(Input!A19,"*"),"")</f>
        <v/>
      </c>
      <c r="Q18">
        <f>_xlfn.XLOOKUP(B18,Input!J:J,Input!I:I,"Missing",0,1)</f>
        <v>0</v>
      </c>
    </row>
    <row r="19" spans="1:17">
      <c r="A19" t="str" cm="1">
        <f t="array" ref="A19">IFERROR(_xlfn.TEXTSPLIT(Input!A20,"*"),"")</f>
        <v/>
      </c>
      <c r="Q19">
        <f>_xlfn.XLOOKUP(B19,Input!J:J,Input!I:I,"Missing",0,1)</f>
        <v>0</v>
      </c>
    </row>
    <row r="20" spans="1:17">
      <c r="A20" t="str" cm="1">
        <f t="array" ref="A20">IFERROR(_xlfn.TEXTSPLIT(Input!A21,"*"),"")</f>
        <v/>
      </c>
      <c r="Q20">
        <f>_xlfn.XLOOKUP(B20,Input!J:J,Input!I:I,"Missing",0,1)</f>
        <v>0</v>
      </c>
    </row>
    <row r="21" spans="1:17">
      <c r="A21" t="str" cm="1">
        <f t="array" ref="A21">IFERROR(_xlfn.TEXTSPLIT(Input!A22,"*"),"")</f>
        <v/>
      </c>
      <c r="Q21">
        <f>_xlfn.XLOOKUP(B21,Input!J:J,Input!I:I,"Missing",0,1)</f>
        <v>0</v>
      </c>
    </row>
    <row r="22" spans="1:17">
      <c r="A22" t="str" cm="1">
        <f t="array" ref="A22">IFERROR(_xlfn.TEXTSPLIT(Input!A23,"*"),"")</f>
        <v/>
      </c>
      <c r="Q22">
        <f>_xlfn.XLOOKUP(B22,Input!J:J,Input!I:I,"Missing",0,1)</f>
        <v>0</v>
      </c>
    </row>
    <row r="23" spans="1:17">
      <c r="A23" t="str" cm="1">
        <f t="array" ref="A23">IFERROR(_xlfn.TEXTSPLIT(Input!A24,"*"),"")</f>
        <v/>
      </c>
      <c r="Q23">
        <f>_xlfn.XLOOKUP(B23,Input!J:J,Input!I:I,"Missing",0,1)</f>
        <v>0</v>
      </c>
    </row>
    <row r="24" spans="1:17">
      <c r="A24" t="str" cm="1">
        <f t="array" ref="A24">IFERROR(_xlfn.TEXTSPLIT(Input!A25,"*"),"")</f>
        <v/>
      </c>
      <c r="Q24">
        <f>_xlfn.XLOOKUP(B24,Input!J:J,Input!I:I,"Missing",0,1)</f>
        <v>0</v>
      </c>
    </row>
    <row r="25" spans="1:17">
      <c r="A25" t="str" cm="1">
        <f t="array" ref="A25">IFERROR(_xlfn.TEXTSPLIT(Input!A26,"*"),"")</f>
        <v/>
      </c>
      <c r="Q25">
        <f>_xlfn.XLOOKUP(B25,Input!J:J,Input!I:I,"Missing",0,1)</f>
        <v>0</v>
      </c>
    </row>
    <row r="26" spans="1:17">
      <c r="A26" t="str" cm="1">
        <f t="array" ref="A26">IFERROR(_xlfn.TEXTSPLIT(Input!A27,"*"),"")</f>
        <v/>
      </c>
      <c r="Q26">
        <f>_xlfn.XLOOKUP(B26,Input!J:J,Input!I:I,"Missing",0,1)</f>
        <v>0</v>
      </c>
    </row>
    <row r="27" spans="1:17">
      <c r="A27" t="str" cm="1">
        <f t="array" ref="A27">IFERROR(_xlfn.TEXTSPLIT(Input!A28,"*"),"")</f>
        <v/>
      </c>
      <c r="Q27">
        <f>_xlfn.XLOOKUP(B27,Input!J:J,Input!I:I,"Missing",0,1)</f>
        <v>0</v>
      </c>
    </row>
    <row r="28" spans="1:17">
      <c r="A28" t="str" cm="1">
        <f t="array" ref="A28">IFERROR(_xlfn.TEXTSPLIT(Input!A29,"*"),"")</f>
        <v/>
      </c>
      <c r="Q28">
        <f>_xlfn.XLOOKUP(B28,Input!J:J,Input!I:I,"Missing",0,1)</f>
        <v>0</v>
      </c>
    </row>
    <row r="29" spans="1:17">
      <c r="A29" t="str" cm="1">
        <f t="array" ref="A29">IFERROR(_xlfn.TEXTSPLIT(Input!A30,"*"),"")</f>
        <v/>
      </c>
      <c r="Q29">
        <f>_xlfn.XLOOKUP(B29,Input!J:J,Input!I:I,"Missing",0,1)</f>
        <v>0</v>
      </c>
    </row>
    <row r="30" spans="1:17">
      <c r="A30" t="str" cm="1">
        <f t="array" ref="A30">IFERROR(_xlfn.TEXTSPLIT(Input!A31,"*"),"")</f>
        <v/>
      </c>
      <c r="Q30">
        <f>_xlfn.XLOOKUP(B30,Input!J:J,Input!I:I,"Missing",0,1)</f>
        <v>0</v>
      </c>
    </row>
    <row r="31" spans="1:17">
      <c r="A31" t="str" cm="1">
        <f t="array" ref="A31">IFERROR(_xlfn.TEXTSPLIT(Input!A32,"*"),"")</f>
        <v/>
      </c>
      <c r="Q31">
        <f>_xlfn.XLOOKUP(B31,Input!J:J,Input!I:I,"Missing",0,1)</f>
        <v>0</v>
      </c>
    </row>
    <row r="32" spans="1:17">
      <c r="A32" t="str" cm="1">
        <f t="array" ref="A32">IFERROR(_xlfn.TEXTSPLIT(Input!A33,"*"),"")</f>
        <v/>
      </c>
      <c r="Q32">
        <f>_xlfn.XLOOKUP(B32,Input!J:J,Input!I:I,"Missing",0,1)</f>
        <v>0</v>
      </c>
    </row>
    <row r="33" spans="1:17">
      <c r="A33" t="str" cm="1">
        <f t="array" ref="A33">IFERROR(_xlfn.TEXTSPLIT(Input!A34,"*"),"")</f>
        <v/>
      </c>
      <c r="Q33">
        <f>_xlfn.XLOOKUP(B33,Input!J:J,Input!I:I)</f>
        <v>0</v>
      </c>
    </row>
    <row r="34" spans="1:17">
      <c r="A34" t="str" cm="1">
        <f t="array" ref="A34">IFERROR(_xlfn.TEXTSPLIT(Input!A35,"*"),"")</f>
        <v/>
      </c>
      <c r="Q34">
        <f>_xlfn.XLOOKUP(B34,Input!J:J,Input!I:I)</f>
        <v>0</v>
      </c>
    </row>
  </sheetData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963DA2B-B715-491E-AC27-1379016E487C}">
  <sheetPr codeName="Sheet7"/>
  <dimension ref="A1:AI260"/>
  <sheetViews>
    <sheetView topLeftCell="P1" zoomScaleNormal="100" workbookViewId="0">
      <pane ySplit="1" topLeftCell="A2" activePane="bottomLeft" state="frozen"/>
      <selection activeCell="E1" sqref="E1"/>
      <selection pane="bottomLeft" activeCell="Y27" sqref="Y27"/>
    </sheetView>
  </sheetViews>
  <sheetFormatPr defaultRowHeight="15"/>
  <cols>
    <col min="1" max="1" width="15.85546875" customWidth="1"/>
    <col min="2" max="2" width="17" customWidth="1"/>
    <col min="3" max="3" width="17" style="13" hidden="1" customWidth="1"/>
    <col min="4" max="4" width="20.28515625" customWidth="1"/>
    <col min="8" max="8" width="22.42578125" customWidth="1"/>
    <col min="11" max="11" width="18.42578125" customWidth="1"/>
    <col min="12" max="12" width="23.85546875" style="13" customWidth="1"/>
    <col min="13" max="15" width="38.42578125" style="13" customWidth="1"/>
    <col min="16" max="16" width="38.42578125" customWidth="1"/>
    <col min="17" max="17" width="16.28515625" customWidth="1"/>
    <col min="18" max="18" width="15.140625" bestFit="1" customWidth="1"/>
    <col min="19" max="26" width="15.140625" style="13" customWidth="1"/>
    <col min="27" max="27" width="46.5703125" customWidth="1"/>
    <col min="28" max="28" width="17.28515625" bestFit="1" customWidth="1"/>
    <col min="29" max="29" width="15.85546875" bestFit="1" customWidth="1"/>
    <col min="30" max="30" width="18" bestFit="1" customWidth="1"/>
    <col min="31" max="31" width="17.140625" bestFit="1" customWidth="1"/>
    <col min="32" max="32" width="26.7109375" bestFit="1" customWidth="1"/>
    <col min="33" max="34" width="12.5703125" bestFit="1" customWidth="1"/>
    <col min="35" max="35" width="11.28515625" bestFit="1" customWidth="1"/>
  </cols>
  <sheetData>
    <row r="1" spans="1:35" ht="18" thickBot="1">
      <c r="A1" s="1" t="s">
        <v>0</v>
      </c>
      <c r="B1" s="1" t="s">
        <v>1</v>
      </c>
      <c r="C1" s="12" t="s">
        <v>2</v>
      </c>
      <c r="D1" s="1" t="s">
        <v>2</v>
      </c>
      <c r="E1" s="1" t="s">
        <v>3</v>
      </c>
      <c r="F1" s="1" t="s">
        <v>4</v>
      </c>
      <c r="G1" s="1" t="s">
        <v>5</v>
      </c>
      <c r="H1" s="1" t="s">
        <v>6</v>
      </c>
      <c r="I1" s="1" t="s">
        <v>7</v>
      </c>
      <c r="J1" s="1" t="s">
        <v>8</v>
      </c>
      <c r="K1" s="1" t="s">
        <v>9</v>
      </c>
      <c r="L1" s="12" t="s">
        <v>10</v>
      </c>
      <c r="M1" s="12" t="s">
        <v>323</v>
      </c>
      <c r="N1" s="12" t="s">
        <v>324</v>
      </c>
      <c r="O1" s="12" t="s">
        <v>325</v>
      </c>
      <c r="P1" s="1" t="s">
        <v>10</v>
      </c>
      <c r="Q1" s="1" t="s">
        <v>11</v>
      </c>
      <c r="R1" s="1" t="s">
        <v>12</v>
      </c>
      <c r="S1" s="12" t="s">
        <v>336</v>
      </c>
      <c r="T1" s="12" t="s">
        <v>335</v>
      </c>
      <c r="U1" s="42" t="s">
        <v>19</v>
      </c>
      <c r="V1" s="42"/>
      <c r="W1" s="42"/>
      <c r="X1" s="42"/>
      <c r="Y1" s="42"/>
      <c r="Z1" s="42"/>
      <c r="AA1" s="1" t="s">
        <v>13</v>
      </c>
      <c r="AB1" s="1" t="s">
        <v>14</v>
      </c>
      <c r="AC1" s="1" t="s">
        <v>15</v>
      </c>
      <c r="AD1" s="1" t="s">
        <v>16</v>
      </c>
      <c r="AE1" s="1" t="s">
        <v>17</v>
      </c>
      <c r="AF1" s="1" t="s">
        <v>18</v>
      </c>
      <c r="AG1" s="1" t="s">
        <v>19</v>
      </c>
      <c r="AH1" s="1" t="s">
        <v>20</v>
      </c>
      <c r="AI1" s="1" t="s">
        <v>21</v>
      </c>
    </row>
    <row r="2" spans="1:35" ht="15.75" thickTop="1">
      <c r="A2" t="str">
        <f>_xlfn.TEXTJOIN("",TRUE,_xlfn.XLOOKUP(B2,Input!J:J,Input!G:G,"",0,1),_xlfn.XLOOKUP(B2,Input!J:J,Input!H:H,"",0,1))</f>
        <v/>
      </c>
      <c r="B2" cm="1">
        <f t="array" ref="B2">_xlfn.UNIQUE(_xlfn._xlws.FILTER(Input!J2:J500,ISNA(MATCH(Input!J2:J500,MacReports!B:B,0))))</f>
        <v>0</v>
      </c>
      <c r="C2" s="13" t="e">
        <f>_xlfn.XLOOKUP(B2,Input!J:J,Input!F:F)</f>
        <v>#N/A</v>
      </c>
      <c r="D2" t="e">
        <f>_xlfn.XLOOKUP(C2,Models!H:H,Models!G:G,C2)</f>
        <v>#N/A</v>
      </c>
      <c r="F2" t="e">
        <f>_xlfn.XLOOKUP(H2,Models!B:B,Models!F:F,"")</f>
        <v>#N/A</v>
      </c>
      <c r="G2" t="e">
        <f>_xlfn.XLOOKUP(B2,Input!J:J,Input!E:E)</f>
        <v>#N/A</v>
      </c>
      <c r="H2" t="e">
        <f>IF(G2="LENOVO",_xlfn.XLOOKUP(B2,Input!J:J,Input!K:K),_xlfn.XLOOKUP(B2,Input!J:J,Input!L:L))</f>
        <v>#N/A</v>
      </c>
      <c r="K2" t="str">
        <f>_xlfn.XLOOKUP(B2,CPU_Formula!A:A,CPU_Formula!I:I)</f>
        <v/>
      </c>
      <c r="L2" s="13" t="e">
        <f>INDEX(Input!$D$2:$AD$500,
       MATCH(B2, Input!$J$2:$J$500, 0),
       MATCH("Memory Capacity", Input!$D$1:$AD$1, 0))</f>
        <v>#N/A</v>
      </c>
      <c r="M2" s="13" t="e">
        <f>INDEX(Input!$D$2:$AD$500,
       MATCH(B2, Input!$J$2:$J$500, 0),
       MATCH("Memory Type", Input!$D$1:$AD$1, 0))</f>
        <v>#N/A</v>
      </c>
      <c r="N2" s="13" t="e">
        <f>IF(ISNUMBER(L2), L2, SUBSTITUTE(SUBSTITUTE(SUBSTITUTE(L2,"GiB","")," ",""),"/","+"))</f>
        <v>#N/A</v>
      </c>
      <c r="O2" s="13" t="str" cm="1">
        <f t="array" ref="O2">IFERROR(_xlfn.FILTERXML("&lt;t&gt;&lt;s&gt;" &amp; SUBSTITUTE(M2," / ","&lt;/s&gt;&lt;s&gt;") &amp; "&lt;/s&gt;&lt;/t&gt;","(//s[contains(.,'DDR')])[1]"),"")</f>
        <v/>
      </c>
      <c r="P2" t="e">
        <f>_xlfn.TEXTJOIN(" ",TRUE,N2,"GB",O2)</f>
        <v>#N/A</v>
      </c>
      <c r="Q2" t="str" cm="1">
        <f t="array" ref="Q2">_xlfn.TEXTJOIN(", ", TRUE, _xlfn._xlws.FILTER(Input!W:W, Input!J:J=B2))</f>
        <v/>
      </c>
      <c r="S2" s="13" t="e">
        <f>_xlfn.LET(_xlpm.Result,_xlfn.XLOOKUP(B2,Input!J:J,Input!AB:AB),IF(_xlpm.Result="","",_xlpm.Result))</f>
        <v>#N/A</v>
      </c>
      <c r="T2" s="13" t="str" cm="1">
        <f t="array" ref="T2">IFERROR(_xlfn.IFS(
   --S2&lt;55,"Battery Defect",
  -- S2&lt;=69,"Battery D",
  --S2&lt;=80,"Battery C",
 --S2&gt;80,""
),"")</f>
        <v/>
      </c>
      <c r="U2" s="13" t="str" cm="1">
        <f t="array" ref="U2">IFERROR(IF(_xlfn.XLOOKUP(B2,Input!J:J,Input!N:S)=0,"",
          _xlfn.XLOOKUP(B2,Input!J:J,Input!N:S)),"")</f>
        <v/>
      </c>
      <c r="AA2" t="str">
        <f>_xlfn.TEXTJOIN(", ",TRUE,T2,U2,V2,W2,X2,Y2,Z2)</f>
        <v/>
      </c>
      <c r="AB2" t="str">
        <f>_xlfn.XLOOKUP(B:B,Disk_Pivot!G:G,Disk_Pivot!I:I)</f>
        <v>No</v>
      </c>
      <c r="AC2" t="str">
        <f>_xlfn.XLOOKUP(B2,Disk_Pivot!G:G,Disk_Pivot!N:N)</f>
        <v/>
      </c>
    </row>
    <row r="3" spans="1:35">
      <c r="A3" t="str">
        <f>_xlfn.TEXTJOIN("",TRUE,_xlfn.XLOOKUP(B3,Input!J:J,Input!G:G,"",0,1),_xlfn.XLOOKUP(B3,Input!J:J,Input!H:H,"",0,1))</f>
        <v/>
      </c>
      <c r="C3" s="13">
        <f>_xlfn.XLOOKUP(B3,Input!J:J,Input!F:F)</f>
        <v>0</v>
      </c>
      <c r="D3">
        <f>_xlfn.XLOOKUP(C3,Models!H:H,Models!G:G,C3)</f>
        <v>0</v>
      </c>
      <c r="F3" t="str">
        <f>_xlfn.XLOOKUP(H3,Models!B:B,Models!F:F,"")</f>
        <v/>
      </c>
      <c r="G3">
        <f>_xlfn.XLOOKUP(B3,Input!J:J,Input!E:E)</f>
        <v>0</v>
      </c>
      <c r="H3">
        <f>IF(G3="LENOVO",_xlfn.XLOOKUP(B3,Input!J:J,Input!K:K),_xlfn.XLOOKUP(B3,Input!J:J,Input!L:L))</f>
        <v>0</v>
      </c>
      <c r="K3">
        <f>_xlfn.XLOOKUP(B3,CPU_Formula!A:A,CPU_Formula!I:I)</f>
        <v>0</v>
      </c>
      <c r="L3" s="13" t="e">
        <f>INDEX(Input!$D$2:$AD$500,
       MATCH(B3, Input!$J$2:$J$500, 0),
       MATCH("Memory Capacity", Input!$D$1:$AD$1, 0))</f>
        <v>#N/A</v>
      </c>
      <c r="M3" s="13" t="e">
        <f>INDEX(Input!$D$2:$AD$500,
       MATCH(B3, Input!$J$2:$J$500, 0),
       MATCH("Memory Type", Input!$D$1:$AD$1, 0))</f>
        <v>#N/A</v>
      </c>
      <c r="N3" s="13" t="e">
        <f t="shared" ref="N3:N66" si="0">IF(ISNUMBER(L3), L3, SUBSTITUTE(SUBSTITUTE(SUBSTITUTE(L3,"GiB","")," ",""),"/","+"))</f>
        <v>#N/A</v>
      </c>
      <c r="O3" s="13" t="str" cm="1">
        <f t="array" ref="O3">IFERROR(_xlfn.FILTERXML("&lt;t&gt;&lt;s&gt;" &amp; SUBSTITUTE(M3," / ","&lt;/s&gt;&lt;s&gt;") &amp; "&lt;/s&gt;&lt;/t&gt;","(//s[contains(.,'DDR')])[1]"),"")</f>
        <v/>
      </c>
      <c r="P3" t="e">
        <f t="shared" ref="P3:P66" si="1">_xlfn.TEXTJOIN(" ",TRUE,N3,"GB",O3)</f>
        <v>#N/A</v>
      </c>
      <c r="Q3" t="str" cm="1">
        <f t="array" ref="Q3">_xlfn.TEXTJOIN(", ", TRUE, _xlfn._xlws.FILTER(Input!W:W, Input!J:J=B3))</f>
        <v/>
      </c>
      <c r="S3" s="13" t="str">
        <f>_xlfn.LET(_xlpm.Result,_xlfn.XLOOKUP(B3,Input!J:J,Input!AB:AB),IF(_xlpm.Result="","",_xlpm.Result))</f>
        <v/>
      </c>
      <c r="T3" s="13" t="str" cm="1">
        <f t="array" ref="T3">IFERROR(_xlfn.IFS(
   --S3&lt;55,"Battery Defect",
  -- S3&lt;=69,"Battery D",
  --S3&lt;=80,"Battery C",
 --S3&gt;80,""
),"")</f>
        <v/>
      </c>
      <c r="U3" s="13" t="str" cm="1">
        <f t="array" ref="U3:Z3">IFERROR(IF(_xlfn.XLOOKUP(B3,Input!J:J,Input!N:S)=0,"",
          _xlfn.XLOOKUP(B3,Input!J:J,Input!N:S)),"")</f>
        <v/>
      </c>
      <c r="V3" s="13" t="str">
        <v/>
      </c>
      <c r="W3" s="13" t="str">
        <v/>
      </c>
      <c r="X3" s="13" t="str">
        <v/>
      </c>
      <c r="Y3" s="13" t="str">
        <v/>
      </c>
      <c r="Z3" s="13" t="str">
        <v/>
      </c>
      <c r="AA3" t="str">
        <f t="shared" ref="AA3:AA66" si="2">_xlfn.TEXTJOIN(", ",TRUE,T3,U3,V3,W3,X3,Y3,Z3)</f>
        <v/>
      </c>
      <c r="AB3" t="str">
        <f>_xlfn.XLOOKUP(B:B,Disk_Pivot!G:G,Disk_Pivot!I:I)</f>
        <v>No</v>
      </c>
      <c r="AC3" t="str">
        <f>_xlfn.XLOOKUP(B3,Disk_Pivot!G:G,Disk_Pivot!N:N)</f>
        <v/>
      </c>
    </row>
    <row r="4" spans="1:35">
      <c r="A4" t="str">
        <f>_xlfn.TEXTJOIN("",TRUE,_xlfn.XLOOKUP(B4,Input!J:J,Input!G:G,"",0,1),_xlfn.XLOOKUP(B4,Input!J:J,Input!H:H,"",0,1))</f>
        <v/>
      </c>
      <c r="C4" s="13">
        <f>_xlfn.XLOOKUP(B4,Input!J:J,Input!F:F)</f>
        <v>0</v>
      </c>
      <c r="D4">
        <f>_xlfn.XLOOKUP(C4,Models!H:H,Models!G:G,C4)</f>
        <v>0</v>
      </c>
      <c r="F4" t="str">
        <f>_xlfn.XLOOKUP(H4,Models!B:B,Models!F:F,"")</f>
        <v/>
      </c>
      <c r="G4">
        <f>_xlfn.XLOOKUP(B4,Input!J:J,Input!E:E)</f>
        <v>0</v>
      </c>
      <c r="H4">
        <f>IF(G4="LENOVO",_xlfn.XLOOKUP(B4,Input!J:J,Input!K:K),_xlfn.XLOOKUP(B4,Input!J:J,Input!L:L))</f>
        <v>0</v>
      </c>
      <c r="K4">
        <f>_xlfn.XLOOKUP(B4,CPU_Formula!A:A,CPU_Formula!I:I)</f>
        <v>0</v>
      </c>
      <c r="L4" s="13" t="e">
        <f>INDEX(Input!$D$2:$AD$500,
       MATCH(B4, Input!$J$2:$J$500, 0),
       MATCH("Memory Capacity", Input!$D$1:$AD$1, 0))</f>
        <v>#N/A</v>
      </c>
      <c r="M4" s="13" t="e">
        <f>INDEX(Input!$D$2:$AD$500,
       MATCH(B4, Input!$J$2:$J$500, 0),
       MATCH("Memory Type", Input!$D$1:$AD$1, 0))</f>
        <v>#N/A</v>
      </c>
      <c r="N4" s="13" t="e">
        <f t="shared" si="0"/>
        <v>#N/A</v>
      </c>
      <c r="O4" s="13" t="str" cm="1">
        <f t="array" ref="O4">IFERROR(_xlfn.FILTERXML("&lt;t&gt;&lt;s&gt;" &amp; SUBSTITUTE(M4," / ","&lt;/s&gt;&lt;s&gt;") &amp; "&lt;/s&gt;&lt;/t&gt;","(//s[contains(.,'DDR')])[1]"),"")</f>
        <v/>
      </c>
      <c r="P4" t="e">
        <f t="shared" si="1"/>
        <v>#N/A</v>
      </c>
      <c r="Q4" t="str" cm="1">
        <f t="array" ref="Q4">_xlfn.TEXTJOIN(", ", TRUE, _xlfn._xlws.FILTER(Input!W:W, Input!J:J=B4))</f>
        <v/>
      </c>
      <c r="S4" s="13" t="str">
        <f>_xlfn.LET(_xlpm.Result,_xlfn.XLOOKUP(B4,Input!J:J,Input!AB:AB),IF(_xlpm.Result="","",_xlpm.Result))</f>
        <v/>
      </c>
      <c r="T4" s="13" t="str" cm="1">
        <f t="array" ref="T4">IFERROR(_xlfn.IFS(
   --S4&lt;55,"Battery Defect",
  -- S4&lt;=69,"Battery D",
  --S4&lt;=80,"Battery C",
 --S4&gt;80,""
),"")</f>
        <v/>
      </c>
      <c r="U4" s="13" t="str" cm="1">
        <f t="array" ref="U4:Z4">IFERROR(IF(_xlfn.XLOOKUP(B4,Input!J:J,Input!N:S)=0,"",
          _xlfn.XLOOKUP(B4,Input!J:J,Input!N:S)),"")</f>
        <v/>
      </c>
      <c r="V4" s="13" t="str">
        <v/>
      </c>
      <c r="W4" s="13" t="str">
        <v/>
      </c>
      <c r="X4" s="13" t="str">
        <v/>
      </c>
      <c r="Y4" s="13" t="str">
        <v/>
      </c>
      <c r="Z4" s="13" t="str">
        <v/>
      </c>
      <c r="AA4" t="str">
        <f t="shared" si="2"/>
        <v/>
      </c>
      <c r="AB4" t="str">
        <f>_xlfn.XLOOKUP(B:B,Disk_Pivot!G:G,Disk_Pivot!I:I)</f>
        <v>No</v>
      </c>
      <c r="AC4" t="str">
        <f>_xlfn.XLOOKUP(B4,Disk_Pivot!G:G,Disk_Pivot!N:N)</f>
        <v/>
      </c>
    </row>
    <row r="5" spans="1:35">
      <c r="A5" t="str">
        <f>_xlfn.TEXTJOIN("",TRUE,_xlfn.XLOOKUP(B5,Input!J:J,Input!G:G,"",0,1),_xlfn.XLOOKUP(B5,Input!J:J,Input!H:H,"",0,1))</f>
        <v/>
      </c>
      <c r="C5" s="13">
        <f>_xlfn.XLOOKUP(B5,Input!J:J,Input!F:F)</f>
        <v>0</v>
      </c>
      <c r="D5">
        <f>_xlfn.XLOOKUP(C5,Models!H:H,Models!G:G,C5)</f>
        <v>0</v>
      </c>
      <c r="F5" t="str">
        <f>_xlfn.XLOOKUP(H5,Models!B:B,Models!F:F,"")</f>
        <v/>
      </c>
      <c r="G5">
        <f>_xlfn.XLOOKUP(B5,Input!J:J,Input!E:E)</f>
        <v>0</v>
      </c>
      <c r="H5">
        <f>IF(G5="LENOVO",_xlfn.XLOOKUP(B5,Input!J:J,Input!K:K),_xlfn.XLOOKUP(B5,Input!J:J,Input!L:L))</f>
        <v>0</v>
      </c>
      <c r="K5">
        <f>_xlfn.XLOOKUP(B5,CPU_Formula!A:A,CPU_Formula!I:I)</f>
        <v>0</v>
      </c>
      <c r="L5" s="13" t="e">
        <f>INDEX(Input!$D$2:$AD$500,
       MATCH(B5, Input!$J$2:$J$500, 0),
       MATCH("Memory Capacity", Input!$D$1:$AD$1, 0))</f>
        <v>#N/A</v>
      </c>
      <c r="M5" s="13" t="e">
        <f>INDEX(Input!$D$2:$AD$500,
       MATCH(B5, Input!$J$2:$J$500, 0),
       MATCH("Memory Type", Input!$D$1:$AD$1, 0))</f>
        <v>#N/A</v>
      </c>
      <c r="N5" s="13" t="e">
        <f t="shared" si="0"/>
        <v>#N/A</v>
      </c>
      <c r="O5" s="13" t="str" cm="1">
        <f t="array" ref="O5">IFERROR(_xlfn.FILTERXML("&lt;t&gt;&lt;s&gt;" &amp; SUBSTITUTE(M5," / ","&lt;/s&gt;&lt;s&gt;") &amp; "&lt;/s&gt;&lt;/t&gt;","(//s[contains(.,'DDR')])[1]"),"")</f>
        <v/>
      </c>
      <c r="P5" t="e">
        <f t="shared" si="1"/>
        <v>#N/A</v>
      </c>
      <c r="Q5" t="str" cm="1">
        <f t="array" ref="Q5">_xlfn.TEXTJOIN(", ", TRUE, _xlfn._xlws.FILTER(Input!W:W, Input!J:J=B5))</f>
        <v/>
      </c>
      <c r="S5" s="13" t="str">
        <f>_xlfn.LET(_xlpm.Result,_xlfn.XLOOKUP(B5,Input!J:J,Input!AB:AB),IF(_xlpm.Result="","",_xlpm.Result))</f>
        <v/>
      </c>
      <c r="T5" s="13" t="str" cm="1">
        <f t="array" ref="T5">IFERROR(_xlfn.IFS(
   --S5&lt;55,"Battery Defect",
  -- S5&lt;=69,"Battery D",
  --S5&lt;=80,"Battery C",
 --S5&gt;80,""
),"")</f>
        <v/>
      </c>
      <c r="U5" s="13" t="str" cm="1">
        <f t="array" ref="U5:Z5">IFERROR(IF(_xlfn.XLOOKUP(B5,Input!J:J,Input!N:S)=0,"",
          _xlfn.XLOOKUP(B5,Input!J:J,Input!N:S)),"")</f>
        <v/>
      </c>
      <c r="V5" s="13" t="str">
        <v/>
      </c>
      <c r="W5" s="13" t="str">
        <v/>
      </c>
      <c r="X5" s="13" t="str">
        <v/>
      </c>
      <c r="Y5" s="13" t="str">
        <v/>
      </c>
      <c r="Z5" s="13" t="str">
        <v/>
      </c>
      <c r="AA5" t="str">
        <f t="shared" si="2"/>
        <v/>
      </c>
      <c r="AB5" t="str">
        <f>_xlfn.XLOOKUP(B:B,Disk_Pivot!G:G,Disk_Pivot!I:I)</f>
        <v>No</v>
      </c>
      <c r="AC5" t="str">
        <f>_xlfn.XLOOKUP(B5,Disk_Pivot!G:G,Disk_Pivot!N:N)</f>
        <v/>
      </c>
    </row>
    <row r="6" spans="1:35">
      <c r="A6" t="str">
        <f>_xlfn.TEXTJOIN("",TRUE,_xlfn.XLOOKUP(B6,Input!J:J,Input!G:G,"",0,1),_xlfn.XLOOKUP(B6,Input!J:J,Input!H:H,"",0,1))</f>
        <v/>
      </c>
      <c r="C6" s="13">
        <f>_xlfn.XLOOKUP(B6,Input!J:J,Input!F:F)</f>
        <v>0</v>
      </c>
      <c r="D6">
        <f>_xlfn.XLOOKUP(C6,Models!H:H,Models!G:G,C6)</f>
        <v>0</v>
      </c>
      <c r="F6" t="str">
        <f>_xlfn.XLOOKUP(H6,Models!B:B,Models!F:F,"")</f>
        <v/>
      </c>
      <c r="G6">
        <f>_xlfn.XLOOKUP(B6,Input!J:J,Input!E:E)</f>
        <v>0</v>
      </c>
      <c r="H6">
        <f>IF(G6="LENOVO",_xlfn.XLOOKUP(B6,Input!J:J,Input!K:K),_xlfn.XLOOKUP(B6,Input!J:J,Input!L:L))</f>
        <v>0</v>
      </c>
      <c r="K6">
        <f>_xlfn.XLOOKUP(B6,CPU_Formula!A:A,CPU_Formula!I:I)</f>
        <v>0</v>
      </c>
      <c r="L6" s="13" t="e">
        <f>INDEX(Input!$D$2:$AD$500,
       MATCH(B6, Input!$J$2:$J$500, 0),
       MATCH("Memory Capacity", Input!$D$1:$AD$1, 0))</f>
        <v>#N/A</v>
      </c>
      <c r="M6" s="13" t="e">
        <f>INDEX(Input!$D$2:$AD$500,
       MATCH(B6, Input!$J$2:$J$500, 0),
       MATCH("Memory Type", Input!$D$1:$AD$1, 0))</f>
        <v>#N/A</v>
      </c>
      <c r="N6" s="13" t="e">
        <f t="shared" si="0"/>
        <v>#N/A</v>
      </c>
      <c r="O6" s="13" t="str" cm="1">
        <f t="array" ref="O6">IFERROR(_xlfn.FILTERXML("&lt;t&gt;&lt;s&gt;" &amp; SUBSTITUTE(M6," / ","&lt;/s&gt;&lt;s&gt;") &amp; "&lt;/s&gt;&lt;/t&gt;","(//s[contains(.,'DDR')])[1]"),"")</f>
        <v/>
      </c>
      <c r="P6" t="e">
        <f t="shared" si="1"/>
        <v>#N/A</v>
      </c>
      <c r="Q6" t="str" cm="1">
        <f t="array" ref="Q6">_xlfn.TEXTJOIN(", ", TRUE, _xlfn._xlws.FILTER(Input!W:W, Input!J:J=B6))</f>
        <v/>
      </c>
      <c r="S6" s="13" t="str">
        <f>_xlfn.LET(_xlpm.Result,_xlfn.XLOOKUP(B6,Input!J:J,Input!AB:AB),IF(_xlpm.Result="","",_xlpm.Result))</f>
        <v/>
      </c>
      <c r="T6" s="13" t="str" cm="1">
        <f t="array" ref="T6">IFERROR(_xlfn.IFS(
   --S6&lt;55,"Battery Defect",
  -- S6&lt;=69,"Battery D",
  --S6&lt;=80,"Battery C",
 --S6&gt;80,""
),"")</f>
        <v/>
      </c>
      <c r="U6" s="13" t="str" cm="1">
        <f t="array" ref="U6:Z6">IFERROR(IF(_xlfn.XLOOKUP(B6,Input!J:J,Input!N:S)=0,"",
          _xlfn.XLOOKUP(B6,Input!J:J,Input!N:S)),"")</f>
        <v/>
      </c>
      <c r="V6" s="13" t="str">
        <v/>
      </c>
      <c r="W6" s="13" t="str">
        <v/>
      </c>
      <c r="X6" s="13" t="str">
        <v/>
      </c>
      <c r="Y6" s="13" t="str">
        <v/>
      </c>
      <c r="Z6" s="13" t="str">
        <v/>
      </c>
      <c r="AA6" t="str">
        <f t="shared" si="2"/>
        <v/>
      </c>
      <c r="AB6" t="str">
        <f>_xlfn.XLOOKUP(B:B,Disk_Pivot!G:G,Disk_Pivot!I:I)</f>
        <v>No</v>
      </c>
      <c r="AC6" t="str">
        <f>_xlfn.XLOOKUP(B6,Disk_Pivot!G:G,Disk_Pivot!N:N)</f>
        <v/>
      </c>
    </row>
    <row r="7" spans="1:35">
      <c r="A7" t="str">
        <f>_xlfn.TEXTJOIN("",TRUE,_xlfn.XLOOKUP(B7,Input!J:J,Input!G:G,"",0,1),_xlfn.XLOOKUP(B7,Input!J:J,Input!H:H,"",0,1))</f>
        <v/>
      </c>
      <c r="C7" s="13">
        <f>_xlfn.XLOOKUP(B7,Input!J:J,Input!F:F)</f>
        <v>0</v>
      </c>
      <c r="D7">
        <f>_xlfn.XLOOKUP(C7,Models!H:H,Models!G:G,C7)</f>
        <v>0</v>
      </c>
      <c r="F7" t="str">
        <f>_xlfn.XLOOKUP(H7,Models!B:B,Models!F:F,"")</f>
        <v/>
      </c>
      <c r="G7">
        <f>_xlfn.XLOOKUP(B7,Input!J:J,Input!E:E)</f>
        <v>0</v>
      </c>
      <c r="H7">
        <f>IF(G7="LENOVO",_xlfn.XLOOKUP(B7,Input!J:J,Input!K:K),_xlfn.XLOOKUP(B7,Input!J:J,Input!L:L))</f>
        <v>0</v>
      </c>
      <c r="K7">
        <f>_xlfn.XLOOKUP(B7,CPU_Formula!A:A,CPU_Formula!I:I)</f>
        <v>0</v>
      </c>
      <c r="L7" s="13" t="e">
        <f>INDEX(Input!$D$2:$AD$500,
       MATCH(B7, Input!$J$2:$J$500, 0),
       MATCH("Memory Capacity", Input!$D$1:$AD$1, 0))</f>
        <v>#N/A</v>
      </c>
      <c r="M7" s="13" t="e">
        <f>INDEX(Input!$D$2:$AD$500,
       MATCH(B7, Input!$J$2:$J$500, 0),
       MATCH("Memory Type", Input!$D$1:$AD$1, 0))</f>
        <v>#N/A</v>
      </c>
      <c r="N7" s="13" t="e">
        <f t="shared" si="0"/>
        <v>#N/A</v>
      </c>
      <c r="O7" s="13" t="str" cm="1">
        <f t="array" ref="O7">IFERROR(_xlfn.FILTERXML("&lt;t&gt;&lt;s&gt;" &amp; SUBSTITUTE(M7," / ","&lt;/s&gt;&lt;s&gt;") &amp; "&lt;/s&gt;&lt;/t&gt;","(//s[contains(.,'DDR')])[1]"),"")</f>
        <v/>
      </c>
      <c r="P7" t="e">
        <f t="shared" si="1"/>
        <v>#N/A</v>
      </c>
      <c r="Q7" t="str" cm="1">
        <f t="array" ref="Q7">_xlfn.TEXTJOIN(", ", TRUE, _xlfn._xlws.FILTER(Input!W:W, Input!J:J=B7))</f>
        <v/>
      </c>
      <c r="S7" s="13" t="str">
        <f>_xlfn.LET(_xlpm.Result,_xlfn.XLOOKUP(B7,Input!J:J,Input!AB:AB),IF(_xlpm.Result="","",_xlpm.Result))</f>
        <v/>
      </c>
      <c r="T7" s="13" t="str" cm="1">
        <f t="array" ref="T7">IFERROR(_xlfn.IFS(
   --S7&lt;55,"Battery Defect",
  -- S7&lt;=69,"Battery D",
  --S7&lt;=80,"Battery C",
 --S7&gt;80,""
),"")</f>
        <v/>
      </c>
      <c r="U7" s="13" t="str" cm="1">
        <f t="array" ref="U7:Z7">IFERROR(IF(_xlfn.XLOOKUP(B7,Input!J:J,Input!N:S)=0,"",
          _xlfn.XLOOKUP(B7,Input!J:J,Input!N:S)),"")</f>
        <v/>
      </c>
      <c r="V7" s="13" t="str">
        <v/>
      </c>
      <c r="W7" s="13" t="str">
        <v/>
      </c>
      <c r="X7" s="13" t="str">
        <v/>
      </c>
      <c r="Y7" s="13" t="str">
        <v/>
      </c>
      <c r="Z7" s="13" t="str">
        <v/>
      </c>
      <c r="AA7" t="str">
        <f t="shared" si="2"/>
        <v/>
      </c>
      <c r="AB7" t="str">
        <f>_xlfn.XLOOKUP(B:B,Disk_Pivot!G:G,Disk_Pivot!I:I)</f>
        <v>No</v>
      </c>
      <c r="AC7" t="str">
        <f>_xlfn.XLOOKUP(B7,Disk_Pivot!G:G,Disk_Pivot!N:N)</f>
        <v/>
      </c>
    </row>
    <row r="8" spans="1:35">
      <c r="A8" t="str">
        <f>_xlfn.TEXTJOIN("",TRUE,_xlfn.XLOOKUP(B8,Input!J:J,Input!G:G,"",0,1),_xlfn.XLOOKUP(B8,Input!J:J,Input!H:H,"",0,1))</f>
        <v/>
      </c>
      <c r="C8" s="13">
        <f>_xlfn.XLOOKUP(B8,Input!J:J,Input!F:F)</f>
        <v>0</v>
      </c>
      <c r="D8">
        <f>_xlfn.XLOOKUP(C8,Models!H:H,Models!G:G,C8)</f>
        <v>0</v>
      </c>
      <c r="F8" t="str">
        <f>_xlfn.XLOOKUP(H8,Models!B:B,Models!F:F,"")</f>
        <v/>
      </c>
      <c r="G8">
        <f>_xlfn.XLOOKUP(B8,Input!J:J,Input!E:E)</f>
        <v>0</v>
      </c>
      <c r="H8">
        <f>IF(G8="LENOVO",_xlfn.XLOOKUP(B8,Input!J:J,Input!K:K),_xlfn.XLOOKUP(B8,Input!J:J,Input!L:L))</f>
        <v>0</v>
      </c>
      <c r="K8">
        <f>_xlfn.XLOOKUP(B8,CPU_Formula!A:A,CPU_Formula!I:I)</f>
        <v>0</v>
      </c>
      <c r="L8" s="13" t="e">
        <f>INDEX(Input!$D$2:$AD$500,
       MATCH(B8, Input!$J$2:$J$500, 0),
       MATCH("Memory Capacity", Input!$D$1:$AD$1, 0))</f>
        <v>#N/A</v>
      </c>
      <c r="M8" s="13" t="e">
        <f>INDEX(Input!$D$2:$AD$500,
       MATCH(B8, Input!$J$2:$J$500, 0),
       MATCH("Memory Type", Input!$D$1:$AD$1, 0))</f>
        <v>#N/A</v>
      </c>
      <c r="N8" s="13" t="e">
        <f t="shared" si="0"/>
        <v>#N/A</v>
      </c>
      <c r="O8" s="13" t="str" cm="1">
        <f t="array" ref="O8">IFERROR(_xlfn.FILTERXML("&lt;t&gt;&lt;s&gt;" &amp; SUBSTITUTE(M8," / ","&lt;/s&gt;&lt;s&gt;") &amp; "&lt;/s&gt;&lt;/t&gt;","(//s[contains(.,'DDR')])[1]"),"")</f>
        <v/>
      </c>
      <c r="P8" t="e">
        <f t="shared" si="1"/>
        <v>#N/A</v>
      </c>
      <c r="Q8" t="str" cm="1">
        <f t="array" ref="Q8">_xlfn.TEXTJOIN(", ", TRUE, _xlfn._xlws.FILTER(Input!W:W, Input!J:J=B8))</f>
        <v/>
      </c>
      <c r="S8" s="13" t="str">
        <f>_xlfn.LET(_xlpm.Result,_xlfn.XLOOKUP(B8,Input!J:J,Input!AB:AB),IF(_xlpm.Result="","",_xlpm.Result))</f>
        <v/>
      </c>
      <c r="T8" s="13" t="str" cm="1">
        <f t="array" ref="T8">IFERROR(_xlfn.IFS(
   --S8&lt;55,"Battery Defect",
  -- S8&lt;=69,"Battery D",
  --S8&lt;=80,"Battery C",
 --S8&gt;80,""
),"")</f>
        <v/>
      </c>
      <c r="U8" s="13" t="str" cm="1">
        <f t="array" ref="U8:Z8">IFERROR(IF(_xlfn.XLOOKUP(B8,Input!J:J,Input!N:S)=0,"",
          _xlfn.XLOOKUP(B8,Input!J:J,Input!N:S)),"")</f>
        <v/>
      </c>
      <c r="V8" s="13" t="str">
        <v/>
      </c>
      <c r="W8" s="13" t="str">
        <v/>
      </c>
      <c r="X8" s="13" t="str">
        <v/>
      </c>
      <c r="Y8" s="13" t="str">
        <v/>
      </c>
      <c r="Z8" s="13" t="str">
        <v/>
      </c>
      <c r="AA8" t="str">
        <f t="shared" si="2"/>
        <v/>
      </c>
      <c r="AB8" t="str">
        <f>_xlfn.XLOOKUP(B:B,Disk_Pivot!G:G,Disk_Pivot!I:I)</f>
        <v>No</v>
      </c>
      <c r="AC8" t="str">
        <f>_xlfn.XLOOKUP(B8,Disk_Pivot!G:G,Disk_Pivot!N:N)</f>
        <v/>
      </c>
    </row>
    <row r="9" spans="1:35">
      <c r="A9" t="str">
        <f>_xlfn.TEXTJOIN("",TRUE,_xlfn.XLOOKUP(B9,Input!J:J,Input!G:G,"",0,1),_xlfn.XLOOKUP(B9,Input!J:J,Input!H:H,"",0,1))</f>
        <v/>
      </c>
      <c r="C9" s="13">
        <f>_xlfn.XLOOKUP(B9,Input!J:J,Input!F:F)</f>
        <v>0</v>
      </c>
      <c r="D9">
        <f>_xlfn.XLOOKUP(C9,Models!H:H,Models!G:G,C9)</f>
        <v>0</v>
      </c>
      <c r="F9" t="str">
        <f>_xlfn.XLOOKUP(H9,Models!B:B,Models!F:F,"")</f>
        <v/>
      </c>
      <c r="G9">
        <f>_xlfn.XLOOKUP(B9,Input!J:J,Input!E:E)</f>
        <v>0</v>
      </c>
      <c r="H9">
        <f>IF(G9="LENOVO",_xlfn.XLOOKUP(B9,Input!J:J,Input!K:K),_xlfn.XLOOKUP(B9,Input!J:J,Input!L:L))</f>
        <v>0</v>
      </c>
      <c r="K9">
        <f>_xlfn.XLOOKUP(B9,CPU_Formula!A:A,CPU_Formula!I:I)</f>
        <v>0</v>
      </c>
      <c r="L9" s="13" t="e">
        <f>INDEX(Input!$D$2:$AD$500,
       MATCH(B9, Input!$J$2:$J$500, 0),
       MATCH("Memory Capacity", Input!$D$1:$AD$1, 0))</f>
        <v>#N/A</v>
      </c>
      <c r="M9" s="13" t="e">
        <f>INDEX(Input!$D$2:$AD$500,
       MATCH(B9, Input!$J$2:$J$500, 0),
       MATCH("Memory Type", Input!$D$1:$AD$1, 0))</f>
        <v>#N/A</v>
      </c>
      <c r="N9" s="13" t="e">
        <f t="shared" si="0"/>
        <v>#N/A</v>
      </c>
      <c r="O9" s="13" t="str" cm="1">
        <f t="array" ref="O9">IFERROR(_xlfn.FILTERXML("&lt;t&gt;&lt;s&gt;" &amp; SUBSTITUTE(M9," / ","&lt;/s&gt;&lt;s&gt;") &amp; "&lt;/s&gt;&lt;/t&gt;","(//s[contains(.,'DDR')])[1]"),"")</f>
        <v/>
      </c>
      <c r="P9" t="e">
        <f t="shared" si="1"/>
        <v>#N/A</v>
      </c>
      <c r="Q9" t="str" cm="1">
        <f t="array" ref="Q9">_xlfn.TEXTJOIN(", ", TRUE, _xlfn._xlws.FILTER(Input!W:W, Input!J:J=B9))</f>
        <v/>
      </c>
      <c r="S9" s="13" t="str">
        <f>_xlfn.LET(_xlpm.Result,_xlfn.XLOOKUP(B9,Input!J:J,Input!AB:AB),IF(_xlpm.Result="","",_xlpm.Result))</f>
        <v/>
      </c>
      <c r="T9" s="13" t="str" cm="1">
        <f t="array" ref="T9">IFERROR(_xlfn.IFS(
   --S9&lt;55,"Battery Defect",
  -- S9&lt;=69,"Battery D",
  --S9&lt;=80,"Battery C",
 --S9&gt;80,""
),"")</f>
        <v/>
      </c>
      <c r="U9" s="13" t="str" cm="1">
        <f t="array" ref="U9:Z9">IFERROR(IF(_xlfn.XLOOKUP(B9,Input!J:J,Input!N:S)=0,"",
          _xlfn.XLOOKUP(B9,Input!J:J,Input!N:S)),"")</f>
        <v/>
      </c>
      <c r="V9" s="13" t="str">
        <v/>
      </c>
      <c r="W9" s="13" t="str">
        <v/>
      </c>
      <c r="X9" s="13" t="str">
        <v/>
      </c>
      <c r="Y9" s="13" t="str">
        <v/>
      </c>
      <c r="Z9" s="13" t="str">
        <v/>
      </c>
      <c r="AA9" t="str">
        <f t="shared" si="2"/>
        <v/>
      </c>
      <c r="AB9" t="str">
        <f>_xlfn.XLOOKUP(B:B,Disk_Pivot!G:G,Disk_Pivot!I:I)</f>
        <v>No</v>
      </c>
      <c r="AC9" t="str">
        <f>_xlfn.XLOOKUP(B9,Disk_Pivot!G:G,Disk_Pivot!N:N)</f>
        <v/>
      </c>
    </row>
    <row r="10" spans="1:35">
      <c r="A10" t="str">
        <f>_xlfn.TEXTJOIN("",TRUE,_xlfn.XLOOKUP(B10,Input!J:J,Input!G:G,"",0,1),_xlfn.XLOOKUP(B10,Input!J:J,Input!H:H,"",0,1))</f>
        <v/>
      </c>
      <c r="C10" s="13">
        <f>_xlfn.XLOOKUP(B10,Input!J:J,Input!F:F)</f>
        <v>0</v>
      </c>
      <c r="D10">
        <f>_xlfn.XLOOKUP(C10,Models!H:H,Models!G:G,C10)</f>
        <v>0</v>
      </c>
      <c r="F10" t="str">
        <f>_xlfn.XLOOKUP(H10,Models!B:B,Models!F:F,"")</f>
        <v/>
      </c>
      <c r="G10">
        <f>_xlfn.XLOOKUP(B10,Input!J:J,Input!E:E)</f>
        <v>0</v>
      </c>
      <c r="H10">
        <f>IF(G10="LENOVO",_xlfn.XLOOKUP(B10,Input!J:J,Input!K:K),_xlfn.XLOOKUP(B10,Input!J:J,Input!L:L))</f>
        <v>0</v>
      </c>
      <c r="K10">
        <f>_xlfn.XLOOKUP(B10,CPU_Formula!A:A,CPU_Formula!I:I)</f>
        <v>0</v>
      </c>
      <c r="L10" s="13" t="e">
        <f>INDEX(Input!$D$2:$AD$500,
       MATCH(B10, Input!$J$2:$J$500, 0),
       MATCH("Memory Capacity", Input!$D$1:$AD$1, 0))</f>
        <v>#N/A</v>
      </c>
      <c r="M10" s="13" t="e">
        <f>INDEX(Input!$D$2:$AD$500,
       MATCH(B10, Input!$J$2:$J$500, 0),
       MATCH("Memory Type", Input!$D$1:$AD$1, 0))</f>
        <v>#N/A</v>
      </c>
      <c r="N10" s="13" t="e">
        <f t="shared" si="0"/>
        <v>#N/A</v>
      </c>
      <c r="O10" s="13" t="str" cm="1">
        <f t="array" ref="O10">IFERROR(_xlfn.FILTERXML("&lt;t&gt;&lt;s&gt;" &amp; SUBSTITUTE(M10," / ","&lt;/s&gt;&lt;s&gt;") &amp; "&lt;/s&gt;&lt;/t&gt;","(//s[contains(.,'DDR')])[1]"),"")</f>
        <v/>
      </c>
      <c r="P10" t="e">
        <f t="shared" si="1"/>
        <v>#N/A</v>
      </c>
      <c r="Q10" t="str" cm="1">
        <f t="array" ref="Q10">_xlfn.TEXTJOIN(", ", TRUE, _xlfn._xlws.FILTER(Input!W:W, Input!J:J=B10))</f>
        <v/>
      </c>
      <c r="S10" s="13" t="str">
        <f>_xlfn.LET(_xlpm.Result,_xlfn.XLOOKUP(B10,Input!J:J,Input!AB:AB),IF(_xlpm.Result="","",_xlpm.Result))</f>
        <v/>
      </c>
      <c r="T10" s="13" t="str" cm="1">
        <f t="array" ref="T10">IFERROR(_xlfn.IFS(
   --S10&lt;55,"Battery Defect",
  -- S10&lt;=69,"Battery D",
  --S10&lt;=80,"Battery C",
 --S10&gt;80,""
),"")</f>
        <v/>
      </c>
      <c r="U10" s="13" t="str" cm="1">
        <f t="array" ref="U10:Z10">IFERROR(IF(_xlfn.XLOOKUP(B10,Input!J:J,Input!N:S)=0,"",
          _xlfn.XLOOKUP(B10,Input!J:J,Input!N:S)),"")</f>
        <v/>
      </c>
      <c r="V10" s="13" t="str">
        <v/>
      </c>
      <c r="W10" s="13" t="str">
        <v/>
      </c>
      <c r="X10" s="13" t="str">
        <v/>
      </c>
      <c r="Y10" s="13" t="str">
        <v/>
      </c>
      <c r="Z10" s="13" t="str">
        <v/>
      </c>
      <c r="AA10" t="str">
        <f t="shared" si="2"/>
        <v/>
      </c>
      <c r="AB10" t="str">
        <f>_xlfn.XLOOKUP(B:B,Disk_Pivot!G:G,Disk_Pivot!I:I)</f>
        <v>No</v>
      </c>
      <c r="AC10" t="str">
        <f>_xlfn.XLOOKUP(B10,Disk_Pivot!G:G,Disk_Pivot!N:N)</f>
        <v/>
      </c>
    </row>
    <row r="11" spans="1:35">
      <c r="A11" t="str">
        <f>_xlfn.TEXTJOIN("",TRUE,_xlfn.XLOOKUP(B11,Input!J:J,Input!G:G,"",0,1),_xlfn.XLOOKUP(B11,Input!J:J,Input!H:H,"",0,1))</f>
        <v/>
      </c>
      <c r="C11" s="13">
        <f>_xlfn.XLOOKUP(B11,Input!J:J,Input!F:F)</f>
        <v>0</v>
      </c>
      <c r="D11">
        <f>_xlfn.XLOOKUP(C11,Models!H:H,Models!G:G,C11)</f>
        <v>0</v>
      </c>
      <c r="F11" t="str">
        <f>_xlfn.XLOOKUP(H11,Models!B:B,Models!F:F,"")</f>
        <v/>
      </c>
      <c r="G11">
        <f>_xlfn.XLOOKUP(B11,Input!J:J,Input!E:E)</f>
        <v>0</v>
      </c>
      <c r="H11">
        <f>IF(G11="LENOVO",_xlfn.XLOOKUP(B11,Input!J:J,Input!K:K),_xlfn.XLOOKUP(B11,Input!J:J,Input!L:L))</f>
        <v>0</v>
      </c>
      <c r="K11">
        <f>_xlfn.XLOOKUP(B11,CPU_Formula!A:A,CPU_Formula!I:I)</f>
        <v>0</v>
      </c>
      <c r="L11" s="13" t="e">
        <f>INDEX(Input!$D$2:$AD$500,
       MATCH(B11, Input!$J$2:$J$500, 0),
       MATCH("Memory Capacity", Input!$D$1:$AD$1, 0))</f>
        <v>#N/A</v>
      </c>
      <c r="M11" s="13" t="e">
        <f>INDEX(Input!$D$2:$AD$500,
       MATCH(B11, Input!$J$2:$J$500, 0),
       MATCH("Memory Type", Input!$D$1:$AD$1, 0))</f>
        <v>#N/A</v>
      </c>
      <c r="N11" s="13" t="e">
        <f t="shared" si="0"/>
        <v>#N/A</v>
      </c>
      <c r="O11" s="13" t="str" cm="1">
        <f t="array" ref="O11">IFERROR(_xlfn.FILTERXML("&lt;t&gt;&lt;s&gt;" &amp; SUBSTITUTE(M11," / ","&lt;/s&gt;&lt;s&gt;") &amp; "&lt;/s&gt;&lt;/t&gt;","(//s[contains(.,'DDR')])[1]"),"")</f>
        <v/>
      </c>
      <c r="P11" t="e">
        <f t="shared" si="1"/>
        <v>#N/A</v>
      </c>
      <c r="Q11" t="str" cm="1">
        <f t="array" ref="Q11">_xlfn.TEXTJOIN(", ", TRUE, _xlfn._xlws.FILTER(Input!W:W, Input!J:J=B11))</f>
        <v/>
      </c>
      <c r="S11" s="13" t="str">
        <f>_xlfn.LET(_xlpm.Result,_xlfn.XLOOKUP(B11,Input!J:J,Input!AB:AB),IF(_xlpm.Result="","",_xlpm.Result))</f>
        <v/>
      </c>
      <c r="T11" s="13" t="str" cm="1">
        <f t="array" ref="T11">IFERROR(_xlfn.IFS(
   --S11&lt;55,"Battery Defect",
  -- S11&lt;=69,"Battery D",
  --S11&lt;=80,"Battery C",
 --S11&gt;80,""
),"")</f>
        <v/>
      </c>
      <c r="U11" s="13" t="str" cm="1">
        <f t="array" ref="U11:Z11">IFERROR(IF(_xlfn.XLOOKUP(B11,Input!J:J,Input!N:S)=0,"",
          _xlfn.XLOOKUP(B11,Input!J:J,Input!N:S)),"")</f>
        <v/>
      </c>
      <c r="V11" s="13" t="str">
        <v/>
      </c>
      <c r="W11" s="13" t="str">
        <v/>
      </c>
      <c r="X11" s="13" t="str">
        <v/>
      </c>
      <c r="Y11" s="13" t="str">
        <v/>
      </c>
      <c r="Z11" s="13" t="str">
        <v/>
      </c>
      <c r="AA11" t="str">
        <f t="shared" si="2"/>
        <v/>
      </c>
      <c r="AB11" t="str">
        <f>_xlfn.XLOOKUP(B:B,Disk_Pivot!G:G,Disk_Pivot!I:I)</f>
        <v>No</v>
      </c>
      <c r="AC11" t="str">
        <f>_xlfn.XLOOKUP(B11,Disk_Pivot!G:G,Disk_Pivot!N:N)</f>
        <v/>
      </c>
    </row>
    <row r="12" spans="1:35">
      <c r="A12" t="str">
        <f>_xlfn.TEXTJOIN("",TRUE,_xlfn.XLOOKUP(B12,Input!J:J,Input!G:G,"",0,1),_xlfn.XLOOKUP(B12,Input!J:J,Input!H:H,"",0,1))</f>
        <v/>
      </c>
      <c r="C12" s="13">
        <f>_xlfn.XLOOKUP(B12,Input!J:J,Input!F:F)</f>
        <v>0</v>
      </c>
      <c r="D12">
        <f>_xlfn.XLOOKUP(C12,Models!H:H,Models!G:G,C12)</f>
        <v>0</v>
      </c>
      <c r="F12" t="str">
        <f>_xlfn.XLOOKUP(H12,Models!B:B,Models!F:F,"")</f>
        <v/>
      </c>
      <c r="G12">
        <f>_xlfn.XLOOKUP(B12,Input!J:J,Input!E:E)</f>
        <v>0</v>
      </c>
      <c r="H12">
        <f>IF(G12="LENOVO",_xlfn.XLOOKUP(B12,Input!J:J,Input!K:K),_xlfn.XLOOKUP(B12,Input!J:J,Input!L:L))</f>
        <v>0</v>
      </c>
      <c r="K12">
        <f>_xlfn.XLOOKUP(B12,CPU_Formula!A:A,CPU_Formula!I:I)</f>
        <v>0</v>
      </c>
      <c r="L12" s="13" t="e">
        <f>INDEX(Input!$D$2:$AD$500,
       MATCH(B12, Input!$J$2:$J$500, 0),
       MATCH("Memory Capacity", Input!$D$1:$AD$1, 0))</f>
        <v>#N/A</v>
      </c>
      <c r="M12" s="13" t="e">
        <f>INDEX(Input!$D$2:$AD$500,
       MATCH(B12, Input!$J$2:$J$500, 0),
       MATCH("Memory Type", Input!$D$1:$AD$1, 0))</f>
        <v>#N/A</v>
      </c>
      <c r="N12" s="13" t="e">
        <f t="shared" si="0"/>
        <v>#N/A</v>
      </c>
      <c r="O12" s="13" t="str" cm="1">
        <f t="array" ref="O12">IFERROR(_xlfn.FILTERXML("&lt;t&gt;&lt;s&gt;" &amp; SUBSTITUTE(M12," / ","&lt;/s&gt;&lt;s&gt;") &amp; "&lt;/s&gt;&lt;/t&gt;","(//s[contains(.,'DDR')])[1]"),"")</f>
        <v/>
      </c>
      <c r="P12" t="e">
        <f t="shared" si="1"/>
        <v>#N/A</v>
      </c>
      <c r="Q12" t="str" cm="1">
        <f t="array" ref="Q12">_xlfn.TEXTJOIN(", ", TRUE, _xlfn._xlws.FILTER(Input!W:W, Input!J:J=B12))</f>
        <v/>
      </c>
      <c r="S12" s="13" t="str">
        <f>_xlfn.LET(_xlpm.Result,_xlfn.XLOOKUP(B12,Input!J:J,Input!AB:AB),IF(_xlpm.Result="","",_xlpm.Result))</f>
        <v/>
      </c>
      <c r="T12" s="13" t="str" cm="1">
        <f t="array" ref="T12">IFERROR(_xlfn.IFS(
   --S12&lt;55,"Battery Defect",
  -- S12&lt;=69,"Battery D",
  --S12&lt;=80,"Battery C",
 --S12&gt;80,""
),"")</f>
        <v/>
      </c>
      <c r="U12" s="13" t="str" cm="1">
        <f t="array" ref="U12:Z12">IFERROR(IF(_xlfn.XLOOKUP(B12,Input!J:J,Input!N:S)=0,"",
          _xlfn.XLOOKUP(B12,Input!J:J,Input!N:S)),"")</f>
        <v/>
      </c>
      <c r="V12" s="13" t="str">
        <v/>
      </c>
      <c r="W12" s="13" t="str">
        <v/>
      </c>
      <c r="X12" s="13" t="str">
        <v/>
      </c>
      <c r="Y12" s="13" t="str">
        <v/>
      </c>
      <c r="Z12" s="13" t="str">
        <v/>
      </c>
      <c r="AA12" t="str">
        <f t="shared" si="2"/>
        <v/>
      </c>
      <c r="AB12" t="str">
        <f>_xlfn.XLOOKUP(B:B,Disk_Pivot!G:G,Disk_Pivot!I:I)</f>
        <v>No</v>
      </c>
      <c r="AC12" t="str">
        <f>_xlfn.XLOOKUP(B12,Disk_Pivot!G:G,Disk_Pivot!N:N)</f>
        <v/>
      </c>
    </row>
    <row r="13" spans="1:35">
      <c r="A13" t="str">
        <f>_xlfn.TEXTJOIN("",TRUE,_xlfn.XLOOKUP(B13,Input!J:J,Input!G:G,"",0,1),_xlfn.XLOOKUP(B13,Input!J:J,Input!H:H,"",0,1))</f>
        <v/>
      </c>
      <c r="C13" s="13">
        <f>_xlfn.XLOOKUP(B13,Input!J:J,Input!F:F)</f>
        <v>0</v>
      </c>
      <c r="D13">
        <f>_xlfn.XLOOKUP(C13,Models!H:H,Models!G:G,C13)</f>
        <v>0</v>
      </c>
      <c r="F13" t="str">
        <f>_xlfn.XLOOKUP(H13,Models!B:B,Models!F:F,"")</f>
        <v/>
      </c>
      <c r="G13">
        <f>_xlfn.XLOOKUP(B13,Input!J:J,Input!E:E)</f>
        <v>0</v>
      </c>
      <c r="H13">
        <f>IF(G13="LENOVO",_xlfn.XLOOKUP(B13,Input!J:J,Input!K:K),_xlfn.XLOOKUP(B13,Input!J:J,Input!L:L))</f>
        <v>0</v>
      </c>
      <c r="K13">
        <f>_xlfn.XLOOKUP(B13,CPU_Formula!A:A,CPU_Formula!I:I)</f>
        <v>0</v>
      </c>
      <c r="L13" s="13" t="e">
        <f>INDEX(Input!$D$2:$AD$500,
       MATCH(B13, Input!$J$2:$J$500, 0),
       MATCH("Memory Capacity", Input!$D$1:$AD$1, 0))</f>
        <v>#N/A</v>
      </c>
      <c r="M13" s="13" t="e">
        <f>INDEX(Input!$D$2:$AD$500,
       MATCH(B13, Input!$J$2:$J$500, 0),
       MATCH("Memory Type", Input!$D$1:$AD$1, 0))</f>
        <v>#N/A</v>
      </c>
      <c r="N13" s="13" t="e">
        <f t="shared" si="0"/>
        <v>#N/A</v>
      </c>
      <c r="O13" s="13" t="str" cm="1">
        <f t="array" ref="O13">IFERROR(_xlfn.FILTERXML("&lt;t&gt;&lt;s&gt;" &amp; SUBSTITUTE(M13," / ","&lt;/s&gt;&lt;s&gt;") &amp; "&lt;/s&gt;&lt;/t&gt;","(//s[contains(.,'DDR')])[1]"),"")</f>
        <v/>
      </c>
      <c r="P13" t="e">
        <f t="shared" si="1"/>
        <v>#N/A</v>
      </c>
      <c r="Q13" t="str" cm="1">
        <f t="array" ref="Q13">_xlfn.TEXTJOIN(", ", TRUE, _xlfn._xlws.FILTER(Input!W:W, Input!J:J=B13))</f>
        <v/>
      </c>
      <c r="S13" s="13" t="str">
        <f>_xlfn.LET(_xlpm.Result,_xlfn.XLOOKUP(B13,Input!J:J,Input!AB:AB),IF(_xlpm.Result="","",_xlpm.Result))</f>
        <v/>
      </c>
      <c r="T13" s="13" t="str" cm="1">
        <f t="array" ref="T13">IFERROR(_xlfn.IFS(
   --S13&lt;55,"Battery Defect",
  -- S13&lt;=69,"Battery D",
  --S13&lt;=80,"Battery C",
 --S13&gt;80,""
),"")</f>
        <v/>
      </c>
      <c r="U13" s="13" t="str" cm="1">
        <f t="array" ref="U13:Z13">IFERROR(IF(_xlfn.XLOOKUP(B13,Input!J:J,Input!N:S)=0,"",
          _xlfn.XLOOKUP(B13,Input!J:J,Input!N:S)),"")</f>
        <v/>
      </c>
      <c r="V13" s="13" t="str">
        <v/>
      </c>
      <c r="W13" s="13" t="str">
        <v/>
      </c>
      <c r="X13" s="13" t="str">
        <v/>
      </c>
      <c r="Y13" s="13" t="str">
        <v/>
      </c>
      <c r="Z13" s="13" t="str">
        <v/>
      </c>
      <c r="AA13" t="str">
        <f t="shared" si="2"/>
        <v/>
      </c>
      <c r="AB13" t="str">
        <f>_xlfn.XLOOKUP(B:B,Disk_Pivot!G:G,Disk_Pivot!I:I)</f>
        <v>No</v>
      </c>
      <c r="AC13" t="str">
        <f>_xlfn.XLOOKUP(B13,Disk_Pivot!G:G,Disk_Pivot!N:N)</f>
        <v/>
      </c>
    </row>
    <row r="14" spans="1:35">
      <c r="A14" t="str">
        <f>_xlfn.TEXTJOIN("",TRUE,_xlfn.XLOOKUP(B14,Input!J:J,Input!G:G,"",0,1),_xlfn.XLOOKUP(B14,Input!J:J,Input!H:H,"",0,1))</f>
        <v/>
      </c>
      <c r="C14" s="13">
        <f>_xlfn.XLOOKUP(B14,Input!J:J,Input!F:F)</f>
        <v>0</v>
      </c>
      <c r="D14">
        <f>_xlfn.XLOOKUP(C14,Models!H:H,Models!G:G,C14)</f>
        <v>0</v>
      </c>
      <c r="F14" t="str">
        <f>_xlfn.XLOOKUP(H14,Models!B:B,Models!F:F,"")</f>
        <v/>
      </c>
      <c r="G14">
        <f>_xlfn.XLOOKUP(B14,Input!J:J,Input!E:E)</f>
        <v>0</v>
      </c>
      <c r="H14">
        <f>IF(G14="LENOVO",_xlfn.XLOOKUP(B14,Input!J:J,Input!K:K),_xlfn.XLOOKUP(B14,Input!J:J,Input!L:L))</f>
        <v>0</v>
      </c>
      <c r="K14">
        <f>_xlfn.XLOOKUP(B14,CPU_Formula!A:A,CPU_Formula!I:I)</f>
        <v>0</v>
      </c>
      <c r="L14" s="13" t="e">
        <f>INDEX(Input!$D$2:$AD$500,
       MATCH(B14, Input!$J$2:$J$500, 0),
       MATCH("Memory Capacity", Input!$D$1:$AD$1, 0))</f>
        <v>#N/A</v>
      </c>
      <c r="M14" s="13" t="e">
        <f>INDEX(Input!$D$2:$AD$500,
       MATCH(B14, Input!$J$2:$J$500, 0),
       MATCH("Memory Type", Input!$D$1:$AD$1, 0))</f>
        <v>#N/A</v>
      </c>
      <c r="N14" s="13" t="e">
        <f t="shared" si="0"/>
        <v>#N/A</v>
      </c>
      <c r="O14" s="13" t="str" cm="1">
        <f t="array" ref="O14">IFERROR(_xlfn.FILTERXML("&lt;t&gt;&lt;s&gt;" &amp; SUBSTITUTE(M14," / ","&lt;/s&gt;&lt;s&gt;") &amp; "&lt;/s&gt;&lt;/t&gt;","(//s[contains(.,'DDR')])[1]"),"")</f>
        <v/>
      </c>
      <c r="P14" t="e">
        <f t="shared" si="1"/>
        <v>#N/A</v>
      </c>
      <c r="Q14" t="str" cm="1">
        <f t="array" ref="Q14">_xlfn.TEXTJOIN(", ", TRUE, _xlfn._xlws.FILTER(Input!W:W, Input!J:J=B14))</f>
        <v/>
      </c>
      <c r="S14" s="13" t="str">
        <f>_xlfn.LET(_xlpm.Result,_xlfn.XLOOKUP(B14,Input!J:J,Input!AB:AB),IF(_xlpm.Result="","",_xlpm.Result))</f>
        <v/>
      </c>
      <c r="T14" s="13" t="str" cm="1">
        <f t="array" ref="T14">IFERROR(_xlfn.IFS(
   --S14&lt;55,"Battery Defect",
  -- S14&lt;=69,"Battery D",
  --S14&lt;=80,"Battery C",
 --S14&gt;80,""
),"")</f>
        <v/>
      </c>
      <c r="U14" s="13" t="str" cm="1">
        <f t="array" ref="U14:Z14">IFERROR(IF(_xlfn.XLOOKUP(B14,Input!J:J,Input!N:S)=0,"",
          _xlfn.XLOOKUP(B14,Input!J:J,Input!N:S)),"")</f>
        <v/>
      </c>
      <c r="V14" s="13" t="str">
        <v/>
      </c>
      <c r="W14" s="13" t="str">
        <v/>
      </c>
      <c r="X14" s="13" t="str">
        <v/>
      </c>
      <c r="Y14" s="13" t="str">
        <v/>
      </c>
      <c r="Z14" s="13" t="str">
        <v/>
      </c>
      <c r="AA14" t="str">
        <f t="shared" si="2"/>
        <v/>
      </c>
      <c r="AB14" t="str">
        <f>_xlfn.XLOOKUP(B:B,Disk_Pivot!G:G,Disk_Pivot!I:I)</f>
        <v>No</v>
      </c>
      <c r="AC14" t="str">
        <f>_xlfn.XLOOKUP(B14,Disk_Pivot!G:G,Disk_Pivot!N:N)</f>
        <v/>
      </c>
    </row>
    <row r="15" spans="1:35">
      <c r="A15" t="str">
        <f>_xlfn.TEXTJOIN("",TRUE,_xlfn.XLOOKUP(B15,Input!J:J,Input!G:G,"",0,1),_xlfn.XLOOKUP(B15,Input!J:J,Input!H:H,"",0,1))</f>
        <v/>
      </c>
      <c r="C15" s="13">
        <f>_xlfn.XLOOKUP(B15,Input!J:J,Input!F:F)</f>
        <v>0</v>
      </c>
      <c r="D15">
        <f>_xlfn.XLOOKUP(C15,Models!H:H,Models!G:G,C15)</f>
        <v>0</v>
      </c>
      <c r="F15" t="str">
        <f>_xlfn.XLOOKUP(H15,Models!B:B,Models!F:F,"")</f>
        <v/>
      </c>
      <c r="G15">
        <f>_xlfn.XLOOKUP(B15,Input!J:J,Input!E:E)</f>
        <v>0</v>
      </c>
      <c r="H15">
        <f>IF(G15="LENOVO",_xlfn.XLOOKUP(B15,Input!J:J,Input!K:K),_xlfn.XLOOKUP(B15,Input!J:J,Input!L:L))</f>
        <v>0</v>
      </c>
      <c r="K15">
        <f>_xlfn.XLOOKUP(B15,CPU_Formula!A:A,CPU_Formula!I:I)</f>
        <v>0</v>
      </c>
      <c r="L15" s="13" t="e">
        <f>INDEX(Input!$D$2:$AD$500,
       MATCH(B15, Input!$J$2:$J$500, 0),
       MATCH("Memory Capacity", Input!$D$1:$AD$1, 0))</f>
        <v>#N/A</v>
      </c>
      <c r="M15" s="13" t="e">
        <f>INDEX(Input!$D$2:$AD$500,
       MATCH(B15, Input!$J$2:$J$500, 0),
       MATCH("Memory Type", Input!$D$1:$AD$1, 0))</f>
        <v>#N/A</v>
      </c>
      <c r="N15" s="13" t="e">
        <f t="shared" si="0"/>
        <v>#N/A</v>
      </c>
      <c r="O15" s="13" t="str" cm="1">
        <f t="array" ref="O15">IFERROR(_xlfn.FILTERXML("&lt;t&gt;&lt;s&gt;" &amp; SUBSTITUTE(M15," / ","&lt;/s&gt;&lt;s&gt;") &amp; "&lt;/s&gt;&lt;/t&gt;","(//s[contains(.,'DDR')])[1]"),"")</f>
        <v/>
      </c>
      <c r="P15" t="e">
        <f t="shared" si="1"/>
        <v>#N/A</v>
      </c>
      <c r="Q15" t="str" cm="1">
        <f t="array" ref="Q15">_xlfn.TEXTJOIN(", ", TRUE, _xlfn._xlws.FILTER(Input!W:W, Input!J:J=B15))</f>
        <v/>
      </c>
      <c r="S15" s="13" t="str">
        <f>_xlfn.LET(_xlpm.Result,_xlfn.XLOOKUP(B15,Input!J:J,Input!AB:AB),IF(_xlpm.Result="","",_xlpm.Result))</f>
        <v/>
      </c>
      <c r="T15" s="13" t="str" cm="1">
        <f t="array" ref="T15">IFERROR(_xlfn.IFS(
   --S15&lt;55,"Battery Defect",
  -- S15&lt;=69,"Battery D",
  --S15&lt;=80,"Battery C",
 --S15&gt;80,""
),"")</f>
        <v/>
      </c>
      <c r="U15" s="13" t="str" cm="1">
        <f t="array" ref="U15:Z15">IFERROR(IF(_xlfn.XLOOKUP(B15,Input!J:J,Input!N:S)=0,"",
          _xlfn.XLOOKUP(B15,Input!J:J,Input!N:S)),"")</f>
        <v/>
      </c>
      <c r="V15" s="13" t="str">
        <v/>
      </c>
      <c r="W15" s="13" t="str">
        <v/>
      </c>
      <c r="X15" s="13" t="str">
        <v/>
      </c>
      <c r="Y15" s="13" t="str">
        <v/>
      </c>
      <c r="Z15" s="13" t="str">
        <v/>
      </c>
      <c r="AA15" t="str">
        <f t="shared" si="2"/>
        <v/>
      </c>
      <c r="AB15" t="str">
        <f>_xlfn.XLOOKUP(B:B,Disk_Pivot!G:G,Disk_Pivot!I:I)</f>
        <v>No</v>
      </c>
      <c r="AC15" t="str">
        <f>_xlfn.XLOOKUP(B15,Disk_Pivot!G:G,Disk_Pivot!N:N)</f>
        <v/>
      </c>
    </row>
    <row r="16" spans="1:35">
      <c r="A16" t="str">
        <f>_xlfn.TEXTJOIN("",TRUE,_xlfn.XLOOKUP(B16,Input!J:J,Input!G:G,"",0,1),_xlfn.XLOOKUP(B16,Input!J:J,Input!H:H,"",0,1))</f>
        <v/>
      </c>
      <c r="C16" s="13">
        <f>_xlfn.XLOOKUP(B16,Input!J:J,Input!F:F)</f>
        <v>0</v>
      </c>
      <c r="D16">
        <f>_xlfn.XLOOKUP(C16,Models!H:H,Models!G:G,C16)</f>
        <v>0</v>
      </c>
      <c r="F16" t="str">
        <f>_xlfn.XLOOKUP(H16,Models!B:B,Models!F:F,"")</f>
        <v/>
      </c>
      <c r="G16">
        <f>_xlfn.XLOOKUP(B16,Input!J:J,Input!E:E)</f>
        <v>0</v>
      </c>
      <c r="H16">
        <f>IF(G16="LENOVO",_xlfn.XLOOKUP(B16,Input!J:J,Input!K:K),_xlfn.XLOOKUP(B16,Input!J:J,Input!L:L))</f>
        <v>0</v>
      </c>
      <c r="K16">
        <f>_xlfn.XLOOKUP(B16,CPU_Formula!A:A,CPU_Formula!I:I)</f>
        <v>0</v>
      </c>
      <c r="L16" s="13" t="e">
        <f>INDEX(Input!$D$2:$AD$500,
       MATCH(B16, Input!$J$2:$J$500, 0),
       MATCH("Memory Capacity", Input!$D$1:$AD$1, 0))</f>
        <v>#N/A</v>
      </c>
      <c r="M16" s="13" t="e">
        <f>INDEX(Input!$D$2:$AD$500,
       MATCH(B16, Input!$J$2:$J$500, 0),
       MATCH("Memory Type", Input!$D$1:$AD$1, 0))</f>
        <v>#N/A</v>
      </c>
      <c r="N16" s="13" t="e">
        <f t="shared" si="0"/>
        <v>#N/A</v>
      </c>
      <c r="O16" s="13" t="str" cm="1">
        <f t="array" ref="O16">IFERROR(_xlfn.FILTERXML("&lt;t&gt;&lt;s&gt;" &amp; SUBSTITUTE(M16," / ","&lt;/s&gt;&lt;s&gt;") &amp; "&lt;/s&gt;&lt;/t&gt;","(//s[contains(.,'DDR')])[1]"),"")</f>
        <v/>
      </c>
      <c r="P16" t="e">
        <f t="shared" si="1"/>
        <v>#N/A</v>
      </c>
      <c r="Q16" t="str" cm="1">
        <f t="array" ref="Q16">_xlfn.TEXTJOIN(", ", TRUE, _xlfn._xlws.FILTER(Input!W:W, Input!J:J=B16))</f>
        <v/>
      </c>
      <c r="S16" s="13" t="str">
        <f>_xlfn.LET(_xlpm.Result,_xlfn.XLOOKUP(B16,Input!J:J,Input!AB:AB),IF(_xlpm.Result="","",_xlpm.Result))</f>
        <v/>
      </c>
      <c r="T16" s="13" t="str" cm="1">
        <f t="array" ref="T16">IFERROR(_xlfn.IFS(
   --S16&lt;55,"Battery Defect",
  -- S16&lt;=69,"Battery D",
  --S16&lt;=80,"Battery C",
 --S16&gt;80,""
),"")</f>
        <v/>
      </c>
      <c r="U16" s="13" t="str" cm="1">
        <f t="array" ref="U16:Z16">IFERROR(IF(_xlfn.XLOOKUP(B16,Input!J:J,Input!N:S)=0,"",
          _xlfn.XLOOKUP(B16,Input!J:J,Input!N:S)),"")</f>
        <v/>
      </c>
      <c r="V16" s="13" t="str">
        <v/>
      </c>
      <c r="W16" s="13" t="str">
        <v/>
      </c>
      <c r="X16" s="13" t="str">
        <v/>
      </c>
      <c r="Y16" s="13" t="str">
        <v/>
      </c>
      <c r="Z16" s="13" t="str">
        <v/>
      </c>
      <c r="AA16" t="str">
        <f t="shared" si="2"/>
        <v/>
      </c>
      <c r="AB16" t="str">
        <f>_xlfn.XLOOKUP(B:B,Disk_Pivot!G:G,Disk_Pivot!I:I)</f>
        <v>No</v>
      </c>
      <c r="AC16" t="str">
        <f>_xlfn.XLOOKUP(B16,Disk_Pivot!G:G,Disk_Pivot!N:N)</f>
        <v/>
      </c>
    </row>
    <row r="17" spans="1:29">
      <c r="A17" t="str">
        <f>_xlfn.TEXTJOIN("",TRUE,_xlfn.XLOOKUP(B17,Input!J:J,Input!G:G,"",0,1),_xlfn.XLOOKUP(B17,Input!J:J,Input!H:H,"",0,1))</f>
        <v/>
      </c>
      <c r="C17" s="13">
        <f>_xlfn.XLOOKUP(B17,Input!J:J,Input!F:F)</f>
        <v>0</v>
      </c>
      <c r="D17">
        <f>_xlfn.XLOOKUP(C17,Models!H:H,Models!G:G,C17)</f>
        <v>0</v>
      </c>
      <c r="F17" t="str">
        <f>_xlfn.XLOOKUP(H17,Models!B:B,Models!F:F,"")</f>
        <v/>
      </c>
      <c r="G17">
        <f>_xlfn.XLOOKUP(B17,Input!J:J,Input!E:E)</f>
        <v>0</v>
      </c>
      <c r="H17">
        <f>IF(G17="LENOVO",_xlfn.XLOOKUP(B17,Input!J:J,Input!K:K),_xlfn.XLOOKUP(B17,Input!J:J,Input!L:L))</f>
        <v>0</v>
      </c>
      <c r="K17">
        <f>_xlfn.XLOOKUP(B17,CPU_Formula!A:A,CPU_Formula!I:I)</f>
        <v>0</v>
      </c>
      <c r="L17" s="13" t="e">
        <f>INDEX(Input!$D$2:$AD$500,
       MATCH(B17, Input!$J$2:$J$500, 0),
       MATCH("Memory Capacity", Input!$D$1:$AD$1, 0))</f>
        <v>#N/A</v>
      </c>
      <c r="M17" s="13" t="e">
        <f>INDEX(Input!$D$2:$AD$500,
       MATCH(B17, Input!$J$2:$J$500, 0),
       MATCH("Memory Type", Input!$D$1:$AD$1, 0))</f>
        <v>#N/A</v>
      </c>
      <c r="N17" s="13" t="e">
        <f t="shared" si="0"/>
        <v>#N/A</v>
      </c>
      <c r="O17" s="13" t="str" cm="1">
        <f t="array" ref="O17">IFERROR(_xlfn.FILTERXML("&lt;t&gt;&lt;s&gt;" &amp; SUBSTITUTE(M17," / ","&lt;/s&gt;&lt;s&gt;") &amp; "&lt;/s&gt;&lt;/t&gt;","(//s[contains(.,'DDR')])[1]"),"")</f>
        <v/>
      </c>
      <c r="P17" t="e">
        <f t="shared" si="1"/>
        <v>#N/A</v>
      </c>
      <c r="Q17" t="str" cm="1">
        <f t="array" ref="Q17">_xlfn.TEXTJOIN(", ", TRUE, _xlfn._xlws.FILTER(Input!W:W, Input!J:J=B17))</f>
        <v/>
      </c>
      <c r="S17" s="13" t="str">
        <f>_xlfn.LET(_xlpm.Result,_xlfn.XLOOKUP(B17,Input!J:J,Input!AB:AB),IF(_xlpm.Result="","",_xlpm.Result))</f>
        <v/>
      </c>
      <c r="T17" s="13" t="str" cm="1">
        <f t="array" ref="T17">IFERROR(_xlfn.IFS(
   --S17&lt;55,"Battery Defect",
  -- S17&lt;=69,"Battery D",
  --S17&lt;=80,"Battery C",
 --S17&gt;80,""
),"")</f>
        <v/>
      </c>
      <c r="U17" s="13" t="str" cm="1">
        <f t="array" ref="U17:Z17">IFERROR(IF(_xlfn.XLOOKUP(B17,Input!J:J,Input!N:S)=0,"",
          _xlfn.XLOOKUP(B17,Input!J:J,Input!N:S)),"")</f>
        <v/>
      </c>
      <c r="V17" s="13" t="str">
        <v/>
      </c>
      <c r="W17" s="13" t="str">
        <v/>
      </c>
      <c r="X17" s="13" t="str">
        <v/>
      </c>
      <c r="Y17" s="13" t="str">
        <v/>
      </c>
      <c r="Z17" s="13" t="str">
        <v/>
      </c>
      <c r="AA17" t="str">
        <f t="shared" si="2"/>
        <v/>
      </c>
      <c r="AB17" t="str">
        <f>_xlfn.XLOOKUP(B:B,Disk_Pivot!G:G,Disk_Pivot!I:I)</f>
        <v>No</v>
      </c>
      <c r="AC17" t="str">
        <f>_xlfn.XLOOKUP(B17,Disk_Pivot!G:G,Disk_Pivot!N:N)</f>
        <v/>
      </c>
    </row>
    <row r="18" spans="1:29">
      <c r="A18" t="str">
        <f>_xlfn.TEXTJOIN("",TRUE,_xlfn.XLOOKUP(B18,Input!J:J,Input!G:G,"",0,1),_xlfn.XLOOKUP(B18,Input!J:J,Input!H:H,"",0,1))</f>
        <v/>
      </c>
      <c r="C18" s="13">
        <f>_xlfn.XLOOKUP(B18,Input!J:J,Input!F:F)</f>
        <v>0</v>
      </c>
      <c r="D18">
        <f>_xlfn.XLOOKUP(C18,Models!H:H,Models!G:G,C18)</f>
        <v>0</v>
      </c>
      <c r="F18" t="str">
        <f>_xlfn.XLOOKUP(H18,Models!B:B,Models!F:F,"")</f>
        <v/>
      </c>
      <c r="G18">
        <f>_xlfn.XLOOKUP(B18,Input!J:J,Input!E:E)</f>
        <v>0</v>
      </c>
      <c r="H18">
        <f>IF(G18="LENOVO",_xlfn.XLOOKUP(B18,Input!J:J,Input!K:K),_xlfn.XLOOKUP(B18,Input!J:J,Input!L:L))</f>
        <v>0</v>
      </c>
      <c r="K18">
        <f>_xlfn.XLOOKUP(B18,CPU_Formula!A:A,CPU_Formula!I:I)</f>
        <v>0</v>
      </c>
      <c r="L18" s="13" t="e">
        <f>INDEX(Input!$D$2:$AD$500,
       MATCH(B18, Input!$J$2:$J$500, 0),
       MATCH("Memory Capacity", Input!$D$1:$AD$1, 0))</f>
        <v>#N/A</v>
      </c>
      <c r="M18" s="13" t="e">
        <f>INDEX(Input!$D$2:$AD$500,
       MATCH(B18, Input!$J$2:$J$500, 0),
       MATCH("Memory Type", Input!$D$1:$AD$1, 0))</f>
        <v>#N/A</v>
      </c>
      <c r="N18" s="13" t="e">
        <f t="shared" si="0"/>
        <v>#N/A</v>
      </c>
      <c r="O18" s="13" t="str" cm="1">
        <f t="array" ref="O18">IFERROR(_xlfn.FILTERXML("&lt;t&gt;&lt;s&gt;" &amp; SUBSTITUTE(M18," / ","&lt;/s&gt;&lt;s&gt;") &amp; "&lt;/s&gt;&lt;/t&gt;","(//s[contains(.,'DDR')])[1]"),"")</f>
        <v/>
      </c>
      <c r="P18" t="e">
        <f t="shared" si="1"/>
        <v>#N/A</v>
      </c>
      <c r="Q18" t="str" cm="1">
        <f t="array" ref="Q18">_xlfn.TEXTJOIN(", ", TRUE, _xlfn._xlws.FILTER(Input!W:W, Input!J:J=B18))</f>
        <v/>
      </c>
      <c r="S18" s="13" t="str">
        <f>_xlfn.LET(_xlpm.Result,_xlfn.XLOOKUP(B18,Input!J:J,Input!AB:AB),IF(_xlpm.Result="","",_xlpm.Result))</f>
        <v/>
      </c>
      <c r="T18" s="13" t="str" cm="1">
        <f t="array" ref="T18">IFERROR(_xlfn.IFS(
   --S18&lt;55,"Battery Defect",
  -- S18&lt;=69,"Battery D",
  --S18&lt;=80,"Battery C",
 --S18&gt;80,""
),"")</f>
        <v/>
      </c>
      <c r="U18" s="13" t="str" cm="1">
        <f t="array" ref="U18:Z18">IFERROR(IF(_xlfn.XLOOKUP(B18,Input!J:J,Input!N:S)=0,"",
          _xlfn.XLOOKUP(B18,Input!J:J,Input!N:S)),"")</f>
        <v/>
      </c>
      <c r="V18" s="13" t="str">
        <v/>
      </c>
      <c r="W18" s="13" t="str">
        <v/>
      </c>
      <c r="X18" s="13" t="str">
        <v/>
      </c>
      <c r="Y18" s="13" t="str">
        <v/>
      </c>
      <c r="Z18" s="13" t="str">
        <v/>
      </c>
      <c r="AA18" t="str">
        <f t="shared" si="2"/>
        <v/>
      </c>
      <c r="AB18" t="str">
        <f>_xlfn.XLOOKUP(B:B,Disk_Pivot!G:G,Disk_Pivot!I:I)</f>
        <v>No</v>
      </c>
      <c r="AC18" t="str">
        <f>_xlfn.XLOOKUP(B18,Disk_Pivot!G:G,Disk_Pivot!N:N)</f>
        <v/>
      </c>
    </row>
    <row r="19" spans="1:29">
      <c r="A19" t="str">
        <f>_xlfn.TEXTJOIN("",TRUE,_xlfn.XLOOKUP(B19,Input!J:J,Input!G:G,"",0,1),_xlfn.XLOOKUP(B19,Input!J:J,Input!H:H,"",0,1))</f>
        <v/>
      </c>
      <c r="C19" s="13">
        <f>_xlfn.XLOOKUP(B19,Input!J:J,Input!F:F)</f>
        <v>0</v>
      </c>
      <c r="D19">
        <f>_xlfn.XLOOKUP(C19,Models!H:H,Models!G:G,C19)</f>
        <v>0</v>
      </c>
      <c r="F19" t="str">
        <f>_xlfn.XLOOKUP(H19,Models!B:B,Models!F:F,"")</f>
        <v/>
      </c>
      <c r="G19">
        <f>_xlfn.XLOOKUP(B19,Input!J:J,Input!E:E)</f>
        <v>0</v>
      </c>
      <c r="H19">
        <f>IF(G19="LENOVO",_xlfn.XLOOKUP(B19,Input!J:J,Input!K:K),_xlfn.XLOOKUP(B19,Input!J:J,Input!L:L))</f>
        <v>0</v>
      </c>
      <c r="K19">
        <f>_xlfn.XLOOKUP(B19,CPU_Formula!A:A,CPU_Formula!I:I)</f>
        <v>0</v>
      </c>
      <c r="L19" s="13" t="e">
        <f>INDEX(Input!$D$2:$AD$500,
       MATCH(B19, Input!$J$2:$J$500, 0),
       MATCH("Memory Capacity", Input!$D$1:$AD$1, 0))</f>
        <v>#N/A</v>
      </c>
      <c r="M19" s="13" t="e">
        <f>INDEX(Input!$D$2:$AD$500,
       MATCH(B19, Input!$J$2:$J$500, 0),
       MATCH("Memory Type", Input!$D$1:$AD$1, 0))</f>
        <v>#N/A</v>
      </c>
      <c r="N19" s="13" t="e">
        <f t="shared" si="0"/>
        <v>#N/A</v>
      </c>
      <c r="O19" s="13" t="str" cm="1">
        <f t="array" ref="O19">IFERROR(_xlfn.FILTERXML("&lt;t&gt;&lt;s&gt;" &amp; SUBSTITUTE(M19," / ","&lt;/s&gt;&lt;s&gt;") &amp; "&lt;/s&gt;&lt;/t&gt;","(//s[contains(.,'DDR')])[1]"),"")</f>
        <v/>
      </c>
      <c r="P19" t="e">
        <f t="shared" si="1"/>
        <v>#N/A</v>
      </c>
      <c r="Q19" t="str" cm="1">
        <f t="array" ref="Q19">_xlfn.TEXTJOIN(", ", TRUE, _xlfn._xlws.FILTER(Input!W:W, Input!J:J=B19))</f>
        <v/>
      </c>
      <c r="S19" s="13" t="str">
        <f>_xlfn.LET(_xlpm.Result,_xlfn.XLOOKUP(B19,Input!J:J,Input!AB:AB),IF(_xlpm.Result="","",_xlpm.Result))</f>
        <v/>
      </c>
      <c r="T19" s="13" t="str" cm="1">
        <f t="array" ref="T19">IFERROR(_xlfn.IFS(
   --S19&lt;55,"Battery Defect",
  -- S19&lt;=69,"Battery D",
  --S19&lt;=80,"Battery C",
 --S19&gt;80,""
),"")</f>
        <v/>
      </c>
      <c r="U19" s="13" t="str" cm="1">
        <f t="array" ref="U19:Z19">IFERROR(IF(_xlfn.XLOOKUP(B19,Input!J:J,Input!N:S)=0,"",
          _xlfn.XLOOKUP(B19,Input!J:J,Input!N:S)),"")</f>
        <v/>
      </c>
      <c r="V19" s="13" t="str">
        <v/>
      </c>
      <c r="W19" s="13" t="str">
        <v/>
      </c>
      <c r="X19" s="13" t="str">
        <v/>
      </c>
      <c r="Y19" s="13" t="str">
        <v/>
      </c>
      <c r="Z19" s="13" t="str">
        <v/>
      </c>
      <c r="AA19" t="str">
        <f t="shared" si="2"/>
        <v/>
      </c>
      <c r="AB19" t="str">
        <f>_xlfn.XLOOKUP(B:B,Disk_Pivot!G:G,Disk_Pivot!I:I)</f>
        <v>No</v>
      </c>
      <c r="AC19" t="str">
        <f>_xlfn.XLOOKUP(B19,Disk_Pivot!G:G,Disk_Pivot!N:N)</f>
        <v/>
      </c>
    </row>
    <row r="20" spans="1:29">
      <c r="A20" t="str">
        <f>_xlfn.TEXTJOIN("",TRUE,_xlfn.XLOOKUP(B20,Input!J:J,Input!G:G,"",0,1),_xlfn.XLOOKUP(B20,Input!J:J,Input!H:H,"",0,1))</f>
        <v/>
      </c>
      <c r="C20" s="13">
        <f>_xlfn.XLOOKUP(B20,Input!J:J,Input!F:F)</f>
        <v>0</v>
      </c>
      <c r="D20">
        <f>_xlfn.XLOOKUP(C20,Models!H:H,Models!G:G,C20)</f>
        <v>0</v>
      </c>
      <c r="F20" t="str">
        <f>_xlfn.XLOOKUP(H20,Models!B:B,Models!F:F,"")</f>
        <v/>
      </c>
      <c r="G20">
        <f>_xlfn.XLOOKUP(B20,Input!J:J,Input!E:E)</f>
        <v>0</v>
      </c>
      <c r="H20">
        <f>IF(G20="LENOVO",_xlfn.XLOOKUP(B20,Input!J:J,Input!K:K),_xlfn.XLOOKUP(B20,Input!J:J,Input!L:L))</f>
        <v>0</v>
      </c>
      <c r="K20">
        <f>_xlfn.XLOOKUP(B20,CPU_Formula!A:A,CPU_Formula!I:I)</f>
        <v>0</v>
      </c>
      <c r="L20" s="13" t="e">
        <f>INDEX(Input!$D$2:$AD$500,
       MATCH(B20, Input!$J$2:$J$500, 0),
       MATCH("Memory Capacity", Input!$D$1:$AD$1, 0))</f>
        <v>#N/A</v>
      </c>
      <c r="M20" s="13" t="e">
        <f>INDEX(Input!$D$2:$AD$500,
       MATCH(B20, Input!$J$2:$J$500, 0),
       MATCH("Memory Type", Input!$D$1:$AD$1, 0))</f>
        <v>#N/A</v>
      </c>
      <c r="N20" s="13" t="e">
        <f t="shared" si="0"/>
        <v>#N/A</v>
      </c>
      <c r="O20" s="13" t="str" cm="1">
        <f t="array" ref="O20">IFERROR(_xlfn.FILTERXML("&lt;t&gt;&lt;s&gt;" &amp; SUBSTITUTE(M20," / ","&lt;/s&gt;&lt;s&gt;") &amp; "&lt;/s&gt;&lt;/t&gt;","(//s[contains(.,'DDR')])[1]"),"")</f>
        <v/>
      </c>
      <c r="P20" t="e">
        <f t="shared" si="1"/>
        <v>#N/A</v>
      </c>
      <c r="Q20" t="str" cm="1">
        <f t="array" ref="Q20">_xlfn.TEXTJOIN(", ", TRUE, _xlfn._xlws.FILTER(Input!W:W, Input!J:J=B20))</f>
        <v/>
      </c>
      <c r="S20" s="13" t="str">
        <f>_xlfn.LET(_xlpm.Result,_xlfn.XLOOKUP(B20,Input!J:J,Input!AB:AB),IF(_xlpm.Result="","",_xlpm.Result))</f>
        <v/>
      </c>
      <c r="T20" s="13" t="str" cm="1">
        <f t="array" ref="T20">IFERROR(_xlfn.IFS(
   --S20&lt;55,"Battery Defect",
  -- S20&lt;=69,"Battery D",
  --S20&lt;=80,"Battery C",
 --S20&gt;80,""
),"")</f>
        <v/>
      </c>
      <c r="U20" s="13" t="str" cm="1">
        <f t="array" ref="U20:Z20">IFERROR(IF(_xlfn.XLOOKUP(B20,Input!J:J,Input!N:S)=0,"",
          _xlfn.XLOOKUP(B20,Input!J:J,Input!N:S)),"")</f>
        <v/>
      </c>
      <c r="V20" s="13" t="str">
        <v/>
      </c>
      <c r="W20" s="13" t="str">
        <v/>
      </c>
      <c r="X20" s="13" t="str">
        <v/>
      </c>
      <c r="Y20" s="13" t="str">
        <v/>
      </c>
      <c r="Z20" s="13" t="str">
        <v/>
      </c>
      <c r="AA20" t="str">
        <f t="shared" si="2"/>
        <v/>
      </c>
      <c r="AB20" t="str">
        <f>_xlfn.XLOOKUP(B:B,Disk_Pivot!G:G,Disk_Pivot!I:I)</f>
        <v>No</v>
      </c>
      <c r="AC20" t="str">
        <f>_xlfn.XLOOKUP(B20,Disk_Pivot!G:G,Disk_Pivot!N:N)</f>
        <v/>
      </c>
    </row>
    <row r="21" spans="1:29">
      <c r="A21" t="str">
        <f>_xlfn.TEXTJOIN("",TRUE,_xlfn.XLOOKUP(B21,Input!J:J,Input!G:G,"",0,1),_xlfn.XLOOKUP(B21,Input!J:J,Input!H:H,"",0,1))</f>
        <v/>
      </c>
      <c r="C21" s="13">
        <f>_xlfn.XLOOKUP(B21,Input!J:J,Input!F:F)</f>
        <v>0</v>
      </c>
      <c r="D21">
        <f>_xlfn.XLOOKUP(C21,Models!H:H,Models!G:G,C21)</f>
        <v>0</v>
      </c>
      <c r="F21" t="str">
        <f>_xlfn.XLOOKUP(H21,Models!B:B,Models!F:F,"")</f>
        <v/>
      </c>
      <c r="G21">
        <f>_xlfn.XLOOKUP(B21,Input!J:J,Input!E:E)</f>
        <v>0</v>
      </c>
      <c r="H21">
        <f>IF(G21="LENOVO",_xlfn.XLOOKUP(B21,Input!J:J,Input!K:K),_xlfn.XLOOKUP(B21,Input!J:J,Input!L:L))</f>
        <v>0</v>
      </c>
      <c r="K21">
        <f>_xlfn.XLOOKUP(B21,CPU_Formula!A:A,CPU_Formula!I:I)</f>
        <v>0</v>
      </c>
      <c r="L21" s="13" t="e">
        <f>INDEX(Input!$D$2:$AD$500,
       MATCH(B21, Input!$J$2:$J$500, 0),
       MATCH("Memory Capacity", Input!$D$1:$AD$1, 0))</f>
        <v>#N/A</v>
      </c>
      <c r="M21" s="13" t="e">
        <f>INDEX(Input!$D$2:$AD$500,
       MATCH(B21, Input!$J$2:$J$500, 0),
       MATCH("Memory Type", Input!$D$1:$AD$1, 0))</f>
        <v>#N/A</v>
      </c>
      <c r="N21" s="13" t="e">
        <f t="shared" si="0"/>
        <v>#N/A</v>
      </c>
      <c r="O21" s="13" t="str" cm="1">
        <f t="array" ref="O21">IFERROR(_xlfn.FILTERXML("&lt;t&gt;&lt;s&gt;" &amp; SUBSTITUTE(M21," / ","&lt;/s&gt;&lt;s&gt;") &amp; "&lt;/s&gt;&lt;/t&gt;","(//s[contains(.,'DDR')])[1]"),"")</f>
        <v/>
      </c>
      <c r="P21" t="e">
        <f t="shared" si="1"/>
        <v>#N/A</v>
      </c>
      <c r="Q21" t="str" cm="1">
        <f t="array" ref="Q21">_xlfn.TEXTJOIN(", ", TRUE, _xlfn._xlws.FILTER(Input!W:W, Input!J:J=B21))</f>
        <v/>
      </c>
      <c r="S21" s="13" t="str">
        <f>_xlfn.LET(_xlpm.Result,_xlfn.XLOOKUP(B21,Input!J:J,Input!AB:AB),IF(_xlpm.Result="","",_xlpm.Result))</f>
        <v/>
      </c>
      <c r="T21" s="13" t="str" cm="1">
        <f t="array" ref="T21">IFERROR(_xlfn.IFS(
   --S21&lt;55,"Battery Defect",
  -- S21&lt;=69,"Battery D",
  --S21&lt;=80,"Battery C",
 --S21&gt;80,""
),"")</f>
        <v/>
      </c>
      <c r="U21" s="13" t="str" cm="1">
        <f t="array" ref="U21:Z21">IFERROR(IF(_xlfn.XLOOKUP(B21,Input!J:J,Input!N:S)=0,"",
          _xlfn.XLOOKUP(B21,Input!J:J,Input!N:S)),"")</f>
        <v/>
      </c>
      <c r="V21" s="13" t="str">
        <v/>
      </c>
      <c r="W21" s="13" t="str">
        <v/>
      </c>
      <c r="X21" s="13" t="str">
        <v/>
      </c>
      <c r="Y21" s="13" t="str">
        <v/>
      </c>
      <c r="Z21" s="13" t="str">
        <v/>
      </c>
      <c r="AA21" t="str">
        <f t="shared" si="2"/>
        <v/>
      </c>
      <c r="AB21" t="str">
        <f>_xlfn.XLOOKUP(B:B,Disk_Pivot!G:G,Disk_Pivot!I:I)</f>
        <v>No</v>
      </c>
      <c r="AC21" t="str">
        <f>_xlfn.XLOOKUP(B21,Disk_Pivot!G:G,Disk_Pivot!N:N)</f>
        <v/>
      </c>
    </row>
    <row r="22" spans="1:29">
      <c r="A22" t="str">
        <f>_xlfn.TEXTJOIN("",TRUE,_xlfn.XLOOKUP(B22,Input!J:J,Input!G:G,"",0,1),_xlfn.XLOOKUP(B22,Input!J:J,Input!H:H,"",0,1))</f>
        <v/>
      </c>
      <c r="C22" s="13">
        <f>_xlfn.XLOOKUP(B22,Input!J:J,Input!F:F)</f>
        <v>0</v>
      </c>
      <c r="D22">
        <f>_xlfn.XLOOKUP(C22,Models!H:H,Models!G:G,C22)</f>
        <v>0</v>
      </c>
      <c r="F22" t="str">
        <f>_xlfn.XLOOKUP(H22,Models!B:B,Models!F:F,"")</f>
        <v/>
      </c>
      <c r="G22">
        <f>_xlfn.XLOOKUP(B22,Input!J:J,Input!E:E)</f>
        <v>0</v>
      </c>
      <c r="H22">
        <f>IF(G22="LENOVO",_xlfn.XLOOKUP(B22,Input!J:J,Input!K:K),_xlfn.XLOOKUP(B22,Input!J:J,Input!L:L))</f>
        <v>0</v>
      </c>
      <c r="K22">
        <f>_xlfn.XLOOKUP(B22,CPU_Formula!A:A,CPU_Formula!I:I)</f>
        <v>0</v>
      </c>
      <c r="L22" s="13" t="e">
        <f>INDEX(Input!$D$2:$AD$500,
       MATCH(B22, Input!$J$2:$J$500, 0),
       MATCH("Memory Capacity", Input!$D$1:$AD$1, 0))</f>
        <v>#N/A</v>
      </c>
      <c r="M22" s="13" t="e">
        <f>INDEX(Input!$D$2:$AD$500,
       MATCH(B22, Input!$J$2:$J$500, 0),
       MATCH("Memory Type", Input!$D$1:$AD$1, 0))</f>
        <v>#N/A</v>
      </c>
      <c r="N22" s="13" t="e">
        <f t="shared" si="0"/>
        <v>#N/A</v>
      </c>
      <c r="O22" s="13" t="str" cm="1">
        <f t="array" ref="O22">IFERROR(_xlfn.FILTERXML("&lt;t&gt;&lt;s&gt;" &amp; SUBSTITUTE(M22," / ","&lt;/s&gt;&lt;s&gt;") &amp; "&lt;/s&gt;&lt;/t&gt;","(//s[contains(.,'DDR')])[1]"),"")</f>
        <v/>
      </c>
      <c r="P22" t="e">
        <f t="shared" si="1"/>
        <v>#N/A</v>
      </c>
      <c r="Q22" t="str" cm="1">
        <f t="array" ref="Q22">_xlfn.TEXTJOIN(", ", TRUE, _xlfn._xlws.FILTER(Input!W:W, Input!J:J=B22))</f>
        <v/>
      </c>
      <c r="S22" s="13" t="str">
        <f>_xlfn.LET(_xlpm.Result,_xlfn.XLOOKUP(B22,Input!J:J,Input!AB:AB),IF(_xlpm.Result="","",_xlpm.Result))</f>
        <v/>
      </c>
      <c r="T22" s="13" t="str" cm="1">
        <f t="array" ref="T22">IFERROR(_xlfn.IFS(
   --S22&lt;55,"Battery Defect",
  -- S22&lt;=69,"Battery D",
  --S22&lt;=80,"Battery C",
 --S22&gt;80,""
),"")</f>
        <v/>
      </c>
      <c r="U22" s="13" t="str" cm="1">
        <f t="array" ref="U22:Z22">IFERROR(IF(_xlfn.XLOOKUP(B22,Input!J:J,Input!N:S)=0,"",
          _xlfn.XLOOKUP(B22,Input!J:J,Input!N:S)),"")</f>
        <v/>
      </c>
      <c r="V22" s="13" t="str">
        <v/>
      </c>
      <c r="W22" s="13" t="str">
        <v/>
      </c>
      <c r="X22" s="13" t="str">
        <v/>
      </c>
      <c r="Y22" s="13" t="str">
        <v/>
      </c>
      <c r="Z22" s="13" t="str">
        <v/>
      </c>
      <c r="AA22" t="str">
        <f t="shared" si="2"/>
        <v/>
      </c>
      <c r="AB22" t="str">
        <f>_xlfn.XLOOKUP(B:B,Disk_Pivot!G:G,Disk_Pivot!I:I)</f>
        <v>No</v>
      </c>
      <c r="AC22" t="str">
        <f>_xlfn.XLOOKUP(B22,Disk_Pivot!G:G,Disk_Pivot!N:N)</f>
        <v/>
      </c>
    </row>
    <row r="23" spans="1:29">
      <c r="A23" t="str">
        <f>_xlfn.TEXTJOIN("",TRUE,_xlfn.XLOOKUP(B23,Input!J:J,Input!G:G,"",0,1),_xlfn.XLOOKUP(B23,Input!J:J,Input!H:H,"",0,1))</f>
        <v/>
      </c>
      <c r="C23" s="13">
        <f>_xlfn.XLOOKUP(B23,Input!J:J,Input!F:F)</f>
        <v>0</v>
      </c>
      <c r="D23">
        <f>_xlfn.XLOOKUP(C23,Models!H:H,Models!G:G,C23)</f>
        <v>0</v>
      </c>
      <c r="F23" t="str">
        <f>_xlfn.XLOOKUP(H23,Models!B:B,Models!F:F,"")</f>
        <v/>
      </c>
      <c r="G23">
        <f>_xlfn.XLOOKUP(B23,Input!J:J,Input!E:E)</f>
        <v>0</v>
      </c>
      <c r="H23">
        <f>IF(G23="LENOVO",_xlfn.XLOOKUP(B23,Input!J:J,Input!K:K),_xlfn.XLOOKUP(B23,Input!J:J,Input!L:L))</f>
        <v>0</v>
      </c>
      <c r="K23">
        <f>_xlfn.XLOOKUP(B23,CPU_Formula!A:A,CPU_Formula!I:I)</f>
        <v>0</v>
      </c>
      <c r="L23" s="13" t="e">
        <f>INDEX(Input!$D$2:$AD$500,
       MATCH(B23, Input!$J$2:$J$500, 0),
       MATCH("Memory Capacity", Input!$D$1:$AD$1, 0))</f>
        <v>#N/A</v>
      </c>
      <c r="M23" s="13" t="e">
        <f>INDEX(Input!$D$2:$AD$500,
       MATCH(B23, Input!$J$2:$J$500, 0),
       MATCH("Memory Type", Input!$D$1:$AD$1, 0))</f>
        <v>#N/A</v>
      </c>
      <c r="N23" s="13" t="e">
        <f t="shared" si="0"/>
        <v>#N/A</v>
      </c>
      <c r="O23" s="13" t="str" cm="1">
        <f t="array" ref="O23">IFERROR(_xlfn.FILTERXML("&lt;t&gt;&lt;s&gt;" &amp; SUBSTITUTE(M23," / ","&lt;/s&gt;&lt;s&gt;") &amp; "&lt;/s&gt;&lt;/t&gt;","(//s[contains(.,'DDR')])[1]"),"")</f>
        <v/>
      </c>
      <c r="P23" t="e">
        <f t="shared" si="1"/>
        <v>#N/A</v>
      </c>
      <c r="Q23" t="str" cm="1">
        <f t="array" ref="Q23">_xlfn.TEXTJOIN(", ", TRUE, _xlfn._xlws.FILTER(Input!W:W, Input!J:J=B23))</f>
        <v/>
      </c>
      <c r="S23" s="13" t="str">
        <f>_xlfn.LET(_xlpm.Result,_xlfn.XLOOKUP(B23,Input!J:J,Input!AB:AB),IF(_xlpm.Result="","",_xlpm.Result))</f>
        <v/>
      </c>
      <c r="T23" s="13" t="str" cm="1">
        <f t="array" ref="T23">IFERROR(_xlfn.IFS(
   --S23&lt;55,"Battery Defect",
  -- S23&lt;=69,"Battery D",
  --S23&lt;=80,"Battery C",
 --S23&gt;80,""
),"")</f>
        <v/>
      </c>
      <c r="U23" s="13" t="str" cm="1">
        <f t="array" ref="U23:Z23">IFERROR(IF(_xlfn.XLOOKUP(B23,Input!J:J,Input!N:S)=0,"",
          _xlfn.XLOOKUP(B23,Input!J:J,Input!N:S)),"")</f>
        <v/>
      </c>
      <c r="V23" s="13" t="str">
        <v/>
      </c>
      <c r="W23" s="13" t="str">
        <v/>
      </c>
      <c r="X23" s="13" t="str">
        <v/>
      </c>
      <c r="Y23" s="13" t="str">
        <v/>
      </c>
      <c r="Z23" s="13" t="str">
        <v/>
      </c>
      <c r="AA23" t="str">
        <f t="shared" si="2"/>
        <v/>
      </c>
      <c r="AB23" t="str">
        <f>_xlfn.XLOOKUP(B:B,Disk_Pivot!G:G,Disk_Pivot!I:I)</f>
        <v>No</v>
      </c>
      <c r="AC23" t="str">
        <f>_xlfn.XLOOKUP(B23,Disk_Pivot!G:G,Disk_Pivot!N:N)</f>
        <v/>
      </c>
    </row>
    <row r="24" spans="1:29">
      <c r="A24" t="str">
        <f>_xlfn.TEXTJOIN("",TRUE,_xlfn.XLOOKUP(B24,Input!J:J,Input!G:G,"",0,1),_xlfn.XLOOKUP(B24,Input!J:J,Input!H:H,"",0,1))</f>
        <v/>
      </c>
      <c r="C24" s="13">
        <f>_xlfn.XLOOKUP(B24,Input!J:J,Input!F:F)</f>
        <v>0</v>
      </c>
      <c r="D24">
        <f>_xlfn.XLOOKUP(C24,Models!H:H,Models!G:G,C24)</f>
        <v>0</v>
      </c>
      <c r="F24" t="str">
        <f>_xlfn.XLOOKUP(H24,Models!B:B,Models!F:F,"")</f>
        <v/>
      </c>
      <c r="G24">
        <f>_xlfn.XLOOKUP(B24,Input!J:J,Input!E:E)</f>
        <v>0</v>
      </c>
      <c r="H24">
        <f>IF(G24="LENOVO",_xlfn.XLOOKUP(B24,Input!J:J,Input!K:K),_xlfn.XLOOKUP(B24,Input!J:J,Input!L:L))</f>
        <v>0</v>
      </c>
      <c r="K24">
        <f>_xlfn.XLOOKUP(B24,CPU_Formula!A:A,CPU_Formula!I:I)</f>
        <v>0</v>
      </c>
      <c r="L24" s="13" t="e">
        <f>INDEX(Input!$D$2:$AD$500,
       MATCH(B24, Input!$J$2:$J$500, 0),
       MATCH("Memory Capacity", Input!$D$1:$AD$1, 0))</f>
        <v>#N/A</v>
      </c>
      <c r="M24" s="13" t="e">
        <f>INDEX(Input!$D$2:$AD$500,
       MATCH(B24, Input!$J$2:$J$500, 0),
       MATCH("Memory Type", Input!$D$1:$AD$1, 0))</f>
        <v>#N/A</v>
      </c>
      <c r="N24" s="13" t="e">
        <f t="shared" si="0"/>
        <v>#N/A</v>
      </c>
      <c r="O24" s="13" t="str" cm="1">
        <f t="array" ref="O24">IFERROR(_xlfn.FILTERXML("&lt;t&gt;&lt;s&gt;" &amp; SUBSTITUTE(M24," / ","&lt;/s&gt;&lt;s&gt;") &amp; "&lt;/s&gt;&lt;/t&gt;","(//s[contains(.,'DDR')])[1]"),"")</f>
        <v/>
      </c>
      <c r="P24" t="e">
        <f t="shared" si="1"/>
        <v>#N/A</v>
      </c>
      <c r="Q24" t="str" cm="1">
        <f t="array" ref="Q24">_xlfn.TEXTJOIN(", ", TRUE, _xlfn._xlws.FILTER(Input!W:W, Input!J:J=B24))</f>
        <v/>
      </c>
      <c r="S24" s="13" t="str">
        <f>_xlfn.LET(_xlpm.Result,_xlfn.XLOOKUP(B24,Input!J:J,Input!AB:AB),IF(_xlpm.Result="","",_xlpm.Result))</f>
        <v/>
      </c>
      <c r="T24" s="13" t="str" cm="1">
        <f t="array" ref="T24">IFERROR(_xlfn.IFS(
   --S24&lt;55,"Battery Defect",
  -- S24&lt;=69,"Battery D",
  --S24&lt;=80,"Battery C",
 --S24&gt;80,""
),"")</f>
        <v/>
      </c>
      <c r="U24" s="13" t="str" cm="1">
        <f t="array" ref="U24:Z24">IFERROR(IF(_xlfn.XLOOKUP(B24,Input!J:J,Input!N:S)=0,"",
          _xlfn.XLOOKUP(B24,Input!J:J,Input!N:S)),"")</f>
        <v/>
      </c>
      <c r="V24" s="13" t="str">
        <v/>
      </c>
      <c r="W24" s="13" t="str">
        <v/>
      </c>
      <c r="X24" s="13" t="str">
        <v/>
      </c>
      <c r="Y24" s="13" t="str">
        <v/>
      </c>
      <c r="Z24" s="13" t="str">
        <v/>
      </c>
      <c r="AA24" t="str">
        <f t="shared" si="2"/>
        <v/>
      </c>
      <c r="AB24" t="str">
        <f>_xlfn.XLOOKUP(B:B,Disk_Pivot!G:G,Disk_Pivot!I:I)</f>
        <v>No</v>
      </c>
      <c r="AC24" t="str">
        <f>_xlfn.XLOOKUP(B24,Disk_Pivot!G:G,Disk_Pivot!N:N)</f>
        <v/>
      </c>
    </row>
    <row r="25" spans="1:29">
      <c r="A25" t="str">
        <f>_xlfn.TEXTJOIN("",TRUE,_xlfn.XLOOKUP(B25,Input!J:J,Input!G:G,"",0,1),_xlfn.XLOOKUP(B25,Input!J:J,Input!H:H,"",0,1))</f>
        <v/>
      </c>
      <c r="C25" s="13">
        <f>_xlfn.XLOOKUP(B25,Input!J:J,Input!F:F)</f>
        <v>0</v>
      </c>
      <c r="D25">
        <f>_xlfn.XLOOKUP(C25,Models!H:H,Models!G:G,C25)</f>
        <v>0</v>
      </c>
      <c r="F25" t="str">
        <f>_xlfn.XLOOKUP(H25,Models!B:B,Models!F:F,"")</f>
        <v/>
      </c>
      <c r="G25">
        <f>_xlfn.XLOOKUP(B25,Input!J:J,Input!E:E)</f>
        <v>0</v>
      </c>
      <c r="H25">
        <f>IF(G25="LENOVO",_xlfn.XLOOKUP(B25,Input!J:J,Input!K:K),_xlfn.XLOOKUP(B25,Input!J:J,Input!L:L))</f>
        <v>0</v>
      </c>
      <c r="K25">
        <f>_xlfn.XLOOKUP(B25,CPU_Formula!A:A,CPU_Formula!I:I)</f>
        <v>0</v>
      </c>
      <c r="L25" s="13" t="e">
        <f>INDEX(Input!$D$2:$AD$500,
       MATCH(B25, Input!$J$2:$J$500, 0),
       MATCH("Memory Capacity", Input!$D$1:$AD$1, 0))</f>
        <v>#N/A</v>
      </c>
      <c r="M25" s="13" t="e">
        <f>INDEX(Input!$D$2:$AD$500,
       MATCH(B25, Input!$J$2:$J$500, 0),
       MATCH("Memory Type", Input!$D$1:$AD$1, 0))</f>
        <v>#N/A</v>
      </c>
      <c r="N25" s="13" t="e">
        <f t="shared" si="0"/>
        <v>#N/A</v>
      </c>
      <c r="O25" s="13" t="str" cm="1">
        <f t="array" ref="O25">IFERROR(_xlfn.FILTERXML("&lt;t&gt;&lt;s&gt;" &amp; SUBSTITUTE(M25," / ","&lt;/s&gt;&lt;s&gt;") &amp; "&lt;/s&gt;&lt;/t&gt;","(//s[contains(.,'DDR')])[1]"),"")</f>
        <v/>
      </c>
      <c r="P25" t="e">
        <f t="shared" si="1"/>
        <v>#N/A</v>
      </c>
      <c r="Q25" t="str" cm="1">
        <f t="array" ref="Q25">_xlfn.TEXTJOIN(", ", TRUE, _xlfn._xlws.FILTER(Input!W:W, Input!J:J=B25))</f>
        <v/>
      </c>
      <c r="S25" s="13" t="str">
        <f>_xlfn.LET(_xlpm.Result,_xlfn.XLOOKUP(B25,Input!J:J,Input!AB:AB),IF(_xlpm.Result="","",_xlpm.Result))</f>
        <v/>
      </c>
      <c r="T25" s="13" t="str" cm="1">
        <f t="array" ref="T25">IFERROR(_xlfn.IFS(
   --S25&lt;55,"Battery Defect",
  -- S25&lt;=69,"Battery D",
  --S25&lt;=80,"Battery C",
 --S25&gt;80,""
),"")</f>
        <v/>
      </c>
      <c r="U25" s="13" t="str" cm="1">
        <f t="array" ref="U25:Z25">IFERROR(IF(_xlfn.XLOOKUP(B25,Input!J:J,Input!N:S)=0,"",
          _xlfn.XLOOKUP(B25,Input!J:J,Input!N:S)),"")</f>
        <v/>
      </c>
      <c r="V25" s="13" t="str">
        <v/>
      </c>
      <c r="W25" s="13" t="str">
        <v/>
      </c>
      <c r="X25" s="13" t="str">
        <v/>
      </c>
      <c r="Y25" s="13" t="str">
        <v/>
      </c>
      <c r="Z25" s="13" t="str">
        <v/>
      </c>
      <c r="AA25" t="str">
        <f t="shared" si="2"/>
        <v/>
      </c>
      <c r="AB25" t="str">
        <f>_xlfn.XLOOKUP(B:B,Disk_Pivot!G:G,Disk_Pivot!I:I)</f>
        <v>No</v>
      </c>
      <c r="AC25" t="str">
        <f>_xlfn.XLOOKUP(B25,Disk_Pivot!G:G,Disk_Pivot!N:N)</f>
        <v/>
      </c>
    </row>
    <row r="26" spans="1:29">
      <c r="A26" t="str">
        <f>_xlfn.TEXTJOIN("",TRUE,_xlfn.XLOOKUP(B26,Input!J:J,Input!G:G,"",0,1),_xlfn.XLOOKUP(B26,Input!J:J,Input!H:H,"",0,1))</f>
        <v/>
      </c>
      <c r="C26" s="13">
        <f>_xlfn.XLOOKUP(B26,Input!J:J,Input!F:F)</f>
        <v>0</v>
      </c>
      <c r="D26">
        <f>_xlfn.XLOOKUP(C26,Models!H:H,Models!G:G,C26)</f>
        <v>0</v>
      </c>
      <c r="F26" t="str">
        <f>_xlfn.XLOOKUP(H26,Models!B:B,Models!F:F,"")</f>
        <v/>
      </c>
      <c r="G26">
        <f>_xlfn.XLOOKUP(B26,Input!J:J,Input!E:E)</f>
        <v>0</v>
      </c>
      <c r="H26">
        <f>IF(G26="LENOVO",_xlfn.XLOOKUP(B26,Input!J:J,Input!K:K),_xlfn.XLOOKUP(B26,Input!J:J,Input!L:L))</f>
        <v>0</v>
      </c>
      <c r="K26">
        <f>_xlfn.XLOOKUP(B26,CPU_Formula!A:A,CPU_Formula!I:I)</f>
        <v>0</v>
      </c>
      <c r="L26" s="13" t="e">
        <f>INDEX(Input!$D$2:$AD$500,
       MATCH(B26, Input!$J$2:$J$500, 0),
       MATCH("Memory Capacity", Input!$D$1:$AD$1, 0))</f>
        <v>#N/A</v>
      </c>
      <c r="M26" s="13" t="e">
        <f>INDEX(Input!$D$2:$AD$500,
       MATCH(B26, Input!$J$2:$J$500, 0),
       MATCH("Memory Type", Input!$D$1:$AD$1, 0))</f>
        <v>#N/A</v>
      </c>
      <c r="N26" s="13" t="e">
        <f t="shared" si="0"/>
        <v>#N/A</v>
      </c>
      <c r="O26" s="13" t="str" cm="1">
        <f t="array" ref="O26">IFERROR(_xlfn.FILTERXML("&lt;t&gt;&lt;s&gt;" &amp; SUBSTITUTE(M26," / ","&lt;/s&gt;&lt;s&gt;") &amp; "&lt;/s&gt;&lt;/t&gt;","(//s[contains(.,'DDR')])[1]"),"")</f>
        <v/>
      </c>
      <c r="P26" t="e">
        <f t="shared" si="1"/>
        <v>#N/A</v>
      </c>
      <c r="Q26" t="str" cm="1">
        <f t="array" ref="Q26">_xlfn.TEXTJOIN(", ", TRUE, _xlfn._xlws.FILTER(Input!W:W, Input!J:J=B26))</f>
        <v/>
      </c>
      <c r="S26" s="13" t="str">
        <f>_xlfn.LET(_xlpm.Result,_xlfn.XLOOKUP(B26,Input!J:J,Input!AB:AB),IF(_xlpm.Result="","",_xlpm.Result))</f>
        <v/>
      </c>
      <c r="T26" s="13" t="str" cm="1">
        <f t="array" ref="T26">IFERROR(_xlfn.IFS(
   --S26&lt;55,"Battery Defect",
  -- S26&lt;=69,"Battery D",
  --S26&lt;=80,"Battery C",
 --S26&gt;80,""
),"")</f>
        <v/>
      </c>
      <c r="U26" s="13" t="str" cm="1">
        <f t="array" ref="U26:Z26">IFERROR(IF(_xlfn.XLOOKUP(B26,Input!J:J,Input!N:S)=0,"",
          _xlfn.XLOOKUP(B26,Input!J:J,Input!N:S)),"")</f>
        <v/>
      </c>
      <c r="V26" s="13" t="str">
        <v/>
      </c>
      <c r="W26" s="13" t="str">
        <v/>
      </c>
      <c r="X26" s="13" t="str">
        <v/>
      </c>
      <c r="Y26" s="13" t="str">
        <v/>
      </c>
      <c r="Z26" s="13" t="str">
        <v/>
      </c>
      <c r="AA26" t="str">
        <f t="shared" si="2"/>
        <v/>
      </c>
      <c r="AB26" t="str">
        <f>_xlfn.XLOOKUP(B:B,Disk_Pivot!G:G,Disk_Pivot!I:I)</f>
        <v>No</v>
      </c>
      <c r="AC26" t="str">
        <f>_xlfn.XLOOKUP(B26,Disk_Pivot!G:G,Disk_Pivot!N:N)</f>
        <v/>
      </c>
    </row>
    <row r="27" spans="1:29">
      <c r="A27" t="str">
        <f>_xlfn.TEXTJOIN("",TRUE,_xlfn.XLOOKUP(B27,Input!J:J,Input!G:G,"",0,1),_xlfn.XLOOKUP(B27,Input!J:J,Input!H:H,"",0,1))</f>
        <v/>
      </c>
      <c r="C27" s="13">
        <f>_xlfn.XLOOKUP(B27,Input!J:J,Input!F:F)</f>
        <v>0</v>
      </c>
      <c r="D27">
        <f>_xlfn.XLOOKUP(C27,Models!H:H,Models!G:G,C27)</f>
        <v>0</v>
      </c>
      <c r="F27" t="str">
        <f>_xlfn.XLOOKUP(H27,Models!B:B,Models!F:F,"")</f>
        <v/>
      </c>
      <c r="G27">
        <f>_xlfn.XLOOKUP(B27,Input!J:J,Input!E:E)</f>
        <v>0</v>
      </c>
      <c r="H27">
        <f>IF(G27="LENOVO",_xlfn.XLOOKUP(B27,Input!J:J,Input!K:K),_xlfn.XLOOKUP(B27,Input!J:J,Input!L:L))</f>
        <v>0</v>
      </c>
      <c r="K27">
        <f>_xlfn.XLOOKUP(B27,CPU_Formula!A:A,CPU_Formula!I:I)</f>
        <v>0</v>
      </c>
      <c r="L27" s="13" t="e">
        <f>INDEX(Input!$D$2:$AD$500,
       MATCH(B27, Input!$J$2:$J$500, 0),
       MATCH("Memory Capacity", Input!$D$1:$AD$1, 0))</f>
        <v>#N/A</v>
      </c>
      <c r="M27" s="13" t="e">
        <f>INDEX(Input!$D$2:$AD$500,
       MATCH(B27, Input!$J$2:$J$500, 0),
       MATCH("Memory Type", Input!$D$1:$AD$1, 0))</f>
        <v>#N/A</v>
      </c>
      <c r="N27" s="13" t="e">
        <f t="shared" si="0"/>
        <v>#N/A</v>
      </c>
      <c r="O27" s="13" t="str" cm="1">
        <f t="array" ref="O27">IFERROR(_xlfn.FILTERXML("&lt;t&gt;&lt;s&gt;" &amp; SUBSTITUTE(M27," / ","&lt;/s&gt;&lt;s&gt;") &amp; "&lt;/s&gt;&lt;/t&gt;","(//s[contains(.,'DDR')])[1]"),"")</f>
        <v/>
      </c>
      <c r="P27" t="e">
        <f t="shared" si="1"/>
        <v>#N/A</v>
      </c>
      <c r="Q27" t="str" cm="1">
        <f t="array" ref="Q27">_xlfn.TEXTJOIN(", ", TRUE, _xlfn._xlws.FILTER(Input!W:W, Input!J:J=B27))</f>
        <v/>
      </c>
      <c r="S27" s="13" t="str">
        <f>_xlfn.LET(_xlpm.Result,_xlfn.XLOOKUP(B27,Input!J:J,Input!AB:AB),IF(_xlpm.Result="","",_xlpm.Result))</f>
        <v/>
      </c>
      <c r="T27" s="13" t="str" cm="1">
        <f t="array" ref="T27">IFERROR(_xlfn.IFS(
   --S27&lt;55,"Battery Defect",
  -- S27&lt;=69,"Battery D",
  --S27&lt;=80,"Battery C",
 --S27&gt;80,""
),"")</f>
        <v/>
      </c>
      <c r="U27" s="13" t="str" cm="1">
        <f t="array" ref="U27:Z27">IFERROR(IF(_xlfn.XLOOKUP(B27,Input!J:J,Input!N:S)=0,"",
          _xlfn.XLOOKUP(B27,Input!J:J,Input!N:S)),"")</f>
        <v/>
      </c>
      <c r="V27" s="13" t="str">
        <v/>
      </c>
      <c r="W27" s="13" t="str">
        <v/>
      </c>
      <c r="X27" s="13" t="str">
        <v/>
      </c>
      <c r="Y27" s="13" t="str">
        <v/>
      </c>
      <c r="Z27" s="13" t="str">
        <v/>
      </c>
      <c r="AA27" t="str">
        <f t="shared" si="2"/>
        <v/>
      </c>
      <c r="AB27" t="str">
        <f>_xlfn.XLOOKUP(B:B,Disk_Pivot!G:G,Disk_Pivot!I:I)</f>
        <v>No</v>
      </c>
      <c r="AC27" t="str">
        <f>_xlfn.XLOOKUP(B27,Disk_Pivot!G:G,Disk_Pivot!N:N)</f>
        <v/>
      </c>
    </row>
    <row r="28" spans="1:29">
      <c r="A28" t="str">
        <f>_xlfn.TEXTJOIN("",TRUE,_xlfn.XLOOKUP(B28,Input!J:J,Input!G:G,"",0,1),_xlfn.XLOOKUP(B28,Input!J:J,Input!H:H,"",0,1))</f>
        <v/>
      </c>
      <c r="C28" s="13">
        <f>_xlfn.XLOOKUP(B28,Input!J:J,Input!F:F)</f>
        <v>0</v>
      </c>
      <c r="D28">
        <f>_xlfn.XLOOKUP(C28,Models!H:H,Models!G:G,C28)</f>
        <v>0</v>
      </c>
      <c r="F28" t="str">
        <f>_xlfn.XLOOKUP(H28,Models!B:B,Models!F:F,"")</f>
        <v/>
      </c>
      <c r="G28">
        <f>_xlfn.XLOOKUP(B28,Input!J:J,Input!E:E)</f>
        <v>0</v>
      </c>
      <c r="H28">
        <f>IF(G28="LENOVO",_xlfn.XLOOKUP(B28,Input!J:J,Input!K:K),_xlfn.XLOOKUP(B28,Input!J:J,Input!L:L))</f>
        <v>0</v>
      </c>
      <c r="K28">
        <f>_xlfn.XLOOKUP(B28,CPU_Formula!A:A,CPU_Formula!I:I)</f>
        <v>0</v>
      </c>
      <c r="L28" s="13" t="e">
        <f>INDEX(Input!$D$2:$AD$500,
       MATCH(B28, Input!$J$2:$J$500, 0),
       MATCH("Memory Capacity", Input!$D$1:$AD$1, 0))</f>
        <v>#N/A</v>
      </c>
      <c r="M28" s="13" t="e">
        <f>INDEX(Input!$D$2:$AD$500,
       MATCH(B28, Input!$J$2:$J$500, 0),
       MATCH("Memory Type", Input!$D$1:$AD$1, 0))</f>
        <v>#N/A</v>
      </c>
      <c r="N28" s="13" t="e">
        <f t="shared" si="0"/>
        <v>#N/A</v>
      </c>
      <c r="O28" s="13" t="str" cm="1">
        <f t="array" ref="O28">IFERROR(_xlfn.FILTERXML("&lt;t&gt;&lt;s&gt;" &amp; SUBSTITUTE(M28," / ","&lt;/s&gt;&lt;s&gt;") &amp; "&lt;/s&gt;&lt;/t&gt;","(//s[contains(.,'DDR')])[1]"),"")</f>
        <v/>
      </c>
      <c r="P28" t="e">
        <f t="shared" si="1"/>
        <v>#N/A</v>
      </c>
      <c r="Q28" t="str" cm="1">
        <f t="array" ref="Q28">_xlfn.TEXTJOIN(", ", TRUE, _xlfn._xlws.FILTER(Input!W:W, Input!J:J=B28))</f>
        <v/>
      </c>
      <c r="S28" s="13" t="str">
        <f>_xlfn.LET(_xlpm.Result,_xlfn.XLOOKUP(B28,Input!J:J,Input!AB:AB),IF(_xlpm.Result="","",_xlpm.Result))</f>
        <v/>
      </c>
      <c r="T28" s="13" t="str" cm="1">
        <f t="array" ref="T28">IFERROR(_xlfn.IFS(
   --S28&lt;55,"Battery Defect",
  -- S28&lt;=69,"Battery D",
  --S28&lt;=80,"Battery C",
 --S28&gt;80,""
),"")</f>
        <v/>
      </c>
      <c r="U28" s="13" t="str" cm="1">
        <f t="array" ref="U28:Z28">IFERROR(IF(_xlfn.XLOOKUP(B28,Input!J:J,Input!N:S)=0,"",
          _xlfn.XLOOKUP(B28,Input!J:J,Input!N:S)),"")</f>
        <v/>
      </c>
      <c r="V28" s="13" t="str">
        <v/>
      </c>
      <c r="W28" s="13" t="str">
        <v/>
      </c>
      <c r="X28" s="13" t="str">
        <v/>
      </c>
      <c r="Y28" s="13" t="str">
        <v/>
      </c>
      <c r="Z28" s="13" t="str">
        <v/>
      </c>
      <c r="AA28" t="str">
        <f t="shared" si="2"/>
        <v/>
      </c>
      <c r="AB28" t="str">
        <f>_xlfn.XLOOKUP(B:B,Disk_Pivot!G:G,Disk_Pivot!I:I)</f>
        <v>No</v>
      </c>
      <c r="AC28" t="str">
        <f>_xlfn.XLOOKUP(B28,Disk_Pivot!G:G,Disk_Pivot!N:N)</f>
        <v/>
      </c>
    </row>
    <row r="29" spans="1:29">
      <c r="A29" t="str">
        <f>_xlfn.TEXTJOIN("",TRUE,_xlfn.XLOOKUP(B29,Input!J:J,Input!G:G,"",0,1),_xlfn.XLOOKUP(B29,Input!J:J,Input!H:H,"",0,1))</f>
        <v/>
      </c>
      <c r="C29" s="13">
        <f>_xlfn.XLOOKUP(B29,Input!J:J,Input!F:F)</f>
        <v>0</v>
      </c>
      <c r="D29">
        <f>_xlfn.XLOOKUP(C29,Models!H:H,Models!G:G,C29)</f>
        <v>0</v>
      </c>
      <c r="F29" t="str">
        <f>_xlfn.XLOOKUP(H29,Models!B:B,Models!F:F,"")</f>
        <v/>
      </c>
      <c r="G29">
        <f>_xlfn.XLOOKUP(B29,Input!J:J,Input!E:E)</f>
        <v>0</v>
      </c>
      <c r="H29">
        <f>IF(G29="LENOVO",_xlfn.XLOOKUP(B29,Input!J:J,Input!K:K),_xlfn.XLOOKUP(B29,Input!J:J,Input!L:L))</f>
        <v>0</v>
      </c>
      <c r="K29">
        <f>_xlfn.XLOOKUP(B29,CPU_Formula!A:A,CPU_Formula!I:I)</f>
        <v>0</v>
      </c>
      <c r="L29" s="13" t="e">
        <f>INDEX(Input!$D$2:$AD$500,
       MATCH(B29, Input!$J$2:$J$500, 0),
       MATCH("Memory Capacity", Input!$D$1:$AD$1, 0))</f>
        <v>#N/A</v>
      </c>
      <c r="M29" s="13" t="e">
        <f>INDEX(Input!$D$2:$AD$500,
       MATCH(B29, Input!$J$2:$J$500, 0),
       MATCH("Memory Type", Input!$D$1:$AD$1, 0))</f>
        <v>#N/A</v>
      </c>
      <c r="N29" s="13" t="e">
        <f t="shared" si="0"/>
        <v>#N/A</v>
      </c>
      <c r="O29" s="13" t="str" cm="1">
        <f t="array" ref="O29">IFERROR(_xlfn.FILTERXML("&lt;t&gt;&lt;s&gt;" &amp; SUBSTITUTE(M29," / ","&lt;/s&gt;&lt;s&gt;") &amp; "&lt;/s&gt;&lt;/t&gt;","(//s[contains(.,'DDR')])[1]"),"")</f>
        <v/>
      </c>
      <c r="P29" t="e">
        <f t="shared" si="1"/>
        <v>#N/A</v>
      </c>
      <c r="Q29" t="str" cm="1">
        <f t="array" ref="Q29">_xlfn.TEXTJOIN(", ", TRUE, _xlfn._xlws.FILTER(Input!W:W, Input!J:J=B29))</f>
        <v/>
      </c>
      <c r="S29" s="13" t="str">
        <f>_xlfn.LET(_xlpm.Result,_xlfn.XLOOKUP(B29,Input!J:J,Input!AB:AB),IF(_xlpm.Result="","",_xlpm.Result))</f>
        <v/>
      </c>
      <c r="T29" s="13" t="str" cm="1">
        <f t="array" ref="T29">IFERROR(_xlfn.IFS(
   --S29&lt;55,"Battery Defect",
  -- S29&lt;=69,"Battery D",
  --S29&lt;=80,"Battery C",
 --S29&gt;80,""
),"")</f>
        <v/>
      </c>
      <c r="U29" s="13" t="str" cm="1">
        <f t="array" ref="U29:Z29">IFERROR(IF(_xlfn.XLOOKUP(B29,Input!J:J,Input!N:S)=0,"",
          _xlfn.XLOOKUP(B29,Input!J:J,Input!N:S)),"")</f>
        <v/>
      </c>
      <c r="V29" s="13" t="str">
        <v/>
      </c>
      <c r="W29" s="13" t="str">
        <v/>
      </c>
      <c r="X29" s="13" t="str">
        <v/>
      </c>
      <c r="Y29" s="13" t="str">
        <v/>
      </c>
      <c r="Z29" s="13" t="str">
        <v/>
      </c>
      <c r="AA29" t="str">
        <f t="shared" si="2"/>
        <v/>
      </c>
      <c r="AB29" t="str">
        <f>_xlfn.XLOOKUP(B:B,Disk_Pivot!G:G,Disk_Pivot!I:I)</f>
        <v>No</v>
      </c>
      <c r="AC29" t="str">
        <f>_xlfn.XLOOKUP(B29,Disk_Pivot!G:G,Disk_Pivot!N:N)</f>
        <v/>
      </c>
    </row>
    <row r="30" spans="1:29">
      <c r="A30" t="str">
        <f>_xlfn.TEXTJOIN("",TRUE,_xlfn.XLOOKUP(B30,Input!J:J,Input!G:G,"",0,1),_xlfn.XLOOKUP(B30,Input!J:J,Input!H:H,"",0,1))</f>
        <v/>
      </c>
      <c r="C30" s="13">
        <f>_xlfn.XLOOKUP(B30,Input!J:J,Input!F:F)</f>
        <v>0</v>
      </c>
      <c r="D30">
        <f>_xlfn.XLOOKUP(C30,Models!H:H,Models!G:G,C30)</f>
        <v>0</v>
      </c>
      <c r="F30" t="str">
        <f>_xlfn.XLOOKUP(H30,Models!B:B,Models!F:F,"")</f>
        <v/>
      </c>
      <c r="G30">
        <f>_xlfn.XLOOKUP(B30,Input!J:J,Input!E:E)</f>
        <v>0</v>
      </c>
      <c r="H30">
        <f>IF(G30="LENOVO",_xlfn.XLOOKUP(B30,Input!J:J,Input!K:K),_xlfn.XLOOKUP(B30,Input!J:J,Input!L:L))</f>
        <v>0</v>
      </c>
      <c r="K30">
        <f>_xlfn.XLOOKUP(B30,CPU_Formula!A:A,CPU_Formula!I:I)</f>
        <v>0</v>
      </c>
      <c r="L30" s="13" t="e">
        <f>INDEX(Input!$D$2:$AD$500,
       MATCH(B30, Input!$J$2:$J$500, 0),
       MATCH("Memory Capacity", Input!$D$1:$AD$1, 0))</f>
        <v>#N/A</v>
      </c>
      <c r="M30" s="13" t="e">
        <f>INDEX(Input!$D$2:$AD$500,
       MATCH(B30, Input!$J$2:$J$500, 0),
       MATCH("Memory Type", Input!$D$1:$AD$1, 0))</f>
        <v>#N/A</v>
      </c>
      <c r="N30" s="13" t="e">
        <f t="shared" si="0"/>
        <v>#N/A</v>
      </c>
      <c r="O30" s="13" t="str" cm="1">
        <f t="array" ref="O30">IFERROR(_xlfn.FILTERXML("&lt;t&gt;&lt;s&gt;" &amp; SUBSTITUTE(M30," / ","&lt;/s&gt;&lt;s&gt;") &amp; "&lt;/s&gt;&lt;/t&gt;","(//s[contains(.,'DDR')])[1]"),"")</f>
        <v/>
      </c>
      <c r="P30" t="e">
        <f t="shared" si="1"/>
        <v>#N/A</v>
      </c>
      <c r="Q30" t="str" cm="1">
        <f t="array" ref="Q30">_xlfn.TEXTJOIN(", ", TRUE, _xlfn._xlws.FILTER(Input!W:W, Input!J:J=B30))</f>
        <v/>
      </c>
      <c r="S30" s="13" t="str">
        <f>_xlfn.LET(_xlpm.Result,_xlfn.XLOOKUP(B30,Input!J:J,Input!AB:AB),IF(_xlpm.Result="","",_xlpm.Result))</f>
        <v/>
      </c>
      <c r="T30" s="13" t="str" cm="1">
        <f t="array" ref="T30">IFERROR(_xlfn.IFS(
   --S30&lt;55,"Battery Defect",
  -- S30&lt;=69,"Battery D",
  --S30&lt;=80,"Battery C",
 --S30&gt;80,""
),"")</f>
        <v/>
      </c>
      <c r="U30" s="13" t="str" cm="1">
        <f t="array" ref="U30:Z30">IFERROR(IF(_xlfn.XLOOKUP(B30,Input!J:J,Input!N:S)=0,"",
          _xlfn.XLOOKUP(B30,Input!J:J,Input!N:S)),"")</f>
        <v/>
      </c>
      <c r="V30" s="13" t="str">
        <v/>
      </c>
      <c r="W30" s="13" t="str">
        <v/>
      </c>
      <c r="X30" s="13" t="str">
        <v/>
      </c>
      <c r="Y30" s="13" t="str">
        <v/>
      </c>
      <c r="Z30" s="13" t="str">
        <v/>
      </c>
      <c r="AA30" t="str">
        <f t="shared" si="2"/>
        <v/>
      </c>
      <c r="AB30" t="str">
        <f>_xlfn.XLOOKUP(B:B,Disk_Pivot!G:G,Disk_Pivot!I:I)</f>
        <v>No</v>
      </c>
      <c r="AC30" t="str">
        <f>_xlfn.XLOOKUP(B30,Disk_Pivot!G:G,Disk_Pivot!N:N)</f>
        <v/>
      </c>
    </row>
    <row r="31" spans="1:29">
      <c r="A31" t="str">
        <f>_xlfn.TEXTJOIN("",TRUE,_xlfn.XLOOKUP(B31,Input!J:J,Input!G:G,"",0,1),_xlfn.XLOOKUP(B31,Input!J:J,Input!H:H,"",0,1))</f>
        <v/>
      </c>
      <c r="C31" s="13">
        <f>_xlfn.XLOOKUP(B31,Input!J:J,Input!F:F)</f>
        <v>0</v>
      </c>
      <c r="D31">
        <f>_xlfn.XLOOKUP(C31,Models!H:H,Models!G:G,C31)</f>
        <v>0</v>
      </c>
      <c r="F31" t="str">
        <f>_xlfn.XLOOKUP(H31,Models!B:B,Models!F:F,"")</f>
        <v/>
      </c>
      <c r="G31">
        <f>_xlfn.XLOOKUP(B31,Input!J:J,Input!E:E)</f>
        <v>0</v>
      </c>
      <c r="H31">
        <f>IF(G31="LENOVO",_xlfn.XLOOKUP(B31,Input!J:J,Input!K:K),_xlfn.XLOOKUP(B31,Input!J:J,Input!L:L))</f>
        <v>0</v>
      </c>
      <c r="K31">
        <f>_xlfn.XLOOKUP(B31,CPU_Formula!A:A,CPU_Formula!I:I)</f>
        <v>0</v>
      </c>
      <c r="L31" s="13" t="e">
        <f>INDEX(Input!$D$2:$AD$500,
       MATCH(B31, Input!$J$2:$J$500, 0),
       MATCH("Memory Capacity", Input!$D$1:$AD$1, 0))</f>
        <v>#N/A</v>
      </c>
      <c r="M31" s="13" t="e">
        <f>INDEX(Input!$D$2:$AD$500,
       MATCH(B31, Input!$J$2:$J$500, 0),
       MATCH("Memory Type", Input!$D$1:$AD$1, 0))</f>
        <v>#N/A</v>
      </c>
      <c r="N31" s="13" t="e">
        <f t="shared" si="0"/>
        <v>#N/A</v>
      </c>
      <c r="O31" s="13" t="str" cm="1">
        <f t="array" ref="O31">IFERROR(_xlfn.FILTERXML("&lt;t&gt;&lt;s&gt;" &amp; SUBSTITUTE(M31," / ","&lt;/s&gt;&lt;s&gt;") &amp; "&lt;/s&gt;&lt;/t&gt;","(//s[contains(.,'DDR')])[1]"),"")</f>
        <v/>
      </c>
      <c r="P31" t="e">
        <f t="shared" si="1"/>
        <v>#N/A</v>
      </c>
      <c r="Q31" t="str" cm="1">
        <f t="array" ref="Q31">_xlfn.TEXTJOIN(", ", TRUE, _xlfn._xlws.FILTER(Input!W:W, Input!J:J=B31))</f>
        <v/>
      </c>
      <c r="S31" s="13" t="str">
        <f>_xlfn.LET(_xlpm.Result,_xlfn.XLOOKUP(B31,Input!J:J,Input!AB:AB),IF(_xlpm.Result="","",_xlpm.Result))</f>
        <v/>
      </c>
      <c r="T31" s="13" t="str" cm="1">
        <f t="array" ref="T31">IFERROR(_xlfn.IFS(
   --S31&lt;55,"Battery Defect",
  -- S31&lt;=69,"Battery D",
  --S31&lt;=80,"Battery C",
 --S31&gt;80,""
),"")</f>
        <v/>
      </c>
      <c r="U31" s="13" t="str" cm="1">
        <f t="array" ref="U31:Z31">IFERROR(IF(_xlfn.XLOOKUP(B31,Input!J:J,Input!N:S)=0,"",
          _xlfn.XLOOKUP(B31,Input!J:J,Input!N:S)),"")</f>
        <v/>
      </c>
      <c r="V31" s="13" t="str">
        <v/>
      </c>
      <c r="W31" s="13" t="str">
        <v/>
      </c>
      <c r="X31" s="13" t="str">
        <v/>
      </c>
      <c r="Y31" s="13" t="str">
        <v/>
      </c>
      <c r="Z31" s="13" t="str">
        <v/>
      </c>
      <c r="AA31" t="str">
        <f t="shared" si="2"/>
        <v/>
      </c>
      <c r="AB31" t="str">
        <f>_xlfn.XLOOKUP(B:B,Disk_Pivot!G:G,Disk_Pivot!I:I)</f>
        <v>No</v>
      </c>
      <c r="AC31" t="str">
        <f>_xlfn.XLOOKUP(B31,Disk_Pivot!G:G,Disk_Pivot!N:N)</f>
        <v/>
      </c>
    </row>
    <row r="32" spans="1:29">
      <c r="A32" t="str">
        <f>_xlfn.TEXTJOIN("",TRUE,_xlfn.XLOOKUP(B32,Input!J:J,Input!G:G,"",0,1),_xlfn.XLOOKUP(B32,Input!J:J,Input!H:H,"",0,1))</f>
        <v/>
      </c>
      <c r="C32" s="13">
        <f>_xlfn.XLOOKUP(B32,Input!J:J,Input!F:F)</f>
        <v>0</v>
      </c>
      <c r="D32">
        <f>_xlfn.XLOOKUP(C32,Models!H:H,Models!G:G,C32)</f>
        <v>0</v>
      </c>
      <c r="F32" t="str">
        <f>_xlfn.XLOOKUP(H32,Models!B:B,Models!F:F,"")</f>
        <v/>
      </c>
      <c r="G32">
        <f>_xlfn.XLOOKUP(B32,Input!J:J,Input!E:E)</f>
        <v>0</v>
      </c>
      <c r="H32">
        <f>IF(G32="LENOVO",_xlfn.XLOOKUP(B32,Input!J:J,Input!K:K),_xlfn.XLOOKUP(B32,Input!J:J,Input!L:L))</f>
        <v>0</v>
      </c>
      <c r="K32">
        <f>_xlfn.XLOOKUP(B32,CPU_Formula!A:A,CPU_Formula!I:I)</f>
        <v>0</v>
      </c>
      <c r="L32" s="13" t="e">
        <f>INDEX(Input!$D$2:$AD$500,
       MATCH(B32, Input!$J$2:$J$500, 0),
       MATCH("Memory Capacity", Input!$D$1:$AD$1, 0))</f>
        <v>#N/A</v>
      </c>
      <c r="M32" s="13" t="e">
        <f>INDEX(Input!$D$2:$AD$500,
       MATCH(B32, Input!$J$2:$J$500, 0),
       MATCH("Memory Type", Input!$D$1:$AD$1, 0))</f>
        <v>#N/A</v>
      </c>
      <c r="N32" s="13" t="e">
        <f t="shared" si="0"/>
        <v>#N/A</v>
      </c>
      <c r="O32" s="13" t="str" cm="1">
        <f t="array" ref="O32">IFERROR(_xlfn.FILTERXML("&lt;t&gt;&lt;s&gt;" &amp; SUBSTITUTE(M32," / ","&lt;/s&gt;&lt;s&gt;") &amp; "&lt;/s&gt;&lt;/t&gt;","(//s[contains(.,'DDR')])[1]"),"")</f>
        <v/>
      </c>
      <c r="P32" t="e">
        <f t="shared" si="1"/>
        <v>#N/A</v>
      </c>
      <c r="Q32" t="str" cm="1">
        <f t="array" ref="Q32">_xlfn.TEXTJOIN(", ", TRUE, _xlfn._xlws.FILTER(Input!W:W, Input!J:J=B32))</f>
        <v/>
      </c>
      <c r="S32" s="13" t="str">
        <f>_xlfn.LET(_xlpm.Result,_xlfn.XLOOKUP(B32,Input!J:J,Input!AB:AB),IF(_xlpm.Result="","",_xlpm.Result))</f>
        <v/>
      </c>
      <c r="T32" s="13" t="str" cm="1">
        <f t="array" ref="T32">IFERROR(_xlfn.IFS(
   --S32&lt;55,"Battery Defect",
  -- S32&lt;=69,"Battery D",
  --S32&lt;=80,"Battery C",
 --S32&gt;80,""
),"")</f>
        <v/>
      </c>
      <c r="U32" s="13" t="str" cm="1">
        <f t="array" ref="U32:Z32">IFERROR(IF(_xlfn.XLOOKUP(B32,Input!J:J,Input!N:S)=0,"",
          _xlfn.XLOOKUP(B32,Input!J:J,Input!N:S)),"")</f>
        <v/>
      </c>
      <c r="V32" s="13" t="str">
        <v/>
      </c>
      <c r="W32" s="13" t="str">
        <v/>
      </c>
      <c r="X32" s="13" t="str">
        <v/>
      </c>
      <c r="Y32" s="13" t="str">
        <v/>
      </c>
      <c r="Z32" s="13" t="str">
        <v/>
      </c>
      <c r="AA32" t="str">
        <f t="shared" si="2"/>
        <v/>
      </c>
      <c r="AB32" t="str">
        <f>_xlfn.XLOOKUP(B:B,Disk_Pivot!G:G,Disk_Pivot!I:I)</f>
        <v>No</v>
      </c>
      <c r="AC32" t="str">
        <f>_xlfn.XLOOKUP(B32,Disk_Pivot!G:G,Disk_Pivot!N:N)</f>
        <v/>
      </c>
    </row>
    <row r="33" spans="1:29">
      <c r="A33" t="str">
        <f>_xlfn.TEXTJOIN("",TRUE,_xlfn.XLOOKUP(B33,Input!J:J,Input!G:G,"",0,1),_xlfn.XLOOKUP(B33,Input!J:J,Input!H:H,"",0,1))</f>
        <v/>
      </c>
      <c r="C33" s="13">
        <f>_xlfn.XLOOKUP(B33,Input!J:J,Input!F:F)</f>
        <v>0</v>
      </c>
      <c r="D33">
        <f>_xlfn.XLOOKUP(C33,Models!H:H,Models!G:G,C33)</f>
        <v>0</v>
      </c>
      <c r="F33" t="str">
        <f>_xlfn.XLOOKUP(H33,Models!B:B,Models!F:F,"")</f>
        <v/>
      </c>
      <c r="G33">
        <f>_xlfn.XLOOKUP(B33,Input!J:J,Input!E:E)</f>
        <v>0</v>
      </c>
      <c r="H33">
        <f>IF(G33="LENOVO",_xlfn.XLOOKUP(B33,Input!J:J,Input!K:K),_xlfn.XLOOKUP(B33,Input!J:J,Input!L:L))</f>
        <v>0</v>
      </c>
      <c r="K33">
        <f>_xlfn.XLOOKUP(B33,CPU_Formula!A:A,CPU_Formula!I:I)</f>
        <v>0</v>
      </c>
      <c r="L33" s="13" t="e">
        <f>INDEX(Input!$D$2:$AD$500,
       MATCH(B33, Input!$J$2:$J$500, 0),
       MATCH("Memory Capacity", Input!$D$1:$AD$1, 0))</f>
        <v>#N/A</v>
      </c>
      <c r="M33" s="13" t="e">
        <f>INDEX(Input!$D$2:$AD$500,
       MATCH(B33, Input!$J$2:$J$500, 0),
       MATCH("Memory Type", Input!$D$1:$AD$1, 0))</f>
        <v>#N/A</v>
      </c>
      <c r="N33" s="13" t="e">
        <f t="shared" si="0"/>
        <v>#N/A</v>
      </c>
      <c r="O33" s="13" t="str" cm="1">
        <f t="array" ref="O33">IFERROR(_xlfn.FILTERXML("&lt;t&gt;&lt;s&gt;" &amp; SUBSTITUTE(M33," / ","&lt;/s&gt;&lt;s&gt;") &amp; "&lt;/s&gt;&lt;/t&gt;","(//s[contains(.,'DDR')])[1]"),"")</f>
        <v/>
      </c>
      <c r="P33" t="e">
        <f t="shared" si="1"/>
        <v>#N/A</v>
      </c>
      <c r="Q33" t="str" cm="1">
        <f t="array" ref="Q33">_xlfn.TEXTJOIN(", ", TRUE, _xlfn._xlws.FILTER(Input!W:W, Input!J:J=B33))</f>
        <v/>
      </c>
      <c r="S33" s="13" t="str">
        <f>_xlfn.LET(_xlpm.Result,_xlfn.XLOOKUP(B33,Input!J:J,Input!AB:AB),IF(_xlpm.Result="","",_xlpm.Result))</f>
        <v/>
      </c>
      <c r="T33" s="13" t="str" cm="1">
        <f t="array" ref="T33">IFERROR(_xlfn.IFS(
   --S33&lt;55,"Battery Defect",
  -- S33&lt;=69,"Battery D",
  --S33&lt;=80,"Battery C",
 --S33&gt;80,""
),"")</f>
        <v/>
      </c>
      <c r="U33" s="13" t="str" cm="1">
        <f t="array" ref="U33:Z33">IFERROR(IF(_xlfn.XLOOKUP(B33,Input!J:J,Input!N:S)=0,"",
          _xlfn.XLOOKUP(B33,Input!J:J,Input!N:S)),"")</f>
        <v/>
      </c>
      <c r="V33" s="13" t="str">
        <v/>
      </c>
      <c r="W33" s="13" t="str">
        <v/>
      </c>
      <c r="X33" s="13" t="str">
        <v/>
      </c>
      <c r="Y33" s="13" t="str">
        <v/>
      </c>
      <c r="Z33" s="13" t="str">
        <v/>
      </c>
      <c r="AA33" t="str">
        <f t="shared" si="2"/>
        <v/>
      </c>
      <c r="AB33" t="str">
        <f>_xlfn.XLOOKUP(B:B,Disk_Pivot!G:G,Disk_Pivot!I:I)</f>
        <v>No</v>
      </c>
      <c r="AC33" t="str">
        <f>_xlfn.XLOOKUP(B33,Disk_Pivot!G:G,Disk_Pivot!N:N)</f>
        <v/>
      </c>
    </row>
    <row r="34" spans="1:29">
      <c r="A34" t="str">
        <f>_xlfn.TEXTJOIN("",TRUE,_xlfn.XLOOKUP(B34,Input!J:J,Input!G:G,"",0,1),_xlfn.XLOOKUP(B34,Input!J:J,Input!H:H,"",0,1))</f>
        <v/>
      </c>
      <c r="C34" s="13">
        <f>_xlfn.XLOOKUP(B34,Input!J:J,Input!F:F)</f>
        <v>0</v>
      </c>
      <c r="D34">
        <f>_xlfn.XLOOKUP(C34,Models!H:H,Models!G:G,C34)</f>
        <v>0</v>
      </c>
      <c r="F34" t="str">
        <f>_xlfn.XLOOKUP(H34,Models!B:B,Models!F:F,"")</f>
        <v/>
      </c>
      <c r="G34">
        <f>_xlfn.XLOOKUP(B34,Input!J:J,Input!E:E)</f>
        <v>0</v>
      </c>
      <c r="H34">
        <f>IF(G34="LENOVO",_xlfn.XLOOKUP(B34,Input!J:J,Input!K:K),_xlfn.XLOOKUP(B34,Input!J:J,Input!L:L))</f>
        <v>0</v>
      </c>
      <c r="K34">
        <f>_xlfn.XLOOKUP(B34,CPU_Formula!A:A,CPU_Formula!I:I)</f>
        <v>0</v>
      </c>
      <c r="L34" s="13" t="e">
        <f>INDEX(Input!$D$2:$AD$500,
       MATCH(B34, Input!$J$2:$J$500, 0),
       MATCH("Memory Capacity", Input!$D$1:$AD$1, 0))</f>
        <v>#N/A</v>
      </c>
      <c r="M34" s="13" t="e">
        <f>INDEX(Input!$D$2:$AD$500,
       MATCH(B34, Input!$J$2:$J$500, 0),
       MATCH("Memory Type", Input!$D$1:$AD$1, 0))</f>
        <v>#N/A</v>
      </c>
      <c r="N34" s="13" t="e">
        <f t="shared" si="0"/>
        <v>#N/A</v>
      </c>
      <c r="O34" s="13" t="str" cm="1">
        <f t="array" ref="O34">IFERROR(_xlfn.FILTERXML("&lt;t&gt;&lt;s&gt;" &amp; SUBSTITUTE(M34," / ","&lt;/s&gt;&lt;s&gt;") &amp; "&lt;/s&gt;&lt;/t&gt;","(//s[contains(.,'DDR')])[1]"),"")</f>
        <v/>
      </c>
      <c r="P34" t="e">
        <f t="shared" si="1"/>
        <v>#N/A</v>
      </c>
      <c r="Q34" t="str" cm="1">
        <f t="array" ref="Q34">_xlfn.TEXTJOIN(", ", TRUE, _xlfn._xlws.FILTER(Input!W:W, Input!J:J=B34))</f>
        <v/>
      </c>
      <c r="S34" s="13" t="str">
        <f>_xlfn.LET(_xlpm.Result,_xlfn.XLOOKUP(B34,Input!J:J,Input!AB:AB),IF(_xlpm.Result="","",_xlpm.Result))</f>
        <v/>
      </c>
      <c r="T34" s="13" t="str" cm="1">
        <f t="array" ref="T34">IFERROR(_xlfn.IFS(
   --S34&lt;55,"Battery Defect",
  -- S34&lt;=69,"Battery D",
  --S34&lt;=80,"Battery C",
 --S34&gt;80,""
),"")</f>
        <v/>
      </c>
      <c r="U34" s="13" t="str" cm="1">
        <f t="array" ref="U34:Z34">IFERROR(IF(_xlfn.XLOOKUP(B34,Input!J:J,Input!N:S)=0,"",
          _xlfn.XLOOKUP(B34,Input!J:J,Input!N:S)),"")</f>
        <v/>
      </c>
      <c r="V34" s="13" t="str">
        <v/>
      </c>
      <c r="W34" s="13" t="str">
        <v/>
      </c>
      <c r="X34" s="13" t="str">
        <v/>
      </c>
      <c r="Y34" s="13" t="str">
        <v/>
      </c>
      <c r="Z34" s="13" t="str">
        <v/>
      </c>
      <c r="AA34" t="str">
        <f t="shared" si="2"/>
        <v/>
      </c>
      <c r="AB34" t="str">
        <f>_xlfn.XLOOKUP(B:B,Disk_Pivot!G:G,Disk_Pivot!I:I)</f>
        <v>No</v>
      </c>
      <c r="AC34" t="str">
        <f>_xlfn.XLOOKUP(B34,Disk_Pivot!G:G,Disk_Pivot!N:N)</f>
        <v/>
      </c>
    </row>
    <row r="35" spans="1:29">
      <c r="A35" t="str">
        <f>_xlfn.TEXTJOIN("",TRUE,_xlfn.XLOOKUP(B35,Input!J:J,Input!G:G,"",0,1),_xlfn.XLOOKUP(B35,Input!J:J,Input!H:H,"",0,1))</f>
        <v/>
      </c>
      <c r="C35" s="13">
        <f>_xlfn.XLOOKUP(B35,Input!J:J,Input!F:F)</f>
        <v>0</v>
      </c>
      <c r="D35">
        <f>_xlfn.XLOOKUP(C35,Models!H:H,Models!G:G,C35)</f>
        <v>0</v>
      </c>
      <c r="F35" t="str">
        <f>_xlfn.XLOOKUP(H35,Models!B:B,Models!F:F,"")</f>
        <v/>
      </c>
      <c r="G35">
        <f>_xlfn.XLOOKUP(B35,Input!J:J,Input!E:E)</f>
        <v>0</v>
      </c>
      <c r="H35">
        <f>IF(G35="LENOVO",_xlfn.XLOOKUP(B35,Input!J:J,Input!K:K),_xlfn.XLOOKUP(B35,Input!J:J,Input!L:L))</f>
        <v>0</v>
      </c>
      <c r="K35">
        <f>_xlfn.XLOOKUP(B35,CPU_Formula!A:A,CPU_Formula!I:I)</f>
        <v>0</v>
      </c>
      <c r="L35" s="13" t="e">
        <f>INDEX(Input!$D$2:$AD$500,
       MATCH(B35, Input!$J$2:$J$500, 0),
       MATCH("Memory Capacity", Input!$D$1:$AD$1, 0))</f>
        <v>#N/A</v>
      </c>
      <c r="M35" s="13" t="e">
        <f>INDEX(Input!$D$2:$AD$500,
       MATCH(B35, Input!$J$2:$J$500, 0),
       MATCH("Memory Type", Input!$D$1:$AD$1, 0))</f>
        <v>#N/A</v>
      </c>
      <c r="N35" s="13" t="e">
        <f t="shared" si="0"/>
        <v>#N/A</v>
      </c>
      <c r="O35" s="13" t="str" cm="1">
        <f t="array" ref="O35">IFERROR(_xlfn.FILTERXML("&lt;t&gt;&lt;s&gt;" &amp; SUBSTITUTE(M35," / ","&lt;/s&gt;&lt;s&gt;") &amp; "&lt;/s&gt;&lt;/t&gt;","(//s[contains(.,'DDR')])[1]"),"")</f>
        <v/>
      </c>
      <c r="P35" t="e">
        <f t="shared" si="1"/>
        <v>#N/A</v>
      </c>
      <c r="Q35" t="str" cm="1">
        <f t="array" ref="Q35">_xlfn.TEXTJOIN(", ", TRUE, _xlfn._xlws.FILTER(Input!W:W, Input!J:J=B35))</f>
        <v/>
      </c>
      <c r="S35" s="13" t="str">
        <f>_xlfn.LET(_xlpm.Result,_xlfn.XLOOKUP(B35,Input!J:J,Input!AB:AB),IF(_xlpm.Result="","",_xlpm.Result))</f>
        <v/>
      </c>
      <c r="T35" s="13" t="str" cm="1">
        <f t="array" ref="T35">IFERROR(_xlfn.IFS(
   --S35&lt;55,"Battery Defect",
  -- S35&lt;=69,"Battery D",
  --S35&lt;=80,"Battery C",
 --S35&gt;80,""
),"")</f>
        <v/>
      </c>
      <c r="U35" s="13" t="str" cm="1">
        <f t="array" ref="U35:Z35">IFERROR(IF(_xlfn.XLOOKUP(B35,Input!J:J,Input!N:S)=0,"",
          _xlfn.XLOOKUP(B35,Input!J:J,Input!N:S)),"")</f>
        <v/>
      </c>
      <c r="V35" s="13" t="str">
        <v/>
      </c>
      <c r="W35" s="13" t="str">
        <v/>
      </c>
      <c r="X35" s="13" t="str">
        <v/>
      </c>
      <c r="Y35" s="13" t="str">
        <v/>
      </c>
      <c r="Z35" s="13" t="str">
        <v/>
      </c>
      <c r="AA35" t="str">
        <f t="shared" si="2"/>
        <v/>
      </c>
      <c r="AB35" t="str">
        <f>_xlfn.XLOOKUP(B:B,Disk_Pivot!G:G,Disk_Pivot!I:I)</f>
        <v>No</v>
      </c>
      <c r="AC35" t="str">
        <f>_xlfn.XLOOKUP(B35,Disk_Pivot!G:G,Disk_Pivot!N:N)</f>
        <v/>
      </c>
    </row>
    <row r="36" spans="1:29">
      <c r="A36" t="str">
        <f>_xlfn.TEXTJOIN("",TRUE,_xlfn.XLOOKUP(B36,Input!J:J,Input!G:G,"",0,1),_xlfn.XLOOKUP(B36,Input!J:J,Input!H:H,"",0,1))</f>
        <v/>
      </c>
      <c r="C36" s="13">
        <f>_xlfn.XLOOKUP(B36,Input!J:J,Input!F:F)</f>
        <v>0</v>
      </c>
      <c r="D36">
        <f>_xlfn.XLOOKUP(C36,Models!H:H,Models!G:G,C36)</f>
        <v>0</v>
      </c>
      <c r="F36" t="str">
        <f>_xlfn.XLOOKUP(H36,Models!B:B,Models!F:F,"")</f>
        <v/>
      </c>
      <c r="G36">
        <f>_xlfn.XLOOKUP(B36,Input!J:J,Input!E:E)</f>
        <v>0</v>
      </c>
      <c r="H36">
        <f>IF(G36="LENOVO",_xlfn.XLOOKUP(B36,Input!J:J,Input!K:K),_xlfn.XLOOKUP(B36,Input!J:J,Input!L:L))</f>
        <v>0</v>
      </c>
      <c r="K36">
        <f>_xlfn.XLOOKUP(B36,CPU_Formula!A:A,CPU_Formula!I:I)</f>
        <v>0</v>
      </c>
      <c r="L36" s="13" t="e">
        <f>INDEX(Input!$D$2:$AD$500,
       MATCH(B36, Input!$J$2:$J$500, 0),
       MATCH("Memory Capacity", Input!$D$1:$AD$1, 0))</f>
        <v>#N/A</v>
      </c>
      <c r="M36" s="13" t="e">
        <f>INDEX(Input!$D$2:$AD$500,
       MATCH(B36, Input!$J$2:$J$500, 0),
       MATCH("Memory Type", Input!$D$1:$AD$1, 0))</f>
        <v>#N/A</v>
      </c>
      <c r="N36" s="13" t="e">
        <f t="shared" si="0"/>
        <v>#N/A</v>
      </c>
      <c r="O36" s="13" t="str" cm="1">
        <f t="array" ref="O36">IFERROR(_xlfn.FILTERXML("&lt;t&gt;&lt;s&gt;" &amp; SUBSTITUTE(M36," / ","&lt;/s&gt;&lt;s&gt;") &amp; "&lt;/s&gt;&lt;/t&gt;","(//s[contains(.,'DDR')])[1]"),"")</f>
        <v/>
      </c>
      <c r="P36" t="e">
        <f t="shared" si="1"/>
        <v>#N/A</v>
      </c>
      <c r="Q36" t="str" cm="1">
        <f t="array" ref="Q36">_xlfn.TEXTJOIN(", ", TRUE, _xlfn._xlws.FILTER(Input!W:W, Input!J:J=B36))</f>
        <v/>
      </c>
      <c r="S36" s="13" t="str">
        <f>_xlfn.LET(_xlpm.Result,_xlfn.XLOOKUP(B36,Input!J:J,Input!AB:AB),IF(_xlpm.Result="","",_xlpm.Result))</f>
        <v/>
      </c>
      <c r="T36" s="13" t="str" cm="1">
        <f t="array" ref="T36">IFERROR(_xlfn.IFS(
   --S36&lt;55,"Battery Defect",
  -- S36&lt;=69,"Battery D",
  --S36&lt;=80,"Battery C",
 --S36&gt;80,""
),"")</f>
        <v/>
      </c>
      <c r="U36" s="13" t="str" cm="1">
        <f t="array" ref="U36:Z36">IFERROR(IF(_xlfn.XLOOKUP(B36,Input!J:J,Input!N:S)=0,"",
          _xlfn.XLOOKUP(B36,Input!J:J,Input!N:S)),"")</f>
        <v/>
      </c>
      <c r="V36" s="13" t="str">
        <v/>
      </c>
      <c r="W36" s="13" t="str">
        <v/>
      </c>
      <c r="X36" s="13" t="str">
        <v/>
      </c>
      <c r="Y36" s="13" t="str">
        <v/>
      </c>
      <c r="Z36" s="13" t="str">
        <v/>
      </c>
      <c r="AA36" t="str">
        <f t="shared" si="2"/>
        <v/>
      </c>
      <c r="AB36" t="str">
        <f>_xlfn.XLOOKUP(B:B,Disk_Pivot!G:G,Disk_Pivot!I:I)</f>
        <v>No</v>
      </c>
      <c r="AC36" t="str">
        <f>_xlfn.XLOOKUP(B36,Disk_Pivot!G:G,Disk_Pivot!N:N)</f>
        <v/>
      </c>
    </row>
    <row r="37" spans="1:29">
      <c r="A37" t="str">
        <f>_xlfn.TEXTJOIN("",TRUE,_xlfn.XLOOKUP(B37,Input!J:J,Input!G:G,"",0,1),_xlfn.XLOOKUP(B37,Input!J:J,Input!H:H,"",0,1))</f>
        <v/>
      </c>
      <c r="C37" s="13">
        <f>_xlfn.XLOOKUP(B37,Input!J:J,Input!F:F)</f>
        <v>0</v>
      </c>
      <c r="D37">
        <f>_xlfn.XLOOKUP(C37,Models!H:H,Models!G:G,C37)</f>
        <v>0</v>
      </c>
      <c r="F37" t="str">
        <f>_xlfn.XLOOKUP(H37,Models!B:B,Models!F:F,"")</f>
        <v/>
      </c>
      <c r="G37">
        <f>_xlfn.XLOOKUP(B37,Input!J:J,Input!E:E)</f>
        <v>0</v>
      </c>
      <c r="H37">
        <f>IF(G37="LENOVO",_xlfn.XLOOKUP(B37,Input!J:J,Input!K:K),_xlfn.XLOOKUP(B37,Input!J:J,Input!L:L))</f>
        <v>0</v>
      </c>
      <c r="K37">
        <f>_xlfn.XLOOKUP(B37,CPU_Formula!A:A,CPU_Formula!I:I)</f>
        <v>0</v>
      </c>
      <c r="L37" s="13" t="e">
        <f>INDEX(Input!$D$2:$AD$500,
       MATCH(B37, Input!$J$2:$J$500, 0),
       MATCH("Memory Capacity", Input!$D$1:$AD$1, 0))</f>
        <v>#N/A</v>
      </c>
      <c r="M37" s="13" t="e">
        <f>INDEX(Input!$D$2:$AD$500,
       MATCH(B37, Input!$J$2:$J$500, 0),
       MATCH("Memory Type", Input!$D$1:$AD$1, 0))</f>
        <v>#N/A</v>
      </c>
      <c r="N37" s="13" t="e">
        <f t="shared" si="0"/>
        <v>#N/A</v>
      </c>
      <c r="O37" s="13" t="str" cm="1">
        <f t="array" ref="O37">IFERROR(_xlfn.FILTERXML("&lt;t&gt;&lt;s&gt;" &amp; SUBSTITUTE(M37," / ","&lt;/s&gt;&lt;s&gt;") &amp; "&lt;/s&gt;&lt;/t&gt;","(//s[contains(.,'DDR')])[1]"),"")</f>
        <v/>
      </c>
      <c r="P37" t="e">
        <f t="shared" si="1"/>
        <v>#N/A</v>
      </c>
      <c r="Q37" t="str" cm="1">
        <f t="array" ref="Q37">_xlfn.TEXTJOIN(", ", TRUE, _xlfn._xlws.FILTER(Input!W:W, Input!J:J=B37))</f>
        <v/>
      </c>
      <c r="S37" s="13" t="str">
        <f>_xlfn.LET(_xlpm.Result,_xlfn.XLOOKUP(B37,Input!J:J,Input!AB:AB),IF(_xlpm.Result="","",_xlpm.Result))</f>
        <v/>
      </c>
      <c r="T37" s="13" t="str" cm="1">
        <f t="array" ref="T37">IFERROR(_xlfn.IFS(
   --S37&lt;55,"Battery Defect",
  -- S37&lt;=69,"Battery D",
  --S37&lt;=80,"Battery C",
 --S37&gt;80,""
),"")</f>
        <v/>
      </c>
      <c r="U37" s="13" t="str" cm="1">
        <f t="array" ref="U37:Z37">IFERROR(IF(_xlfn.XLOOKUP(B37,Input!J:J,Input!N:S)=0,"",
          _xlfn.XLOOKUP(B37,Input!J:J,Input!N:S)),"")</f>
        <v/>
      </c>
      <c r="V37" s="13" t="str">
        <v/>
      </c>
      <c r="W37" s="13" t="str">
        <v/>
      </c>
      <c r="X37" s="13" t="str">
        <v/>
      </c>
      <c r="Y37" s="13" t="str">
        <v/>
      </c>
      <c r="Z37" s="13" t="str">
        <v/>
      </c>
      <c r="AA37" t="str">
        <f t="shared" si="2"/>
        <v/>
      </c>
      <c r="AB37" t="str">
        <f>_xlfn.XLOOKUP(B:B,Disk_Pivot!G:G,Disk_Pivot!I:I)</f>
        <v>No</v>
      </c>
      <c r="AC37" t="str">
        <f>_xlfn.XLOOKUP(B37,Disk_Pivot!G:G,Disk_Pivot!N:N)</f>
        <v/>
      </c>
    </row>
    <row r="38" spans="1:29">
      <c r="A38" t="str">
        <f>_xlfn.TEXTJOIN("",TRUE,_xlfn.XLOOKUP(B38,Input!J:J,Input!G:G,"",0,1),_xlfn.XLOOKUP(B38,Input!J:J,Input!H:H,"",0,1))</f>
        <v/>
      </c>
      <c r="C38" s="13">
        <f>_xlfn.XLOOKUP(B38,Input!J:J,Input!F:F)</f>
        <v>0</v>
      </c>
      <c r="D38">
        <f>_xlfn.XLOOKUP(C38,Models!H:H,Models!G:G,C38)</f>
        <v>0</v>
      </c>
      <c r="F38" t="str">
        <f>_xlfn.XLOOKUP(H38,Models!B:B,Models!F:F,"")</f>
        <v/>
      </c>
      <c r="G38">
        <f>_xlfn.XLOOKUP(B38,Input!J:J,Input!E:E)</f>
        <v>0</v>
      </c>
      <c r="H38">
        <f>IF(G38="LENOVO",_xlfn.XLOOKUP(B38,Input!J:J,Input!K:K),_xlfn.XLOOKUP(B38,Input!J:J,Input!L:L))</f>
        <v>0</v>
      </c>
      <c r="K38">
        <f>_xlfn.XLOOKUP(B38,CPU_Formula!A:A,CPU_Formula!I:I)</f>
        <v>0</v>
      </c>
      <c r="L38" s="13" t="e">
        <f>INDEX(Input!$D$2:$AD$500,
       MATCH(B38, Input!$J$2:$J$500, 0),
       MATCH("Memory Capacity", Input!$D$1:$AD$1, 0))</f>
        <v>#N/A</v>
      </c>
      <c r="M38" s="13" t="e">
        <f>INDEX(Input!$D$2:$AD$500,
       MATCH(B38, Input!$J$2:$J$500, 0),
       MATCH("Memory Type", Input!$D$1:$AD$1, 0))</f>
        <v>#N/A</v>
      </c>
      <c r="N38" s="13" t="e">
        <f t="shared" si="0"/>
        <v>#N/A</v>
      </c>
      <c r="O38" s="13" t="str" cm="1">
        <f t="array" ref="O38">IFERROR(_xlfn.FILTERXML("&lt;t&gt;&lt;s&gt;" &amp; SUBSTITUTE(M38," / ","&lt;/s&gt;&lt;s&gt;") &amp; "&lt;/s&gt;&lt;/t&gt;","(//s[contains(.,'DDR')])[1]"),"")</f>
        <v/>
      </c>
      <c r="P38" t="e">
        <f t="shared" si="1"/>
        <v>#N/A</v>
      </c>
      <c r="Q38" t="str" cm="1">
        <f t="array" ref="Q38">_xlfn.TEXTJOIN(", ", TRUE, _xlfn._xlws.FILTER(Input!W:W, Input!J:J=B38))</f>
        <v/>
      </c>
      <c r="S38" s="13" t="str">
        <f>_xlfn.LET(_xlpm.Result,_xlfn.XLOOKUP(B38,Input!J:J,Input!AB:AB),IF(_xlpm.Result="","",_xlpm.Result))</f>
        <v/>
      </c>
      <c r="T38" s="13" t="str" cm="1">
        <f t="array" ref="T38">IFERROR(_xlfn.IFS(
   --S38&lt;55,"Battery Defect",
  -- S38&lt;=69,"Battery D",
  --S38&lt;=80,"Battery C",
 --S38&gt;80,""
),"")</f>
        <v/>
      </c>
      <c r="U38" s="13" t="str" cm="1">
        <f t="array" ref="U38:Z38">IFERROR(IF(_xlfn.XLOOKUP(B38,Input!J:J,Input!N:S)=0,"",
          _xlfn.XLOOKUP(B38,Input!J:J,Input!N:S)),"")</f>
        <v/>
      </c>
      <c r="V38" s="13" t="str">
        <v/>
      </c>
      <c r="W38" s="13" t="str">
        <v/>
      </c>
      <c r="X38" s="13" t="str">
        <v/>
      </c>
      <c r="Y38" s="13" t="str">
        <v/>
      </c>
      <c r="Z38" s="13" t="str">
        <v/>
      </c>
      <c r="AA38" t="str">
        <f t="shared" si="2"/>
        <v/>
      </c>
      <c r="AB38" t="str">
        <f>_xlfn.XLOOKUP(B:B,Disk_Pivot!G:G,Disk_Pivot!I:I)</f>
        <v>No</v>
      </c>
      <c r="AC38" t="str">
        <f>_xlfn.XLOOKUP(B38,Disk_Pivot!G:G,Disk_Pivot!N:N)</f>
        <v/>
      </c>
    </row>
    <row r="39" spans="1:29">
      <c r="A39" t="str">
        <f>_xlfn.TEXTJOIN("",TRUE,_xlfn.XLOOKUP(B39,Input!J:J,Input!G:G,"",0,1),_xlfn.XLOOKUP(B39,Input!J:J,Input!H:H,"",0,1))</f>
        <v/>
      </c>
      <c r="C39" s="13">
        <f>_xlfn.XLOOKUP(B39,Input!J:J,Input!F:F)</f>
        <v>0</v>
      </c>
      <c r="D39">
        <f>_xlfn.XLOOKUP(C39,Models!H:H,Models!G:G,C39)</f>
        <v>0</v>
      </c>
      <c r="F39" t="str">
        <f>_xlfn.XLOOKUP(H39,Models!B:B,Models!F:F,"")</f>
        <v/>
      </c>
      <c r="G39">
        <f>_xlfn.XLOOKUP(B39,Input!J:J,Input!E:E)</f>
        <v>0</v>
      </c>
      <c r="H39">
        <f>IF(G39="LENOVO",_xlfn.XLOOKUP(B39,Input!J:J,Input!K:K),_xlfn.XLOOKUP(B39,Input!J:J,Input!L:L))</f>
        <v>0</v>
      </c>
      <c r="K39">
        <f>_xlfn.XLOOKUP(B39,CPU_Formula!A:A,CPU_Formula!I:I)</f>
        <v>0</v>
      </c>
      <c r="L39" s="13" t="e">
        <f>INDEX(Input!$D$2:$AD$500,
       MATCH(B39, Input!$J$2:$J$500, 0),
       MATCH("Memory Capacity", Input!$D$1:$AD$1, 0))</f>
        <v>#N/A</v>
      </c>
      <c r="M39" s="13" t="e">
        <f>INDEX(Input!$D$2:$AD$500,
       MATCH(B39, Input!$J$2:$J$500, 0),
       MATCH("Memory Type", Input!$D$1:$AD$1, 0))</f>
        <v>#N/A</v>
      </c>
      <c r="N39" s="13" t="e">
        <f t="shared" si="0"/>
        <v>#N/A</v>
      </c>
      <c r="O39" s="13" t="str" cm="1">
        <f t="array" ref="O39">IFERROR(_xlfn.FILTERXML("&lt;t&gt;&lt;s&gt;" &amp; SUBSTITUTE(M39," / ","&lt;/s&gt;&lt;s&gt;") &amp; "&lt;/s&gt;&lt;/t&gt;","(//s[contains(.,'DDR')])[1]"),"")</f>
        <v/>
      </c>
      <c r="P39" t="e">
        <f t="shared" si="1"/>
        <v>#N/A</v>
      </c>
      <c r="Q39" t="str" cm="1">
        <f t="array" ref="Q39">_xlfn.TEXTJOIN(", ", TRUE, _xlfn._xlws.FILTER(Input!W:W, Input!J:J=B39))</f>
        <v/>
      </c>
      <c r="S39" s="13" t="str">
        <f>_xlfn.LET(_xlpm.Result,_xlfn.XLOOKUP(B39,Input!J:J,Input!AB:AB),IF(_xlpm.Result="","",_xlpm.Result))</f>
        <v/>
      </c>
      <c r="T39" s="13" t="str" cm="1">
        <f t="array" ref="T39">IFERROR(_xlfn.IFS(
   --S39&lt;55,"Battery Defect",
  -- S39&lt;=69,"Battery D",
  --S39&lt;=80,"Battery C",
 --S39&gt;80,""
),"")</f>
        <v/>
      </c>
      <c r="U39" s="13" t="str" cm="1">
        <f t="array" ref="U39:Z39">IFERROR(IF(_xlfn.XLOOKUP(B39,Input!J:J,Input!N:S)=0,"",
          _xlfn.XLOOKUP(B39,Input!J:J,Input!N:S)),"")</f>
        <v/>
      </c>
      <c r="V39" s="13" t="str">
        <v/>
      </c>
      <c r="W39" s="13" t="str">
        <v/>
      </c>
      <c r="X39" s="13" t="str">
        <v/>
      </c>
      <c r="Y39" s="13" t="str">
        <v/>
      </c>
      <c r="Z39" s="13" t="str">
        <v/>
      </c>
      <c r="AA39" t="str">
        <f t="shared" si="2"/>
        <v/>
      </c>
      <c r="AB39" t="str">
        <f>_xlfn.XLOOKUP(B:B,Disk_Pivot!G:G,Disk_Pivot!I:I)</f>
        <v>No</v>
      </c>
      <c r="AC39" t="str">
        <f>_xlfn.XLOOKUP(B39,Disk_Pivot!G:G,Disk_Pivot!N:N)</f>
        <v/>
      </c>
    </row>
    <row r="40" spans="1:29">
      <c r="A40" t="str">
        <f>_xlfn.TEXTJOIN("",TRUE,_xlfn.XLOOKUP(B40,Input!J:J,Input!G:G,"",0,1),_xlfn.XLOOKUP(B40,Input!J:J,Input!H:H,"",0,1))</f>
        <v/>
      </c>
      <c r="C40" s="13">
        <f>_xlfn.XLOOKUP(B40,Input!J:J,Input!F:F)</f>
        <v>0</v>
      </c>
      <c r="D40">
        <f>_xlfn.XLOOKUP(C40,Models!H:H,Models!G:G,C40)</f>
        <v>0</v>
      </c>
      <c r="F40" t="str">
        <f>_xlfn.XLOOKUP(H40,Models!B:B,Models!F:F,"")</f>
        <v/>
      </c>
      <c r="G40">
        <f>_xlfn.XLOOKUP(B40,Input!J:J,Input!E:E)</f>
        <v>0</v>
      </c>
      <c r="H40">
        <f>IF(G40="LENOVO",_xlfn.XLOOKUP(B40,Input!J:J,Input!K:K),_xlfn.XLOOKUP(B40,Input!J:J,Input!L:L))</f>
        <v>0</v>
      </c>
      <c r="K40">
        <f>_xlfn.XLOOKUP(B40,CPU_Formula!A:A,CPU_Formula!I:I)</f>
        <v>0</v>
      </c>
      <c r="L40" s="13" t="e">
        <f>INDEX(Input!$D$2:$AD$500,
       MATCH(B40, Input!$J$2:$J$500, 0),
       MATCH("Memory Capacity", Input!$D$1:$AD$1, 0))</f>
        <v>#N/A</v>
      </c>
      <c r="M40" s="13" t="e">
        <f>INDEX(Input!$D$2:$AD$500,
       MATCH(B40, Input!$J$2:$J$500, 0),
       MATCH("Memory Type", Input!$D$1:$AD$1, 0))</f>
        <v>#N/A</v>
      </c>
      <c r="N40" s="13" t="e">
        <f t="shared" si="0"/>
        <v>#N/A</v>
      </c>
      <c r="O40" s="13" t="str" cm="1">
        <f t="array" ref="O40">IFERROR(_xlfn.FILTERXML("&lt;t&gt;&lt;s&gt;" &amp; SUBSTITUTE(M40," / ","&lt;/s&gt;&lt;s&gt;") &amp; "&lt;/s&gt;&lt;/t&gt;","(//s[contains(.,'DDR')])[1]"),"")</f>
        <v/>
      </c>
      <c r="P40" t="e">
        <f t="shared" si="1"/>
        <v>#N/A</v>
      </c>
      <c r="Q40" t="str" cm="1">
        <f t="array" ref="Q40">_xlfn.TEXTJOIN(", ", TRUE, _xlfn._xlws.FILTER(Input!W:W, Input!J:J=B40))</f>
        <v/>
      </c>
      <c r="S40" s="13" t="str">
        <f>_xlfn.LET(_xlpm.Result,_xlfn.XLOOKUP(B40,Input!J:J,Input!AB:AB),IF(_xlpm.Result="","",_xlpm.Result))</f>
        <v/>
      </c>
      <c r="T40" s="13" t="str" cm="1">
        <f t="array" ref="T40">IFERROR(_xlfn.IFS(
   --S40&lt;55,"Battery Defect",
  -- S40&lt;=69,"Battery D",
  --S40&lt;=80,"Battery C",
 --S40&gt;80,""
),"")</f>
        <v/>
      </c>
      <c r="U40" s="13" t="str" cm="1">
        <f t="array" ref="U40:Z40">IFERROR(IF(_xlfn.XLOOKUP(B40,Input!J:J,Input!N:S)=0,"",
          _xlfn.XLOOKUP(B40,Input!J:J,Input!N:S)),"")</f>
        <v/>
      </c>
      <c r="V40" s="13" t="str">
        <v/>
      </c>
      <c r="W40" s="13" t="str">
        <v/>
      </c>
      <c r="X40" s="13" t="str">
        <v/>
      </c>
      <c r="Y40" s="13" t="str">
        <v/>
      </c>
      <c r="Z40" s="13" t="str">
        <v/>
      </c>
      <c r="AA40" t="str">
        <f t="shared" si="2"/>
        <v/>
      </c>
      <c r="AB40" t="str">
        <f>_xlfn.XLOOKUP(B:B,Disk_Pivot!G:G,Disk_Pivot!I:I)</f>
        <v>No</v>
      </c>
      <c r="AC40" t="str">
        <f>_xlfn.XLOOKUP(B40,Disk_Pivot!G:G,Disk_Pivot!N:N)</f>
        <v/>
      </c>
    </row>
    <row r="41" spans="1:29">
      <c r="A41" t="str">
        <f>_xlfn.TEXTJOIN("",TRUE,_xlfn.XLOOKUP(B41,Input!J:J,Input!G:G,"",0,1),_xlfn.XLOOKUP(B41,Input!J:J,Input!H:H,"",0,1))</f>
        <v/>
      </c>
      <c r="C41" s="13">
        <f>_xlfn.XLOOKUP(B41,Input!J:J,Input!F:F)</f>
        <v>0</v>
      </c>
      <c r="D41">
        <f>_xlfn.XLOOKUP(C41,Models!H:H,Models!G:G,C41)</f>
        <v>0</v>
      </c>
      <c r="F41" t="str">
        <f>_xlfn.XLOOKUP(H41,Models!B:B,Models!F:F,"")</f>
        <v/>
      </c>
      <c r="G41">
        <f>_xlfn.XLOOKUP(B41,Input!J:J,Input!E:E)</f>
        <v>0</v>
      </c>
      <c r="H41">
        <f>IF(G41="LENOVO",_xlfn.XLOOKUP(B41,Input!J:J,Input!K:K),_xlfn.XLOOKUP(B41,Input!J:J,Input!L:L))</f>
        <v>0</v>
      </c>
      <c r="K41">
        <f>_xlfn.XLOOKUP(B41,CPU_Formula!A:A,CPU_Formula!I:I)</f>
        <v>0</v>
      </c>
      <c r="L41" s="13" t="e">
        <f>INDEX(Input!$D$2:$AD$500,
       MATCH(B41, Input!$J$2:$J$500, 0),
       MATCH("Memory Capacity", Input!$D$1:$AD$1, 0))</f>
        <v>#N/A</v>
      </c>
      <c r="M41" s="13" t="e">
        <f>INDEX(Input!$D$2:$AD$500,
       MATCH(B41, Input!$J$2:$J$500, 0),
       MATCH("Memory Type", Input!$D$1:$AD$1, 0))</f>
        <v>#N/A</v>
      </c>
      <c r="N41" s="13" t="e">
        <f t="shared" si="0"/>
        <v>#N/A</v>
      </c>
      <c r="O41" s="13" t="str" cm="1">
        <f t="array" ref="O41">IFERROR(_xlfn.FILTERXML("&lt;t&gt;&lt;s&gt;" &amp; SUBSTITUTE(M41," / ","&lt;/s&gt;&lt;s&gt;") &amp; "&lt;/s&gt;&lt;/t&gt;","(//s[contains(.,'DDR')])[1]"),"")</f>
        <v/>
      </c>
      <c r="P41" t="e">
        <f t="shared" si="1"/>
        <v>#N/A</v>
      </c>
      <c r="Q41" t="str" cm="1">
        <f t="array" ref="Q41">_xlfn.TEXTJOIN(", ", TRUE, _xlfn._xlws.FILTER(Input!W:W, Input!J:J=B41))</f>
        <v/>
      </c>
      <c r="S41" s="13" t="str">
        <f>_xlfn.LET(_xlpm.Result,_xlfn.XLOOKUP(B41,Input!J:J,Input!AB:AB),IF(_xlpm.Result="","",_xlpm.Result))</f>
        <v/>
      </c>
      <c r="T41" s="13" t="str" cm="1">
        <f t="array" ref="T41">IFERROR(_xlfn.IFS(
   --S41&lt;55,"Battery Defect",
  -- S41&lt;=69,"Battery D",
  --S41&lt;=80,"Battery C",
 --S41&gt;80,""
),"")</f>
        <v/>
      </c>
      <c r="U41" s="13" t="str" cm="1">
        <f t="array" ref="U41:Z41">IFERROR(IF(_xlfn.XLOOKUP(B41,Input!J:J,Input!N:S)=0,"",
          _xlfn.XLOOKUP(B41,Input!J:J,Input!N:S)),"")</f>
        <v/>
      </c>
      <c r="V41" s="13" t="str">
        <v/>
      </c>
      <c r="W41" s="13" t="str">
        <v/>
      </c>
      <c r="X41" s="13" t="str">
        <v/>
      </c>
      <c r="Y41" s="13" t="str">
        <v/>
      </c>
      <c r="Z41" s="13" t="str">
        <v/>
      </c>
      <c r="AA41" t="str">
        <f t="shared" si="2"/>
        <v/>
      </c>
      <c r="AB41" t="str">
        <f>_xlfn.XLOOKUP(B:B,Disk_Pivot!G:G,Disk_Pivot!I:I)</f>
        <v>No</v>
      </c>
      <c r="AC41" t="str">
        <f>_xlfn.XLOOKUP(B41,Disk_Pivot!G:G,Disk_Pivot!N:N)</f>
        <v/>
      </c>
    </row>
    <row r="42" spans="1:29">
      <c r="A42" t="str">
        <f>_xlfn.TEXTJOIN("",TRUE,_xlfn.XLOOKUP(B42,Input!J:J,Input!G:G,"",0,1),_xlfn.XLOOKUP(B42,Input!J:J,Input!H:H,"",0,1))</f>
        <v/>
      </c>
      <c r="C42" s="13">
        <f>_xlfn.XLOOKUP(B42,Input!J:J,Input!F:F)</f>
        <v>0</v>
      </c>
      <c r="D42">
        <f>_xlfn.XLOOKUP(C42,Models!H:H,Models!G:G,C42)</f>
        <v>0</v>
      </c>
      <c r="F42" t="str">
        <f>_xlfn.XLOOKUP(H42,Models!B:B,Models!F:F,"")</f>
        <v/>
      </c>
      <c r="G42">
        <f>_xlfn.XLOOKUP(B42,Input!J:J,Input!E:E)</f>
        <v>0</v>
      </c>
      <c r="H42">
        <f>IF(G42="LENOVO",_xlfn.XLOOKUP(B42,Input!J:J,Input!K:K),_xlfn.XLOOKUP(B42,Input!J:J,Input!L:L))</f>
        <v>0</v>
      </c>
      <c r="K42">
        <f>_xlfn.XLOOKUP(B42,CPU_Formula!A:A,CPU_Formula!I:I)</f>
        <v>0</v>
      </c>
      <c r="L42" s="13" t="e">
        <f>INDEX(Input!$D$2:$AD$500,
       MATCH(B42, Input!$J$2:$J$500, 0),
       MATCH("Memory Capacity", Input!$D$1:$AD$1, 0))</f>
        <v>#N/A</v>
      </c>
      <c r="M42" s="13" t="e">
        <f>INDEX(Input!$D$2:$AD$500,
       MATCH(B42, Input!$J$2:$J$500, 0),
       MATCH("Memory Type", Input!$D$1:$AD$1, 0))</f>
        <v>#N/A</v>
      </c>
      <c r="N42" s="13" t="e">
        <f t="shared" si="0"/>
        <v>#N/A</v>
      </c>
      <c r="O42" s="13" t="str" cm="1">
        <f t="array" ref="O42">IFERROR(_xlfn.FILTERXML("&lt;t&gt;&lt;s&gt;" &amp; SUBSTITUTE(M42," / ","&lt;/s&gt;&lt;s&gt;") &amp; "&lt;/s&gt;&lt;/t&gt;","(//s[contains(.,'DDR')])[1]"),"")</f>
        <v/>
      </c>
      <c r="P42" t="e">
        <f t="shared" si="1"/>
        <v>#N/A</v>
      </c>
      <c r="Q42" t="str" cm="1">
        <f t="array" ref="Q42">_xlfn.TEXTJOIN(", ", TRUE, _xlfn._xlws.FILTER(Input!W:W, Input!J:J=B42))</f>
        <v/>
      </c>
      <c r="S42" s="13" t="str">
        <f>_xlfn.LET(_xlpm.Result,_xlfn.XLOOKUP(B42,Input!J:J,Input!AB:AB),IF(_xlpm.Result="","",_xlpm.Result))</f>
        <v/>
      </c>
      <c r="T42" s="13" t="str" cm="1">
        <f t="array" ref="T42">IFERROR(_xlfn.IFS(
   --S42&lt;55,"Battery Defect",
  -- S42&lt;=69,"Battery D",
  --S42&lt;=80,"Battery C",
 --S42&gt;80,""
),"")</f>
        <v/>
      </c>
      <c r="U42" s="13" t="str" cm="1">
        <f t="array" ref="U42:Z42">IFERROR(IF(_xlfn.XLOOKUP(B42,Input!J:J,Input!N:S)=0,"",
          _xlfn.XLOOKUP(B42,Input!J:J,Input!N:S)),"")</f>
        <v/>
      </c>
      <c r="V42" s="13" t="str">
        <v/>
      </c>
      <c r="W42" s="13" t="str">
        <v/>
      </c>
      <c r="X42" s="13" t="str">
        <v/>
      </c>
      <c r="Y42" s="13" t="str">
        <v/>
      </c>
      <c r="Z42" s="13" t="str">
        <v/>
      </c>
      <c r="AA42" t="str">
        <f t="shared" si="2"/>
        <v/>
      </c>
      <c r="AB42" t="str">
        <f>_xlfn.XLOOKUP(B:B,Disk_Pivot!G:G,Disk_Pivot!I:I)</f>
        <v>No</v>
      </c>
      <c r="AC42" t="str">
        <f>_xlfn.XLOOKUP(B42,Disk_Pivot!G:G,Disk_Pivot!N:N)</f>
        <v/>
      </c>
    </row>
    <row r="43" spans="1:29">
      <c r="A43" t="str">
        <f>_xlfn.TEXTJOIN("",TRUE,_xlfn.XLOOKUP(B43,Input!J:J,Input!G:G,"",0,1),_xlfn.XLOOKUP(B43,Input!J:J,Input!H:H,"",0,1))</f>
        <v/>
      </c>
      <c r="C43" s="13">
        <f>_xlfn.XLOOKUP(B43,Input!J:J,Input!F:F)</f>
        <v>0</v>
      </c>
      <c r="D43">
        <f>_xlfn.XLOOKUP(C43,Models!H:H,Models!G:G,C43)</f>
        <v>0</v>
      </c>
      <c r="F43" t="str">
        <f>_xlfn.XLOOKUP(H43,Models!B:B,Models!F:F,"")</f>
        <v/>
      </c>
      <c r="G43">
        <f>_xlfn.XLOOKUP(B43,Input!J:J,Input!E:E)</f>
        <v>0</v>
      </c>
      <c r="H43">
        <f>IF(G43="LENOVO",_xlfn.XLOOKUP(B43,Input!J:J,Input!K:K),_xlfn.XLOOKUP(B43,Input!J:J,Input!L:L))</f>
        <v>0</v>
      </c>
      <c r="K43">
        <f>_xlfn.XLOOKUP(B43,CPU_Formula!A:A,CPU_Formula!I:I)</f>
        <v>0</v>
      </c>
      <c r="L43" s="13" t="e">
        <f>INDEX(Input!$D$2:$AD$500,
       MATCH(B43, Input!$J$2:$J$500, 0),
       MATCH("Memory Capacity", Input!$D$1:$AD$1, 0))</f>
        <v>#N/A</v>
      </c>
      <c r="M43" s="13" t="e">
        <f>INDEX(Input!$D$2:$AD$500,
       MATCH(B43, Input!$J$2:$J$500, 0),
       MATCH("Memory Type", Input!$D$1:$AD$1, 0))</f>
        <v>#N/A</v>
      </c>
      <c r="N43" s="13" t="e">
        <f t="shared" si="0"/>
        <v>#N/A</v>
      </c>
      <c r="O43" s="13" t="str" cm="1">
        <f t="array" ref="O43">IFERROR(_xlfn.FILTERXML("&lt;t&gt;&lt;s&gt;" &amp; SUBSTITUTE(M43," / ","&lt;/s&gt;&lt;s&gt;") &amp; "&lt;/s&gt;&lt;/t&gt;","(//s[contains(.,'DDR')])[1]"),"")</f>
        <v/>
      </c>
      <c r="P43" t="e">
        <f t="shared" si="1"/>
        <v>#N/A</v>
      </c>
      <c r="Q43" t="str" cm="1">
        <f t="array" ref="Q43">_xlfn.TEXTJOIN(", ", TRUE, _xlfn._xlws.FILTER(Input!W:W, Input!J:J=B43))</f>
        <v/>
      </c>
      <c r="S43" s="13" t="str">
        <f>_xlfn.LET(_xlpm.Result,_xlfn.XLOOKUP(B43,Input!J:J,Input!AB:AB),IF(_xlpm.Result="","",_xlpm.Result))</f>
        <v/>
      </c>
      <c r="T43" s="13" t="str" cm="1">
        <f t="array" ref="T43">IFERROR(_xlfn.IFS(
   --S43&lt;55,"Battery Defect",
  -- S43&lt;=69,"Battery D",
  --S43&lt;=80,"Battery C",
 --S43&gt;80,""
),"")</f>
        <v/>
      </c>
      <c r="U43" s="13" t="str" cm="1">
        <f t="array" ref="U43:Z43">IFERROR(IF(_xlfn.XLOOKUP(B43,Input!J:J,Input!N:S)=0,"",
          _xlfn.XLOOKUP(B43,Input!J:J,Input!N:S)),"")</f>
        <v/>
      </c>
      <c r="V43" s="13" t="str">
        <v/>
      </c>
      <c r="W43" s="13" t="str">
        <v/>
      </c>
      <c r="X43" s="13" t="str">
        <v/>
      </c>
      <c r="Y43" s="13" t="str">
        <v/>
      </c>
      <c r="Z43" s="13" t="str">
        <v/>
      </c>
      <c r="AA43" t="str">
        <f t="shared" si="2"/>
        <v/>
      </c>
      <c r="AB43" t="str">
        <f>_xlfn.XLOOKUP(B:B,Disk_Pivot!G:G,Disk_Pivot!I:I)</f>
        <v>No</v>
      </c>
      <c r="AC43" t="str">
        <f>_xlfn.XLOOKUP(B43,Disk_Pivot!G:G,Disk_Pivot!N:N)</f>
        <v/>
      </c>
    </row>
    <row r="44" spans="1:29">
      <c r="A44" t="str">
        <f>_xlfn.TEXTJOIN("",TRUE,_xlfn.XLOOKUP(B44,Input!J:J,Input!G:G,"",0,1),_xlfn.XLOOKUP(B44,Input!J:J,Input!H:H,"",0,1))</f>
        <v/>
      </c>
      <c r="C44" s="13">
        <f>_xlfn.XLOOKUP(B44,Input!J:J,Input!F:F)</f>
        <v>0</v>
      </c>
      <c r="D44">
        <f>_xlfn.XLOOKUP(C44,Models!H:H,Models!G:G,C44)</f>
        <v>0</v>
      </c>
      <c r="F44" t="str">
        <f>_xlfn.XLOOKUP(H44,Models!B:B,Models!F:F,"")</f>
        <v/>
      </c>
      <c r="G44">
        <f>_xlfn.XLOOKUP(B44,Input!J:J,Input!E:E)</f>
        <v>0</v>
      </c>
      <c r="H44">
        <f>IF(G44="LENOVO",_xlfn.XLOOKUP(B44,Input!J:J,Input!K:K),_xlfn.XLOOKUP(B44,Input!J:J,Input!L:L))</f>
        <v>0</v>
      </c>
      <c r="K44">
        <f>_xlfn.XLOOKUP(B44,CPU_Formula!A:A,CPU_Formula!I:I)</f>
        <v>0</v>
      </c>
      <c r="L44" s="13" t="e">
        <f>INDEX(Input!$D$2:$AD$500,
       MATCH(B44, Input!$J$2:$J$500, 0),
       MATCH("Memory Capacity", Input!$D$1:$AD$1, 0))</f>
        <v>#N/A</v>
      </c>
      <c r="M44" s="13" t="e">
        <f>INDEX(Input!$D$2:$AD$500,
       MATCH(B44, Input!$J$2:$J$500, 0),
       MATCH("Memory Type", Input!$D$1:$AD$1, 0))</f>
        <v>#N/A</v>
      </c>
      <c r="N44" s="13" t="e">
        <f t="shared" si="0"/>
        <v>#N/A</v>
      </c>
      <c r="O44" s="13" t="str" cm="1">
        <f t="array" ref="O44">IFERROR(_xlfn.FILTERXML("&lt;t&gt;&lt;s&gt;" &amp; SUBSTITUTE(M44," / ","&lt;/s&gt;&lt;s&gt;") &amp; "&lt;/s&gt;&lt;/t&gt;","(//s[contains(.,'DDR')])[1]"),"")</f>
        <v/>
      </c>
      <c r="P44" t="e">
        <f t="shared" si="1"/>
        <v>#N/A</v>
      </c>
      <c r="Q44" t="str" cm="1">
        <f t="array" ref="Q44">_xlfn.TEXTJOIN(", ", TRUE, _xlfn._xlws.FILTER(Input!W:W, Input!J:J=B44))</f>
        <v/>
      </c>
      <c r="S44" s="13" t="str">
        <f>_xlfn.LET(_xlpm.Result,_xlfn.XLOOKUP(B44,Input!J:J,Input!AB:AB),IF(_xlpm.Result="","",_xlpm.Result))</f>
        <v/>
      </c>
      <c r="T44" s="13" t="str" cm="1">
        <f t="array" ref="T44">IFERROR(_xlfn.IFS(
   --S44&lt;55,"Battery Defect",
  -- S44&lt;=69,"Battery D",
  --S44&lt;=80,"Battery C",
 --S44&gt;80,""
),"")</f>
        <v/>
      </c>
      <c r="U44" s="13" t="str" cm="1">
        <f t="array" ref="U44:Z44">IFERROR(IF(_xlfn.XLOOKUP(B44,Input!J:J,Input!N:S)=0,"",
          _xlfn.XLOOKUP(B44,Input!J:J,Input!N:S)),"")</f>
        <v/>
      </c>
      <c r="V44" s="13" t="str">
        <v/>
      </c>
      <c r="W44" s="13" t="str">
        <v/>
      </c>
      <c r="X44" s="13" t="str">
        <v/>
      </c>
      <c r="Y44" s="13" t="str">
        <v/>
      </c>
      <c r="Z44" s="13" t="str">
        <v/>
      </c>
      <c r="AA44" t="str">
        <f t="shared" si="2"/>
        <v/>
      </c>
      <c r="AB44" t="str">
        <f>_xlfn.XLOOKUP(B:B,Disk_Pivot!G:G,Disk_Pivot!I:I)</f>
        <v>No</v>
      </c>
      <c r="AC44" t="str">
        <f>_xlfn.XLOOKUP(B44,Disk_Pivot!G:G,Disk_Pivot!N:N)</f>
        <v/>
      </c>
    </row>
    <row r="45" spans="1:29">
      <c r="A45" t="str">
        <f>_xlfn.TEXTJOIN("",TRUE,_xlfn.XLOOKUP(B45,Input!J:J,Input!G:G,"",0,1),_xlfn.XLOOKUP(B45,Input!J:J,Input!H:H,"",0,1))</f>
        <v/>
      </c>
      <c r="C45" s="13">
        <f>_xlfn.XLOOKUP(B45,Input!J:J,Input!F:F)</f>
        <v>0</v>
      </c>
      <c r="D45">
        <f>_xlfn.XLOOKUP(C45,Models!H:H,Models!G:G,C45)</f>
        <v>0</v>
      </c>
      <c r="F45" t="str">
        <f>_xlfn.XLOOKUP(H45,Models!B:B,Models!F:F,"")</f>
        <v/>
      </c>
      <c r="G45">
        <f>_xlfn.XLOOKUP(B45,Input!J:J,Input!E:E)</f>
        <v>0</v>
      </c>
      <c r="H45">
        <f>IF(G45="LENOVO",_xlfn.XLOOKUP(B45,Input!J:J,Input!K:K),_xlfn.XLOOKUP(B45,Input!J:J,Input!L:L))</f>
        <v>0</v>
      </c>
      <c r="K45">
        <f>_xlfn.XLOOKUP(B45,CPU_Formula!A:A,CPU_Formula!I:I)</f>
        <v>0</v>
      </c>
      <c r="L45" s="13" t="e">
        <f>INDEX(Input!$D$2:$AD$500,
       MATCH(B45, Input!$J$2:$J$500, 0),
       MATCH("Memory Capacity", Input!$D$1:$AD$1, 0))</f>
        <v>#N/A</v>
      </c>
      <c r="M45" s="13" t="e">
        <f>INDEX(Input!$D$2:$AD$500,
       MATCH(B45, Input!$J$2:$J$500, 0),
       MATCH("Memory Type", Input!$D$1:$AD$1, 0))</f>
        <v>#N/A</v>
      </c>
      <c r="N45" s="13" t="e">
        <f t="shared" si="0"/>
        <v>#N/A</v>
      </c>
      <c r="O45" s="13" t="str" cm="1">
        <f t="array" ref="O45">IFERROR(_xlfn.FILTERXML("&lt;t&gt;&lt;s&gt;" &amp; SUBSTITUTE(M45," / ","&lt;/s&gt;&lt;s&gt;") &amp; "&lt;/s&gt;&lt;/t&gt;","(//s[contains(.,'DDR')])[1]"),"")</f>
        <v/>
      </c>
      <c r="P45" t="e">
        <f t="shared" si="1"/>
        <v>#N/A</v>
      </c>
      <c r="Q45" t="str" cm="1">
        <f t="array" ref="Q45">_xlfn.TEXTJOIN(", ", TRUE, _xlfn._xlws.FILTER(Input!W:W, Input!J:J=B45))</f>
        <v/>
      </c>
      <c r="S45" s="13" t="str">
        <f>_xlfn.LET(_xlpm.Result,_xlfn.XLOOKUP(B45,Input!J:J,Input!AB:AB),IF(_xlpm.Result="","",_xlpm.Result))</f>
        <v/>
      </c>
      <c r="T45" s="13" t="str" cm="1">
        <f t="array" ref="T45">IFERROR(_xlfn.IFS(
   --S45&lt;55,"Battery Defect",
  -- S45&lt;=69,"Battery D",
  --S45&lt;=80,"Battery C",
 --S45&gt;80,""
),"")</f>
        <v/>
      </c>
      <c r="U45" s="13" t="str" cm="1">
        <f t="array" ref="U45:Z45">IFERROR(IF(_xlfn.XLOOKUP(B45,Input!J:J,Input!N:S)=0,"",
          _xlfn.XLOOKUP(B45,Input!J:J,Input!N:S)),"")</f>
        <v/>
      </c>
      <c r="V45" s="13" t="str">
        <v/>
      </c>
      <c r="W45" s="13" t="str">
        <v/>
      </c>
      <c r="X45" s="13" t="str">
        <v/>
      </c>
      <c r="Y45" s="13" t="str">
        <v/>
      </c>
      <c r="Z45" s="13" t="str">
        <v/>
      </c>
      <c r="AA45" t="str">
        <f t="shared" si="2"/>
        <v/>
      </c>
      <c r="AB45" t="str">
        <f>_xlfn.XLOOKUP(B:B,Disk_Pivot!G:G,Disk_Pivot!I:I)</f>
        <v>No</v>
      </c>
      <c r="AC45" t="str">
        <f>_xlfn.XLOOKUP(B45,Disk_Pivot!G:G,Disk_Pivot!N:N)</f>
        <v/>
      </c>
    </row>
    <row r="46" spans="1:29">
      <c r="A46" t="str">
        <f>_xlfn.TEXTJOIN("",TRUE,_xlfn.XLOOKUP(B46,Input!J:J,Input!G:G,"",0,1),_xlfn.XLOOKUP(B46,Input!J:J,Input!H:H,"",0,1))</f>
        <v/>
      </c>
      <c r="C46" s="13">
        <f>_xlfn.XLOOKUP(B46,Input!J:J,Input!F:F)</f>
        <v>0</v>
      </c>
      <c r="D46">
        <f>_xlfn.XLOOKUP(C46,Models!H:H,Models!G:G,C46)</f>
        <v>0</v>
      </c>
      <c r="F46" t="str">
        <f>_xlfn.XLOOKUP(H46,Models!B:B,Models!F:F,"")</f>
        <v/>
      </c>
      <c r="G46">
        <f>_xlfn.XLOOKUP(B46,Input!J:J,Input!E:E)</f>
        <v>0</v>
      </c>
      <c r="H46">
        <f>IF(G46="LENOVO",_xlfn.XLOOKUP(B46,Input!J:J,Input!K:K),_xlfn.XLOOKUP(B46,Input!J:J,Input!L:L))</f>
        <v>0</v>
      </c>
      <c r="K46">
        <f>_xlfn.XLOOKUP(B46,CPU_Formula!A:A,CPU_Formula!I:I)</f>
        <v>0</v>
      </c>
      <c r="L46" s="13" t="e">
        <f>INDEX(Input!$D$2:$AD$500,
       MATCH(B46, Input!$J$2:$J$500, 0),
       MATCH("Memory Capacity", Input!$D$1:$AD$1, 0))</f>
        <v>#N/A</v>
      </c>
      <c r="M46" s="13" t="e">
        <f>INDEX(Input!$D$2:$AD$500,
       MATCH(B46, Input!$J$2:$J$500, 0),
       MATCH("Memory Type", Input!$D$1:$AD$1, 0))</f>
        <v>#N/A</v>
      </c>
      <c r="N46" s="13" t="e">
        <f t="shared" si="0"/>
        <v>#N/A</v>
      </c>
      <c r="O46" s="13" t="str" cm="1">
        <f t="array" ref="O46">IFERROR(_xlfn.FILTERXML("&lt;t&gt;&lt;s&gt;" &amp; SUBSTITUTE(M46," / ","&lt;/s&gt;&lt;s&gt;") &amp; "&lt;/s&gt;&lt;/t&gt;","(//s[contains(.,'DDR')])[1]"),"")</f>
        <v/>
      </c>
      <c r="P46" t="e">
        <f t="shared" si="1"/>
        <v>#N/A</v>
      </c>
      <c r="Q46" t="str" cm="1">
        <f t="array" ref="Q46">_xlfn.TEXTJOIN(", ", TRUE, _xlfn._xlws.FILTER(Input!W:W, Input!J:J=B46))</f>
        <v/>
      </c>
      <c r="S46" s="13" t="str">
        <f>_xlfn.LET(_xlpm.Result,_xlfn.XLOOKUP(B46,Input!J:J,Input!AB:AB),IF(_xlpm.Result="","",_xlpm.Result))</f>
        <v/>
      </c>
      <c r="T46" s="13" t="str" cm="1">
        <f t="array" ref="T46">IFERROR(_xlfn.IFS(
   --S46&lt;55,"Battery Defect",
  -- S46&lt;=69,"Battery D",
  --S46&lt;=80,"Battery C",
 --S46&gt;80,""
),"")</f>
        <v/>
      </c>
      <c r="U46" s="13" t="str" cm="1">
        <f t="array" ref="U46:Z46">IFERROR(IF(_xlfn.XLOOKUP(B46,Input!J:J,Input!N:S)=0,"",
          _xlfn.XLOOKUP(B46,Input!J:J,Input!N:S)),"")</f>
        <v/>
      </c>
      <c r="V46" s="13" t="str">
        <v/>
      </c>
      <c r="W46" s="13" t="str">
        <v/>
      </c>
      <c r="X46" s="13" t="str">
        <v/>
      </c>
      <c r="Y46" s="13" t="str">
        <v/>
      </c>
      <c r="Z46" s="13" t="str">
        <v/>
      </c>
      <c r="AA46" t="str">
        <f t="shared" si="2"/>
        <v/>
      </c>
      <c r="AB46" t="str">
        <f>_xlfn.XLOOKUP(B:B,Disk_Pivot!G:G,Disk_Pivot!I:I)</f>
        <v>No</v>
      </c>
      <c r="AC46" t="str">
        <f>_xlfn.XLOOKUP(B46,Disk_Pivot!G:G,Disk_Pivot!N:N)</f>
        <v/>
      </c>
    </row>
    <row r="47" spans="1:29">
      <c r="A47" t="str">
        <f>_xlfn.TEXTJOIN("",TRUE,_xlfn.XLOOKUP(B47,Input!J:J,Input!G:G,"",0,1),_xlfn.XLOOKUP(B47,Input!J:J,Input!H:H,"",0,1))</f>
        <v/>
      </c>
      <c r="C47" s="13">
        <f>_xlfn.XLOOKUP(B47,Input!J:J,Input!F:F)</f>
        <v>0</v>
      </c>
      <c r="D47">
        <f>_xlfn.XLOOKUP(C47,Models!H:H,Models!G:G,C47)</f>
        <v>0</v>
      </c>
      <c r="F47" t="str">
        <f>_xlfn.XLOOKUP(H47,Models!B:B,Models!F:F,"")</f>
        <v/>
      </c>
      <c r="G47">
        <f>_xlfn.XLOOKUP(B47,Input!J:J,Input!E:E)</f>
        <v>0</v>
      </c>
      <c r="H47">
        <f>IF(G47="LENOVO",_xlfn.XLOOKUP(B47,Input!J:J,Input!K:K),_xlfn.XLOOKUP(B47,Input!J:J,Input!L:L))</f>
        <v>0</v>
      </c>
      <c r="K47">
        <f>_xlfn.XLOOKUP(B47,CPU_Formula!A:A,CPU_Formula!I:I)</f>
        <v>0</v>
      </c>
      <c r="L47" s="13" t="e">
        <f>INDEX(Input!$D$2:$AD$500,
       MATCH(B47, Input!$J$2:$J$500, 0),
       MATCH("Memory Capacity", Input!$D$1:$AD$1, 0))</f>
        <v>#N/A</v>
      </c>
      <c r="M47" s="13" t="e">
        <f>INDEX(Input!$D$2:$AD$500,
       MATCH(B47, Input!$J$2:$J$500, 0),
       MATCH("Memory Type", Input!$D$1:$AD$1, 0))</f>
        <v>#N/A</v>
      </c>
      <c r="N47" s="13" t="e">
        <f t="shared" si="0"/>
        <v>#N/A</v>
      </c>
      <c r="O47" s="13" t="str" cm="1">
        <f t="array" ref="O47">IFERROR(_xlfn.FILTERXML("&lt;t&gt;&lt;s&gt;" &amp; SUBSTITUTE(M47," / ","&lt;/s&gt;&lt;s&gt;") &amp; "&lt;/s&gt;&lt;/t&gt;","(//s[contains(.,'DDR')])[1]"),"")</f>
        <v/>
      </c>
      <c r="P47" t="e">
        <f t="shared" si="1"/>
        <v>#N/A</v>
      </c>
      <c r="Q47" t="str" cm="1">
        <f t="array" ref="Q47">_xlfn.TEXTJOIN(", ", TRUE, _xlfn._xlws.FILTER(Input!W:W, Input!J:J=B47))</f>
        <v/>
      </c>
      <c r="S47" s="13" t="str">
        <f>_xlfn.LET(_xlpm.Result,_xlfn.XLOOKUP(B47,Input!J:J,Input!AB:AB),IF(_xlpm.Result="","",_xlpm.Result))</f>
        <v/>
      </c>
      <c r="T47" s="13" t="str" cm="1">
        <f t="array" ref="T47">IFERROR(_xlfn.IFS(
   --S47&lt;55,"Battery Defect",
  -- S47&lt;=69,"Battery D",
  --S47&lt;=80,"Battery C",
 --S47&gt;80,""
),"")</f>
        <v/>
      </c>
      <c r="U47" s="13" t="str" cm="1">
        <f t="array" ref="U47:Z47">IFERROR(IF(_xlfn.XLOOKUP(B47,Input!J:J,Input!N:S)=0,"",
          _xlfn.XLOOKUP(B47,Input!J:J,Input!N:S)),"")</f>
        <v/>
      </c>
      <c r="V47" s="13" t="str">
        <v/>
      </c>
      <c r="W47" s="13" t="str">
        <v/>
      </c>
      <c r="X47" s="13" t="str">
        <v/>
      </c>
      <c r="Y47" s="13" t="str">
        <v/>
      </c>
      <c r="Z47" s="13" t="str">
        <v/>
      </c>
      <c r="AA47" t="str">
        <f t="shared" si="2"/>
        <v/>
      </c>
      <c r="AB47" t="str">
        <f>_xlfn.XLOOKUP(B:B,Disk_Pivot!G:G,Disk_Pivot!I:I)</f>
        <v>No</v>
      </c>
      <c r="AC47" t="str">
        <f>_xlfn.XLOOKUP(B47,Disk_Pivot!G:G,Disk_Pivot!N:N)</f>
        <v/>
      </c>
    </row>
    <row r="48" spans="1:29">
      <c r="A48" t="str">
        <f>_xlfn.TEXTJOIN("",TRUE,_xlfn.XLOOKUP(B48,Input!J:J,Input!G:G,"",0,1),_xlfn.XLOOKUP(B48,Input!J:J,Input!H:H,"",0,1))</f>
        <v/>
      </c>
      <c r="C48" s="13">
        <f>_xlfn.XLOOKUP(B48,Input!J:J,Input!F:F)</f>
        <v>0</v>
      </c>
      <c r="D48">
        <f>_xlfn.XLOOKUP(C48,Models!H:H,Models!G:G,C48)</f>
        <v>0</v>
      </c>
      <c r="F48" t="str">
        <f>_xlfn.XLOOKUP(H48,Models!B:B,Models!F:F,"")</f>
        <v/>
      </c>
      <c r="G48">
        <f>_xlfn.XLOOKUP(B48,Input!J:J,Input!E:E)</f>
        <v>0</v>
      </c>
      <c r="H48">
        <f>IF(G48="LENOVO",_xlfn.XLOOKUP(B48,Input!J:J,Input!K:K),_xlfn.XLOOKUP(B48,Input!J:J,Input!L:L))</f>
        <v>0</v>
      </c>
      <c r="K48">
        <f>_xlfn.XLOOKUP(B48,CPU_Formula!A:A,CPU_Formula!I:I)</f>
        <v>0</v>
      </c>
      <c r="L48" s="13" t="e">
        <f>INDEX(Input!$D$2:$AD$500,
       MATCH(B48, Input!$J$2:$J$500, 0),
       MATCH("Memory Capacity", Input!$D$1:$AD$1, 0))</f>
        <v>#N/A</v>
      </c>
      <c r="M48" s="13" t="e">
        <f>INDEX(Input!$D$2:$AD$500,
       MATCH(B48, Input!$J$2:$J$500, 0),
       MATCH("Memory Type", Input!$D$1:$AD$1, 0))</f>
        <v>#N/A</v>
      </c>
      <c r="N48" s="13" t="e">
        <f t="shared" si="0"/>
        <v>#N/A</v>
      </c>
      <c r="O48" s="13" t="str" cm="1">
        <f t="array" ref="O48">IFERROR(_xlfn.FILTERXML("&lt;t&gt;&lt;s&gt;" &amp; SUBSTITUTE(M48," / ","&lt;/s&gt;&lt;s&gt;") &amp; "&lt;/s&gt;&lt;/t&gt;","(//s[contains(.,'DDR')])[1]"),"")</f>
        <v/>
      </c>
      <c r="P48" t="e">
        <f t="shared" si="1"/>
        <v>#N/A</v>
      </c>
      <c r="Q48" t="str" cm="1">
        <f t="array" ref="Q48">_xlfn.TEXTJOIN(", ", TRUE, _xlfn._xlws.FILTER(Input!W:W, Input!J:J=B48))</f>
        <v/>
      </c>
      <c r="S48" s="13" t="str">
        <f>_xlfn.LET(_xlpm.Result,_xlfn.XLOOKUP(B48,Input!J:J,Input!AB:AB),IF(_xlpm.Result="","",_xlpm.Result))</f>
        <v/>
      </c>
      <c r="T48" s="13" t="str" cm="1">
        <f t="array" ref="T48">IFERROR(_xlfn.IFS(
   --S48&lt;55,"Battery Defect",
  -- S48&lt;=69,"Battery D",
  --S48&lt;=80,"Battery C",
 --S48&gt;80,""
),"")</f>
        <v/>
      </c>
      <c r="U48" s="13" t="str" cm="1">
        <f t="array" ref="U48:Z48">IFERROR(IF(_xlfn.XLOOKUP(B48,Input!J:J,Input!N:S)=0,"",
          _xlfn.XLOOKUP(B48,Input!J:J,Input!N:S)),"")</f>
        <v/>
      </c>
      <c r="V48" s="13" t="str">
        <v/>
      </c>
      <c r="W48" s="13" t="str">
        <v/>
      </c>
      <c r="X48" s="13" t="str">
        <v/>
      </c>
      <c r="Y48" s="13" t="str">
        <v/>
      </c>
      <c r="Z48" s="13" t="str">
        <v/>
      </c>
      <c r="AA48" t="str">
        <f t="shared" si="2"/>
        <v/>
      </c>
      <c r="AB48" t="str">
        <f>_xlfn.XLOOKUP(B:B,Disk_Pivot!G:G,Disk_Pivot!I:I)</f>
        <v>No</v>
      </c>
      <c r="AC48" t="str">
        <f>_xlfn.XLOOKUP(B48,Disk_Pivot!G:G,Disk_Pivot!N:N)</f>
        <v/>
      </c>
    </row>
    <row r="49" spans="1:29">
      <c r="A49" t="str">
        <f>_xlfn.TEXTJOIN("",TRUE,_xlfn.XLOOKUP(B49,Input!J:J,Input!G:G,"",0,1),_xlfn.XLOOKUP(B49,Input!J:J,Input!H:H,"",0,1))</f>
        <v/>
      </c>
      <c r="C49" s="13">
        <f>_xlfn.XLOOKUP(B49,Input!J:J,Input!F:F)</f>
        <v>0</v>
      </c>
      <c r="D49">
        <f>_xlfn.XLOOKUP(C49,Models!H:H,Models!G:G,C49)</f>
        <v>0</v>
      </c>
      <c r="F49" t="str">
        <f>_xlfn.XLOOKUP(H49,Models!B:B,Models!F:F,"")</f>
        <v/>
      </c>
      <c r="G49">
        <f>_xlfn.XLOOKUP(B49,Input!J:J,Input!E:E)</f>
        <v>0</v>
      </c>
      <c r="H49">
        <f>IF(G49="LENOVO",_xlfn.XLOOKUP(B49,Input!J:J,Input!K:K),_xlfn.XLOOKUP(B49,Input!J:J,Input!L:L))</f>
        <v>0</v>
      </c>
      <c r="K49">
        <f>_xlfn.XLOOKUP(B49,CPU_Formula!A:A,CPU_Formula!I:I)</f>
        <v>0</v>
      </c>
      <c r="L49" s="13" t="e">
        <f>INDEX(Input!$D$2:$AD$500,
       MATCH(B49, Input!$J$2:$J$500, 0),
       MATCH("Memory Capacity", Input!$D$1:$AD$1, 0))</f>
        <v>#N/A</v>
      </c>
      <c r="M49" s="13" t="e">
        <f>INDEX(Input!$D$2:$AD$500,
       MATCH(B49, Input!$J$2:$J$500, 0),
       MATCH("Memory Type", Input!$D$1:$AD$1, 0))</f>
        <v>#N/A</v>
      </c>
      <c r="N49" s="13" t="e">
        <f t="shared" si="0"/>
        <v>#N/A</v>
      </c>
      <c r="O49" s="13" t="str" cm="1">
        <f t="array" ref="O49">IFERROR(_xlfn.FILTERXML("&lt;t&gt;&lt;s&gt;" &amp; SUBSTITUTE(M49," / ","&lt;/s&gt;&lt;s&gt;") &amp; "&lt;/s&gt;&lt;/t&gt;","(//s[contains(.,'DDR')])[1]"),"")</f>
        <v/>
      </c>
      <c r="P49" t="e">
        <f t="shared" si="1"/>
        <v>#N/A</v>
      </c>
      <c r="Q49" t="str" cm="1">
        <f t="array" ref="Q49">_xlfn.TEXTJOIN(", ", TRUE, _xlfn._xlws.FILTER(Input!W:W, Input!J:J=B49))</f>
        <v/>
      </c>
      <c r="S49" s="13" t="str">
        <f>_xlfn.LET(_xlpm.Result,_xlfn.XLOOKUP(B49,Input!J:J,Input!AB:AB),IF(_xlpm.Result="","",_xlpm.Result))</f>
        <v/>
      </c>
      <c r="T49" s="13" t="str" cm="1">
        <f t="array" ref="T49">IFERROR(_xlfn.IFS(
   --S49&lt;55,"Battery Defect",
  -- S49&lt;=69,"Battery D",
  --S49&lt;=80,"Battery C",
 --S49&gt;80,""
),"")</f>
        <v/>
      </c>
      <c r="U49" s="13" t="str" cm="1">
        <f t="array" ref="U49:Z49">IFERROR(IF(_xlfn.XLOOKUP(B49,Input!J:J,Input!N:S)=0,"",
          _xlfn.XLOOKUP(B49,Input!J:J,Input!N:S)),"")</f>
        <v/>
      </c>
      <c r="V49" s="13" t="str">
        <v/>
      </c>
      <c r="W49" s="13" t="str">
        <v/>
      </c>
      <c r="X49" s="13" t="str">
        <v/>
      </c>
      <c r="Y49" s="13" t="str">
        <v/>
      </c>
      <c r="Z49" s="13" t="str">
        <v/>
      </c>
      <c r="AA49" t="str">
        <f t="shared" si="2"/>
        <v/>
      </c>
      <c r="AB49" t="str">
        <f>_xlfn.XLOOKUP(B:B,Disk_Pivot!G:G,Disk_Pivot!I:I)</f>
        <v>No</v>
      </c>
      <c r="AC49" t="str">
        <f>_xlfn.XLOOKUP(B49,Disk_Pivot!G:G,Disk_Pivot!N:N)</f>
        <v/>
      </c>
    </row>
    <row r="50" spans="1:29">
      <c r="A50" t="str">
        <f>_xlfn.TEXTJOIN("",TRUE,_xlfn.XLOOKUP(B50,Input!J:J,Input!G:G,"",0,1),_xlfn.XLOOKUP(B50,Input!J:J,Input!H:H,"",0,1))</f>
        <v/>
      </c>
      <c r="C50" s="13">
        <f>_xlfn.XLOOKUP(B50,Input!J:J,Input!F:F)</f>
        <v>0</v>
      </c>
      <c r="D50">
        <f>_xlfn.XLOOKUP(C50,Models!H:H,Models!G:G,C50)</f>
        <v>0</v>
      </c>
      <c r="F50" t="str">
        <f>_xlfn.XLOOKUP(H50,Models!B:B,Models!F:F,"")</f>
        <v/>
      </c>
      <c r="G50">
        <f>_xlfn.XLOOKUP(B50,Input!J:J,Input!E:E)</f>
        <v>0</v>
      </c>
      <c r="H50">
        <f>IF(G50="LENOVO",_xlfn.XLOOKUP(B50,Input!J:J,Input!K:K),_xlfn.XLOOKUP(B50,Input!J:J,Input!L:L))</f>
        <v>0</v>
      </c>
      <c r="K50">
        <f>_xlfn.XLOOKUP(B50,CPU_Formula!A:A,CPU_Formula!I:I)</f>
        <v>0</v>
      </c>
      <c r="L50" s="13" t="e">
        <f>INDEX(Input!$D$2:$AD$500,
       MATCH(B50, Input!$J$2:$J$500, 0),
       MATCH("Memory Capacity", Input!$D$1:$AD$1, 0))</f>
        <v>#N/A</v>
      </c>
      <c r="M50" s="13" t="e">
        <f>INDEX(Input!$D$2:$AD$500,
       MATCH(B50, Input!$J$2:$J$500, 0),
       MATCH("Memory Type", Input!$D$1:$AD$1, 0))</f>
        <v>#N/A</v>
      </c>
      <c r="N50" s="13" t="e">
        <f t="shared" si="0"/>
        <v>#N/A</v>
      </c>
      <c r="O50" s="13" t="str" cm="1">
        <f t="array" ref="O50">IFERROR(_xlfn.FILTERXML("&lt;t&gt;&lt;s&gt;" &amp; SUBSTITUTE(M50," / ","&lt;/s&gt;&lt;s&gt;") &amp; "&lt;/s&gt;&lt;/t&gt;","(//s[contains(.,'DDR')])[1]"),"")</f>
        <v/>
      </c>
      <c r="P50" t="e">
        <f t="shared" si="1"/>
        <v>#N/A</v>
      </c>
      <c r="Q50" t="str" cm="1">
        <f t="array" ref="Q50">_xlfn.TEXTJOIN(", ", TRUE, _xlfn._xlws.FILTER(Input!W:W, Input!J:J=B50))</f>
        <v/>
      </c>
      <c r="S50" s="13" t="str">
        <f>_xlfn.LET(_xlpm.Result,_xlfn.XLOOKUP(B50,Input!J:J,Input!AB:AB),IF(_xlpm.Result="","",_xlpm.Result))</f>
        <v/>
      </c>
      <c r="T50" s="13" t="str" cm="1">
        <f t="array" ref="T50">IFERROR(_xlfn.IFS(
   --S50&lt;55,"Battery Defect",
  -- S50&lt;=69,"Battery D",
  --S50&lt;=80,"Battery C",
 --S50&gt;80,""
),"")</f>
        <v/>
      </c>
      <c r="U50" s="13" t="str" cm="1">
        <f t="array" ref="U50:Z50">IFERROR(IF(_xlfn.XLOOKUP(B50,Input!J:J,Input!N:S)=0,"",
          _xlfn.XLOOKUP(B50,Input!J:J,Input!N:S)),"")</f>
        <v/>
      </c>
      <c r="V50" s="13" t="str">
        <v/>
      </c>
      <c r="W50" s="13" t="str">
        <v/>
      </c>
      <c r="X50" s="13" t="str">
        <v/>
      </c>
      <c r="Y50" s="13" t="str">
        <v/>
      </c>
      <c r="Z50" s="13" t="str">
        <v/>
      </c>
      <c r="AA50" t="str">
        <f t="shared" si="2"/>
        <v/>
      </c>
      <c r="AB50" t="str">
        <f>_xlfn.XLOOKUP(B:B,Disk_Pivot!G:G,Disk_Pivot!I:I)</f>
        <v>No</v>
      </c>
      <c r="AC50" t="str">
        <f>_xlfn.XLOOKUP(B50,Disk_Pivot!G:G,Disk_Pivot!N:N)</f>
        <v/>
      </c>
    </row>
    <row r="51" spans="1:29">
      <c r="A51" t="str">
        <f>_xlfn.TEXTJOIN("",TRUE,_xlfn.XLOOKUP(B51,Input!J:J,Input!G:G,"",0,1),_xlfn.XLOOKUP(B51,Input!J:J,Input!H:H,"",0,1))</f>
        <v/>
      </c>
      <c r="C51" s="13">
        <f>_xlfn.XLOOKUP(B51,Input!J:J,Input!F:F)</f>
        <v>0</v>
      </c>
      <c r="D51">
        <f>_xlfn.XLOOKUP(C51,Models!H:H,Models!G:G,C51)</f>
        <v>0</v>
      </c>
      <c r="F51" t="str">
        <f>_xlfn.XLOOKUP(H51,Models!B:B,Models!F:F,"")</f>
        <v/>
      </c>
      <c r="G51">
        <f>_xlfn.XLOOKUP(B51,Input!J:J,Input!E:E)</f>
        <v>0</v>
      </c>
      <c r="H51">
        <f>IF(G51="LENOVO",_xlfn.XLOOKUP(B51,Input!J:J,Input!K:K),_xlfn.XLOOKUP(B51,Input!J:J,Input!L:L))</f>
        <v>0</v>
      </c>
      <c r="K51">
        <f>_xlfn.XLOOKUP(B51,CPU_Formula!A:A,CPU_Formula!I:I)</f>
        <v>0</v>
      </c>
      <c r="L51" s="13" t="e">
        <f>INDEX(Input!$D$2:$AD$500,
       MATCH(B51, Input!$J$2:$J$500, 0),
       MATCH("Memory Capacity", Input!$D$1:$AD$1, 0))</f>
        <v>#N/A</v>
      </c>
      <c r="M51" s="13" t="e">
        <f>INDEX(Input!$D$2:$AD$500,
       MATCH(B51, Input!$J$2:$J$500, 0),
       MATCH("Memory Type", Input!$D$1:$AD$1, 0))</f>
        <v>#N/A</v>
      </c>
      <c r="N51" s="13" t="e">
        <f t="shared" si="0"/>
        <v>#N/A</v>
      </c>
      <c r="O51" s="13" t="str" cm="1">
        <f t="array" ref="O51">IFERROR(_xlfn.FILTERXML("&lt;t&gt;&lt;s&gt;" &amp; SUBSTITUTE(M51," / ","&lt;/s&gt;&lt;s&gt;") &amp; "&lt;/s&gt;&lt;/t&gt;","(//s[contains(.,'DDR')])[1]"),"")</f>
        <v/>
      </c>
      <c r="P51" t="e">
        <f t="shared" si="1"/>
        <v>#N/A</v>
      </c>
      <c r="Q51" t="str" cm="1">
        <f t="array" ref="Q51">_xlfn.TEXTJOIN(", ", TRUE, _xlfn._xlws.FILTER(Input!W:W, Input!J:J=B51))</f>
        <v/>
      </c>
      <c r="S51" s="13" t="str">
        <f>_xlfn.LET(_xlpm.Result,_xlfn.XLOOKUP(B51,Input!J:J,Input!AB:AB),IF(_xlpm.Result="","",_xlpm.Result))</f>
        <v/>
      </c>
      <c r="T51" s="13" t="str" cm="1">
        <f t="array" ref="T51">IFERROR(_xlfn.IFS(
   --S51&lt;55,"Battery Defect",
  -- S51&lt;=69,"Battery D",
  --S51&lt;=80,"Battery C",
 --S51&gt;80,""
),"")</f>
        <v/>
      </c>
      <c r="U51" s="13" t="str" cm="1">
        <f t="array" ref="U51:Z51">IFERROR(IF(_xlfn.XLOOKUP(B51,Input!J:J,Input!N:S)=0,"",
          _xlfn.XLOOKUP(B51,Input!J:J,Input!N:S)),"")</f>
        <v/>
      </c>
      <c r="V51" s="13" t="str">
        <v/>
      </c>
      <c r="W51" s="13" t="str">
        <v/>
      </c>
      <c r="X51" s="13" t="str">
        <v/>
      </c>
      <c r="Y51" s="13" t="str">
        <v/>
      </c>
      <c r="Z51" s="13" t="str">
        <v/>
      </c>
      <c r="AA51" t="str">
        <f t="shared" si="2"/>
        <v/>
      </c>
      <c r="AB51" t="str">
        <f>_xlfn.XLOOKUP(B:B,Disk_Pivot!G:G,Disk_Pivot!I:I)</f>
        <v>No</v>
      </c>
      <c r="AC51" t="str">
        <f>_xlfn.XLOOKUP(B51,Disk_Pivot!G:G,Disk_Pivot!N:N)</f>
        <v/>
      </c>
    </row>
    <row r="52" spans="1:29">
      <c r="A52" t="str">
        <f>_xlfn.TEXTJOIN("",TRUE,_xlfn.XLOOKUP(B52,Input!J:J,Input!G:G,"",0,1),_xlfn.XLOOKUP(B52,Input!J:J,Input!H:H,"",0,1))</f>
        <v/>
      </c>
      <c r="C52" s="13">
        <f>_xlfn.XLOOKUP(B52,Input!J:J,Input!F:F)</f>
        <v>0</v>
      </c>
      <c r="D52">
        <f>_xlfn.XLOOKUP(C52,Models!H:H,Models!G:G,C52)</f>
        <v>0</v>
      </c>
      <c r="F52" t="str">
        <f>_xlfn.XLOOKUP(H52,Models!B:B,Models!F:F,"")</f>
        <v/>
      </c>
      <c r="G52">
        <f>_xlfn.XLOOKUP(B52,Input!J:J,Input!E:E)</f>
        <v>0</v>
      </c>
      <c r="H52">
        <f>IF(G52="LENOVO",_xlfn.XLOOKUP(B52,Input!J:J,Input!K:K),_xlfn.XLOOKUP(B52,Input!J:J,Input!L:L))</f>
        <v>0</v>
      </c>
      <c r="K52">
        <f>_xlfn.XLOOKUP(B52,CPU_Formula!A:A,CPU_Formula!I:I)</f>
        <v>0</v>
      </c>
      <c r="L52" s="13" t="e">
        <f>INDEX(Input!$D$2:$AD$500,
       MATCH(B52, Input!$J$2:$J$500, 0),
       MATCH("Memory Capacity", Input!$D$1:$AD$1, 0))</f>
        <v>#N/A</v>
      </c>
      <c r="M52" s="13" t="e">
        <f>INDEX(Input!$D$2:$AD$500,
       MATCH(B52, Input!$J$2:$J$500, 0),
       MATCH("Memory Type", Input!$D$1:$AD$1, 0))</f>
        <v>#N/A</v>
      </c>
      <c r="N52" s="13" t="e">
        <f t="shared" si="0"/>
        <v>#N/A</v>
      </c>
      <c r="O52" s="13" t="str" cm="1">
        <f t="array" ref="O52">IFERROR(_xlfn.FILTERXML("&lt;t&gt;&lt;s&gt;" &amp; SUBSTITUTE(M52," / ","&lt;/s&gt;&lt;s&gt;") &amp; "&lt;/s&gt;&lt;/t&gt;","(//s[contains(.,'DDR')])[1]"),"")</f>
        <v/>
      </c>
      <c r="P52" t="e">
        <f t="shared" si="1"/>
        <v>#N/A</v>
      </c>
      <c r="Q52" t="str" cm="1">
        <f t="array" ref="Q52">_xlfn.TEXTJOIN(", ", TRUE, _xlfn._xlws.FILTER(Input!W:W, Input!J:J=B52))</f>
        <v/>
      </c>
      <c r="S52" s="13" t="str">
        <f>_xlfn.LET(_xlpm.Result,_xlfn.XLOOKUP(B52,Input!J:J,Input!AB:AB),IF(_xlpm.Result="","",_xlpm.Result))</f>
        <v/>
      </c>
      <c r="T52" s="13" t="str" cm="1">
        <f t="array" ref="T52">IFERROR(_xlfn.IFS(
   --S52&lt;55,"Battery Defect",
  -- S52&lt;=69,"Battery D",
  --S52&lt;=80,"Battery C",
 --S52&gt;80,""
),"")</f>
        <v/>
      </c>
      <c r="U52" s="13" t="str" cm="1">
        <f t="array" ref="U52:Z52">IFERROR(IF(_xlfn.XLOOKUP(B52,Input!J:J,Input!N:S)=0,"",
          _xlfn.XLOOKUP(B52,Input!J:J,Input!N:S)),"")</f>
        <v/>
      </c>
      <c r="V52" s="13" t="str">
        <v/>
      </c>
      <c r="W52" s="13" t="str">
        <v/>
      </c>
      <c r="X52" s="13" t="str">
        <v/>
      </c>
      <c r="Y52" s="13" t="str">
        <v/>
      </c>
      <c r="Z52" s="13" t="str">
        <v/>
      </c>
      <c r="AA52" t="str">
        <f t="shared" si="2"/>
        <v/>
      </c>
      <c r="AB52" t="str">
        <f>_xlfn.XLOOKUP(B:B,Disk_Pivot!G:G,Disk_Pivot!I:I)</f>
        <v>No</v>
      </c>
      <c r="AC52" t="str">
        <f>_xlfn.XLOOKUP(B52,Disk_Pivot!G:G,Disk_Pivot!N:N)</f>
        <v/>
      </c>
    </row>
    <row r="53" spans="1:29">
      <c r="A53" t="str">
        <f>_xlfn.TEXTJOIN("",TRUE,_xlfn.XLOOKUP(B53,Input!J:J,Input!G:G,"",0,1),_xlfn.XLOOKUP(B53,Input!J:J,Input!H:H,"",0,1))</f>
        <v/>
      </c>
      <c r="C53" s="13">
        <f>_xlfn.XLOOKUP(B53,Input!J:J,Input!F:F)</f>
        <v>0</v>
      </c>
      <c r="D53">
        <f>_xlfn.XLOOKUP(C53,Models!H:H,Models!G:G,C53)</f>
        <v>0</v>
      </c>
      <c r="F53" t="str">
        <f>_xlfn.XLOOKUP(H53,Models!B:B,Models!F:F,"")</f>
        <v/>
      </c>
      <c r="G53">
        <f>_xlfn.XLOOKUP(B53,Input!J:J,Input!E:E)</f>
        <v>0</v>
      </c>
      <c r="H53">
        <f>IF(G53="LENOVO",_xlfn.XLOOKUP(B53,Input!J:J,Input!K:K),_xlfn.XLOOKUP(B53,Input!J:J,Input!L:L))</f>
        <v>0</v>
      </c>
      <c r="K53">
        <f>_xlfn.XLOOKUP(B53,CPU_Formula!A:A,CPU_Formula!I:I)</f>
        <v>0</v>
      </c>
      <c r="L53" s="13" t="e">
        <f>INDEX(Input!$D$2:$AD$500,
       MATCH(B53, Input!$J$2:$J$500, 0),
       MATCH("Memory Capacity", Input!$D$1:$AD$1, 0))</f>
        <v>#N/A</v>
      </c>
      <c r="M53" s="13" t="e">
        <f>INDEX(Input!$D$2:$AD$500,
       MATCH(B53, Input!$J$2:$J$500, 0),
       MATCH("Memory Type", Input!$D$1:$AD$1, 0))</f>
        <v>#N/A</v>
      </c>
      <c r="N53" s="13" t="e">
        <f t="shared" si="0"/>
        <v>#N/A</v>
      </c>
      <c r="O53" s="13" t="str" cm="1">
        <f t="array" ref="O53">IFERROR(_xlfn.FILTERXML("&lt;t&gt;&lt;s&gt;" &amp; SUBSTITUTE(M53," / ","&lt;/s&gt;&lt;s&gt;") &amp; "&lt;/s&gt;&lt;/t&gt;","(//s[contains(.,'DDR')])[1]"),"")</f>
        <v/>
      </c>
      <c r="P53" t="e">
        <f t="shared" si="1"/>
        <v>#N/A</v>
      </c>
      <c r="Q53" t="str" cm="1">
        <f t="array" ref="Q53">_xlfn.TEXTJOIN(", ", TRUE, _xlfn._xlws.FILTER(Input!W:W, Input!J:J=B53))</f>
        <v/>
      </c>
      <c r="S53" s="13" t="str">
        <f>_xlfn.LET(_xlpm.Result,_xlfn.XLOOKUP(B53,Input!J:J,Input!AB:AB),IF(_xlpm.Result="","",_xlpm.Result))</f>
        <v/>
      </c>
      <c r="T53" s="13" t="str" cm="1">
        <f t="array" ref="T53">IFERROR(_xlfn.IFS(
   --S53&lt;55,"Battery Defect",
  -- S53&lt;=69,"Battery D",
  --S53&lt;=80,"Battery C",
 --S53&gt;80,""
),"")</f>
        <v/>
      </c>
      <c r="U53" s="13" t="str" cm="1">
        <f t="array" ref="U53:Z53">IFERROR(IF(_xlfn.XLOOKUP(B53,Input!J:J,Input!N:S)=0,"",
          _xlfn.XLOOKUP(B53,Input!J:J,Input!N:S)),"")</f>
        <v/>
      </c>
      <c r="V53" s="13" t="str">
        <v/>
      </c>
      <c r="W53" s="13" t="str">
        <v/>
      </c>
      <c r="X53" s="13" t="str">
        <v/>
      </c>
      <c r="Y53" s="13" t="str">
        <v/>
      </c>
      <c r="Z53" s="13" t="str">
        <v/>
      </c>
      <c r="AA53" t="str">
        <f t="shared" si="2"/>
        <v/>
      </c>
      <c r="AB53" t="str">
        <f>_xlfn.XLOOKUP(B:B,Disk_Pivot!G:G,Disk_Pivot!I:I)</f>
        <v>No</v>
      </c>
      <c r="AC53" t="str">
        <f>_xlfn.XLOOKUP(B53,Disk_Pivot!G:G,Disk_Pivot!N:N)</f>
        <v/>
      </c>
    </row>
    <row r="54" spans="1:29">
      <c r="A54" t="str">
        <f>_xlfn.TEXTJOIN("",TRUE,_xlfn.XLOOKUP(B54,Input!J:J,Input!G:G,"",0,1),_xlfn.XLOOKUP(B54,Input!J:J,Input!H:H,"",0,1))</f>
        <v/>
      </c>
      <c r="C54" s="13">
        <f>_xlfn.XLOOKUP(B54,Input!J:J,Input!F:F)</f>
        <v>0</v>
      </c>
      <c r="D54">
        <f>_xlfn.XLOOKUP(C54,Models!H:H,Models!G:G,C54)</f>
        <v>0</v>
      </c>
      <c r="F54" t="str">
        <f>_xlfn.XLOOKUP(H54,Models!B:B,Models!F:F,"")</f>
        <v/>
      </c>
      <c r="G54">
        <f>_xlfn.XLOOKUP(B54,Input!J:J,Input!E:E)</f>
        <v>0</v>
      </c>
      <c r="H54">
        <f>IF(G54="LENOVO",_xlfn.XLOOKUP(B54,Input!J:J,Input!K:K),_xlfn.XLOOKUP(B54,Input!J:J,Input!L:L))</f>
        <v>0</v>
      </c>
      <c r="K54">
        <f>_xlfn.XLOOKUP(B54,CPU_Formula!A:A,CPU_Formula!I:I)</f>
        <v>0</v>
      </c>
      <c r="L54" s="13" t="e">
        <f>INDEX(Input!$D$2:$AD$500,
       MATCH(B54, Input!$J$2:$J$500, 0),
       MATCH("Memory Capacity", Input!$D$1:$AD$1, 0))</f>
        <v>#N/A</v>
      </c>
      <c r="M54" s="13" t="e">
        <f>INDEX(Input!$D$2:$AD$500,
       MATCH(B54, Input!$J$2:$J$500, 0),
       MATCH("Memory Type", Input!$D$1:$AD$1, 0))</f>
        <v>#N/A</v>
      </c>
      <c r="N54" s="13" t="e">
        <f t="shared" si="0"/>
        <v>#N/A</v>
      </c>
      <c r="O54" s="13" t="str" cm="1">
        <f t="array" ref="O54">IFERROR(_xlfn.FILTERXML("&lt;t&gt;&lt;s&gt;" &amp; SUBSTITUTE(M54," / ","&lt;/s&gt;&lt;s&gt;") &amp; "&lt;/s&gt;&lt;/t&gt;","(//s[contains(.,'DDR')])[1]"),"")</f>
        <v/>
      </c>
      <c r="P54" t="e">
        <f t="shared" si="1"/>
        <v>#N/A</v>
      </c>
      <c r="Q54" t="str" cm="1">
        <f t="array" ref="Q54">_xlfn.TEXTJOIN(", ", TRUE, _xlfn._xlws.FILTER(Input!W:W, Input!J:J=B54))</f>
        <v/>
      </c>
      <c r="S54" s="13" t="str">
        <f>_xlfn.LET(_xlpm.Result,_xlfn.XLOOKUP(B54,Input!J:J,Input!AB:AB),IF(_xlpm.Result="","",_xlpm.Result))</f>
        <v/>
      </c>
      <c r="T54" s="13" t="str" cm="1">
        <f t="array" ref="T54">IFERROR(_xlfn.IFS(
   --S54&lt;55,"Battery Defect",
  -- S54&lt;=69,"Battery D",
  --S54&lt;=80,"Battery C",
 --S54&gt;80,""
),"")</f>
        <v/>
      </c>
      <c r="U54" s="13" t="str" cm="1">
        <f t="array" ref="U54:Z54">IFERROR(IF(_xlfn.XLOOKUP(B54,Input!J:J,Input!N:S)=0,"",
          _xlfn.XLOOKUP(B54,Input!J:J,Input!N:S)),"")</f>
        <v/>
      </c>
      <c r="V54" s="13" t="str">
        <v/>
      </c>
      <c r="W54" s="13" t="str">
        <v/>
      </c>
      <c r="X54" s="13" t="str">
        <v/>
      </c>
      <c r="Y54" s="13" t="str">
        <v/>
      </c>
      <c r="Z54" s="13" t="str">
        <v/>
      </c>
      <c r="AA54" t="str">
        <f t="shared" si="2"/>
        <v/>
      </c>
      <c r="AB54" t="str">
        <f>_xlfn.XLOOKUP(B:B,Disk_Pivot!G:G,Disk_Pivot!I:I)</f>
        <v>No</v>
      </c>
      <c r="AC54" t="str">
        <f>_xlfn.XLOOKUP(B54,Disk_Pivot!G:G,Disk_Pivot!N:N)</f>
        <v/>
      </c>
    </row>
    <row r="55" spans="1:29">
      <c r="A55" t="str">
        <f>_xlfn.TEXTJOIN("",TRUE,_xlfn.XLOOKUP(B55,Input!J:J,Input!G:G,"",0,1),_xlfn.XLOOKUP(B55,Input!J:J,Input!H:H,"",0,1))</f>
        <v/>
      </c>
      <c r="C55" s="13">
        <f>_xlfn.XLOOKUP(B55,Input!J:J,Input!F:F)</f>
        <v>0</v>
      </c>
      <c r="D55">
        <f>_xlfn.XLOOKUP(C55,Models!H:H,Models!G:G,C55)</f>
        <v>0</v>
      </c>
      <c r="F55" t="str">
        <f>_xlfn.XLOOKUP(H55,Models!B:B,Models!F:F,"")</f>
        <v/>
      </c>
      <c r="G55">
        <f>_xlfn.XLOOKUP(B55,Input!J:J,Input!E:E)</f>
        <v>0</v>
      </c>
      <c r="H55">
        <f>IF(G55="LENOVO",_xlfn.XLOOKUP(B55,Input!J:J,Input!K:K),_xlfn.XLOOKUP(B55,Input!J:J,Input!L:L))</f>
        <v>0</v>
      </c>
      <c r="K55">
        <f>_xlfn.XLOOKUP(B55,CPU_Formula!A:A,CPU_Formula!I:I)</f>
        <v>0</v>
      </c>
      <c r="L55" s="13" t="e">
        <f>INDEX(Input!$D$2:$AD$500,
       MATCH(B55, Input!$J$2:$J$500, 0),
       MATCH("Memory Capacity", Input!$D$1:$AD$1, 0))</f>
        <v>#N/A</v>
      </c>
      <c r="M55" s="13" t="e">
        <f>INDEX(Input!$D$2:$AD$500,
       MATCH(B55, Input!$J$2:$J$500, 0),
       MATCH("Memory Type", Input!$D$1:$AD$1, 0))</f>
        <v>#N/A</v>
      </c>
      <c r="N55" s="13" t="e">
        <f t="shared" si="0"/>
        <v>#N/A</v>
      </c>
      <c r="O55" s="13" t="str" cm="1">
        <f t="array" ref="O55">IFERROR(_xlfn.FILTERXML("&lt;t&gt;&lt;s&gt;" &amp; SUBSTITUTE(M55," / ","&lt;/s&gt;&lt;s&gt;") &amp; "&lt;/s&gt;&lt;/t&gt;","(//s[contains(.,'DDR')])[1]"),"")</f>
        <v/>
      </c>
      <c r="P55" t="e">
        <f t="shared" si="1"/>
        <v>#N/A</v>
      </c>
      <c r="Q55" t="str" cm="1">
        <f t="array" ref="Q55">_xlfn.TEXTJOIN(", ", TRUE, _xlfn._xlws.FILTER(Input!W:W, Input!J:J=B55))</f>
        <v/>
      </c>
      <c r="S55" s="13" t="str">
        <f>_xlfn.LET(_xlpm.Result,_xlfn.XLOOKUP(B55,Input!J:J,Input!AB:AB),IF(_xlpm.Result="","",_xlpm.Result))</f>
        <v/>
      </c>
      <c r="T55" s="13" t="str" cm="1">
        <f t="array" ref="T55">IFERROR(_xlfn.IFS(
   --S55&lt;55,"Battery Defect",
  -- S55&lt;=69,"Battery D",
  --S55&lt;=80,"Battery C",
 --S55&gt;80,""
),"")</f>
        <v/>
      </c>
      <c r="U55" s="13" t="str" cm="1">
        <f t="array" ref="U55:Z55">IFERROR(IF(_xlfn.XLOOKUP(B55,Input!J:J,Input!N:S)=0,"",
          _xlfn.XLOOKUP(B55,Input!J:J,Input!N:S)),"")</f>
        <v/>
      </c>
      <c r="V55" s="13" t="str">
        <v/>
      </c>
      <c r="W55" s="13" t="str">
        <v/>
      </c>
      <c r="X55" s="13" t="str">
        <v/>
      </c>
      <c r="Y55" s="13" t="str">
        <v/>
      </c>
      <c r="Z55" s="13" t="str">
        <v/>
      </c>
      <c r="AA55" t="str">
        <f t="shared" si="2"/>
        <v/>
      </c>
      <c r="AB55" t="str">
        <f>_xlfn.XLOOKUP(B:B,Disk_Pivot!G:G,Disk_Pivot!I:I)</f>
        <v>No</v>
      </c>
      <c r="AC55" t="str">
        <f>_xlfn.XLOOKUP(B55,Disk_Pivot!G:G,Disk_Pivot!N:N)</f>
        <v/>
      </c>
    </row>
    <row r="56" spans="1:29">
      <c r="A56" t="str">
        <f>_xlfn.TEXTJOIN("",TRUE,_xlfn.XLOOKUP(B56,Input!J:J,Input!G:G,"",0,1),_xlfn.XLOOKUP(B56,Input!J:J,Input!H:H,"",0,1))</f>
        <v/>
      </c>
      <c r="C56" s="13">
        <f>_xlfn.XLOOKUP(B56,Input!J:J,Input!F:F)</f>
        <v>0</v>
      </c>
      <c r="D56">
        <f>_xlfn.XLOOKUP(C56,Models!H:H,Models!G:G,C56)</f>
        <v>0</v>
      </c>
      <c r="F56" t="str">
        <f>_xlfn.XLOOKUP(H56,Models!B:B,Models!F:F,"")</f>
        <v/>
      </c>
      <c r="G56">
        <f>_xlfn.XLOOKUP(B56,Input!J:J,Input!E:E)</f>
        <v>0</v>
      </c>
      <c r="H56">
        <f>IF(G56="LENOVO",_xlfn.XLOOKUP(B56,Input!J:J,Input!K:K),_xlfn.XLOOKUP(B56,Input!J:J,Input!L:L))</f>
        <v>0</v>
      </c>
      <c r="K56">
        <f>_xlfn.XLOOKUP(B56,CPU_Formula!A:A,CPU_Formula!I:I)</f>
        <v>0</v>
      </c>
      <c r="L56" s="13" t="e">
        <f>INDEX(Input!$D$2:$AD$500,
       MATCH(B56, Input!$J$2:$J$500, 0),
       MATCH("Memory Capacity", Input!$D$1:$AD$1, 0))</f>
        <v>#N/A</v>
      </c>
      <c r="M56" s="13" t="e">
        <f>INDEX(Input!$D$2:$AD$500,
       MATCH(B56, Input!$J$2:$J$500, 0),
       MATCH("Memory Type", Input!$D$1:$AD$1, 0))</f>
        <v>#N/A</v>
      </c>
      <c r="N56" s="13" t="e">
        <f t="shared" si="0"/>
        <v>#N/A</v>
      </c>
      <c r="O56" s="13" t="str" cm="1">
        <f t="array" ref="O56">IFERROR(_xlfn.FILTERXML("&lt;t&gt;&lt;s&gt;" &amp; SUBSTITUTE(M56," / ","&lt;/s&gt;&lt;s&gt;") &amp; "&lt;/s&gt;&lt;/t&gt;","(//s[contains(.,'DDR')])[1]"),"")</f>
        <v/>
      </c>
      <c r="P56" t="e">
        <f t="shared" si="1"/>
        <v>#N/A</v>
      </c>
      <c r="Q56" t="str" cm="1">
        <f t="array" ref="Q56">_xlfn.TEXTJOIN(", ", TRUE, _xlfn._xlws.FILTER(Input!W:W, Input!J:J=B56))</f>
        <v/>
      </c>
      <c r="S56" s="13" t="str">
        <f>_xlfn.LET(_xlpm.Result,_xlfn.XLOOKUP(B56,Input!J:J,Input!AB:AB),IF(_xlpm.Result="","",_xlpm.Result))</f>
        <v/>
      </c>
      <c r="T56" s="13" t="str" cm="1">
        <f t="array" ref="T56">IFERROR(_xlfn.IFS(
   --S56&lt;55,"Battery Defect",
  -- S56&lt;=69,"Battery D",
  --S56&lt;=80,"Battery C",
 --S56&gt;80,""
),"")</f>
        <v/>
      </c>
      <c r="U56" s="13" t="str" cm="1">
        <f t="array" ref="U56:Z56">IFERROR(IF(_xlfn.XLOOKUP(B56,Input!J:J,Input!N:S)=0,"",
          _xlfn.XLOOKUP(B56,Input!J:J,Input!N:S)),"")</f>
        <v/>
      </c>
      <c r="V56" s="13" t="str">
        <v/>
      </c>
      <c r="W56" s="13" t="str">
        <v/>
      </c>
      <c r="X56" s="13" t="str">
        <v/>
      </c>
      <c r="Y56" s="13" t="str">
        <v/>
      </c>
      <c r="Z56" s="13" t="str">
        <v/>
      </c>
      <c r="AA56" t="str">
        <f t="shared" si="2"/>
        <v/>
      </c>
      <c r="AB56" t="str">
        <f>_xlfn.XLOOKUP(B:B,Disk_Pivot!G:G,Disk_Pivot!I:I)</f>
        <v>No</v>
      </c>
      <c r="AC56" t="str">
        <f>_xlfn.XLOOKUP(B56,Disk_Pivot!G:G,Disk_Pivot!N:N)</f>
        <v/>
      </c>
    </row>
    <row r="57" spans="1:29">
      <c r="A57" t="str">
        <f>_xlfn.TEXTJOIN("",TRUE,_xlfn.XLOOKUP(B57,Input!J:J,Input!G:G,"",0,1),_xlfn.XLOOKUP(B57,Input!J:J,Input!H:H,"",0,1))</f>
        <v/>
      </c>
      <c r="C57" s="13">
        <f>_xlfn.XLOOKUP(B57,Input!J:J,Input!F:F)</f>
        <v>0</v>
      </c>
      <c r="D57">
        <f>_xlfn.XLOOKUP(C57,Models!H:H,Models!G:G,C57)</f>
        <v>0</v>
      </c>
      <c r="F57" t="str">
        <f>_xlfn.XLOOKUP(H57,Models!B:B,Models!F:F,"")</f>
        <v/>
      </c>
      <c r="G57">
        <f>_xlfn.XLOOKUP(B57,Input!J:J,Input!E:E)</f>
        <v>0</v>
      </c>
      <c r="H57">
        <f>IF(G57="LENOVO",_xlfn.XLOOKUP(B57,Input!J:J,Input!K:K),_xlfn.XLOOKUP(B57,Input!J:J,Input!L:L))</f>
        <v>0</v>
      </c>
      <c r="K57">
        <f>_xlfn.XLOOKUP(B57,CPU_Formula!A:A,CPU_Formula!I:I)</f>
        <v>0</v>
      </c>
      <c r="L57" s="13" t="e">
        <f>INDEX(Input!$D$2:$AD$500,
       MATCH(B57, Input!$J$2:$J$500, 0),
       MATCH("Memory Capacity", Input!$D$1:$AD$1, 0))</f>
        <v>#N/A</v>
      </c>
      <c r="M57" s="13" t="e">
        <f>INDEX(Input!$D$2:$AD$500,
       MATCH(B57, Input!$J$2:$J$500, 0),
       MATCH("Memory Type", Input!$D$1:$AD$1, 0))</f>
        <v>#N/A</v>
      </c>
      <c r="N57" s="13" t="e">
        <f t="shared" si="0"/>
        <v>#N/A</v>
      </c>
      <c r="O57" s="13" t="str" cm="1">
        <f t="array" ref="O57">IFERROR(_xlfn.FILTERXML("&lt;t&gt;&lt;s&gt;" &amp; SUBSTITUTE(M57," / ","&lt;/s&gt;&lt;s&gt;") &amp; "&lt;/s&gt;&lt;/t&gt;","(//s[contains(.,'DDR')])[1]"),"")</f>
        <v/>
      </c>
      <c r="P57" t="e">
        <f t="shared" si="1"/>
        <v>#N/A</v>
      </c>
      <c r="Q57" t="str" cm="1">
        <f t="array" ref="Q57">_xlfn.TEXTJOIN(", ", TRUE, _xlfn._xlws.FILTER(Input!W:W, Input!J:J=B57))</f>
        <v/>
      </c>
      <c r="S57" s="13" t="str">
        <f>_xlfn.LET(_xlpm.Result,_xlfn.XLOOKUP(B57,Input!J:J,Input!AB:AB),IF(_xlpm.Result="","",_xlpm.Result))</f>
        <v/>
      </c>
      <c r="T57" s="13" t="str" cm="1">
        <f t="array" ref="T57">IFERROR(_xlfn.IFS(
   --S57&lt;55,"Battery Defect",
  -- S57&lt;=69,"Battery D",
  --S57&lt;=80,"Battery C",
 --S57&gt;80,""
),"")</f>
        <v/>
      </c>
      <c r="U57" s="13" t="str" cm="1">
        <f t="array" ref="U57:Z57">IFERROR(IF(_xlfn.XLOOKUP(B57,Input!J:J,Input!N:S)=0,"",
          _xlfn.XLOOKUP(B57,Input!J:J,Input!N:S)),"")</f>
        <v/>
      </c>
      <c r="V57" s="13" t="str">
        <v/>
      </c>
      <c r="W57" s="13" t="str">
        <v/>
      </c>
      <c r="X57" s="13" t="str">
        <v/>
      </c>
      <c r="Y57" s="13" t="str">
        <v/>
      </c>
      <c r="Z57" s="13" t="str">
        <v/>
      </c>
      <c r="AA57" t="str">
        <f t="shared" si="2"/>
        <v/>
      </c>
      <c r="AB57" t="str">
        <f>_xlfn.XLOOKUP(B:B,Disk_Pivot!G:G,Disk_Pivot!I:I)</f>
        <v>No</v>
      </c>
      <c r="AC57" t="str">
        <f>_xlfn.XLOOKUP(B57,Disk_Pivot!G:G,Disk_Pivot!N:N)</f>
        <v/>
      </c>
    </row>
    <row r="58" spans="1:29">
      <c r="A58" t="str">
        <f>_xlfn.TEXTJOIN("",TRUE,_xlfn.XLOOKUP(B58,Input!J:J,Input!G:G,"",0,1),_xlfn.XLOOKUP(B58,Input!J:J,Input!H:H,"",0,1))</f>
        <v/>
      </c>
      <c r="C58" s="13">
        <f>_xlfn.XLOOKUP(B58,Input!J:J,Input!F:F)</f>
        <v>0</v>
      </c>
      <c r="D58">
        <f>_xlfn.XLOOKUP(C58,Models!H:H,Models!G:G,C58)</f>
        <v>0</v>
      </c>
      <c r="F58" t="str">
        <f>_xlfn.XLOOKUP(H58,Models!B:B,Models!F:F,"")</f>
        <v/>
      </c>
      <c r="G58">
        <f>_xlfn.XLOOKUP(B58,Input!J:J,Input!E:E)</f>
        <v>0</v>
      </c>
      <c r="H58">
        <f>IF(G58="LENOVO",_xlfn.XLOOKUP(B58,Input!J:J,Input!K:K),_xlfn.XLOOKUP(B58,Input!J:J,Input!L:L))</f>
        <v>0</v>
      </c>
      <c r="K58">
        <f>_xlfn.XLOOKUP(B58,CPU_Formula!A:A,CPU_Formula!I:I)</f>
        <v>0</v>
      </c>
      <c r="L58" s="13" t="e">
        <f>INDEX(Input!$D$2:$AD$500,
       MATCH(B58, Input!$J$2:$J$500, 0),
       MATCH("Memory Capacity", Input!$D$1:$AD$1, 0))</f>
        <v>#N/A</v>
      </c>
      <c r="M58" s="13" t="e">
        <f>INDEX(Input!$D$2:$AD$500,
       MATCH(B58, Input!$J$2:$J$500, 0),
       MATCH("Memory Type", Input!$D$1:$AD$1, 0))</f>
        <v>#N/A</v>
      </c>
      <c r="N58" s="13" t="e">
        <f t="shared" si="0"/>
        <v>#N/A</v>
      </c>
      <c r="O58" s="13" t="str" cm="1">
        <f t="array" ref="O58">IFERROR(_xlfn.FILTERXML("&lt;t&gt;&lt;s&gt;" &amp; SUBSTITUTE(M58," / ","&lt;/s&gt;&lt;s&gt;") &amp; "&lt;/s&gt;&lt;/t&gt;","(//s[contains(.,'DDR')])[1]"),"")</f>
        <v/>
      </c>
      <c r="P58" t="e">
        <f t="shared" si="1"/>
        <v>#N/A</v>
      </c>
      <c r="Q58" t="str" cm="1">
        <f t="array" ref="Q58">_xlfn.TEXTJOIN(", ", TRUE, _xlfn._xlws.FILTER(Input!W:W, Input!J:J=B58))</f>
        <v/>
      </c>
      <c r="S58" s="13" t="str">
        <f>_xlfn.LET(_xlpm.Result,_xlfn.XLOOKUP(B58,Input!J:J,Input!AB:AB),IF(_xlpm.Result="","",_xlpm.Result))</f>
        <v/>
      </c>
      <c r="T58" s="13" t="str" cm="1">
        <f t="array" ref="T58">IFERROR(_xlfn.IFS(
   --S58&lt;55,"Battery Defect",
  -- S58&lt;=69,"Battery D",
  --S58&lt;=80,"Battery C",
 --S58&gt;80,""
),"")</f>
        <v/>
      </c>
      <c r="U58" s="13" t="str" cm="1">
        <f t="array" ref="U58:Z58">IFERROR(IF(_xlfn.XLOOKUP(B58,Input!J:J,Input!N:S)=0,"",
          _xlfn.XLOOKUP(B58,Input!J:J,Input!N:S)),"")</f>
        <v/>
      </c>
      <c r="V58" s="13" t="str">
        <v/>
      </c>
      <c r="W58" s="13" t="str">
        <v/>
      </c>
      <c r="X58" s="13" t="str">
        <v/>
      </c>
      <c r="Y58" s="13" t="str">
        <v/>
      </c>
      <c r="Z58" s="13" t="str">
        <v/>
      </c>
      <c r="AA58" t="str">
        <f t="shared" si="2"/>
        <v/>
      </c>
      <c r="AB58" t="str">
        <f>_xlfn.XLOOKUP(B:B,Disk_Pivot!G:G,Disk_Pivot!I:I)</f>
        <v>No</v>
      </c>
      <c r="AC58" t="str">
        <f>_xlfn.XLOOKUP(B58,Disk_Pivot!G:G,Disk_Pivot!N:N)</f>
        <v/>
      </c>
    </row>
    <row r="59" spans="1:29">
      <c r="A59" t="str">
        <f>_xlfn.TEXTJOIN("",TRUE,_xlfn.XLOOKUP(B59,Input!J:J,Input!G:G,"",0,1),_xlfn.XLOOKUP(B59,Input!J:J,Input!H:H,"",0,1))</f>
        <v/>
      </c>
      <c r="C59" s="13">
        <f>_xlfn.XLOOKUP(B59,Input!J:J,Input!F:F)</f>
        <v>0</v>
      </c>
      <c r="D59">
        <f>_xlfn.XLOOKUP(C59,Models!H:H,Models!G:G,C59)</f>
        <v>0</v>
      </c>
      <c r="F59" t="str">
        <f>_xlfn.XLOOKUP(H59,Models!B:B,Models!F:F,"")</f>
        <v/>
      </c>
      <c r="G59">
        <f>_xlfn.XLOOKUP(B59,Input!J:J,Input!E:E)</f>
        <v>0</v>
      </c>
      <c r="H59">
        <f>IF(G59="LENOVO",_xlfn.XLOOKUP(B59,Input!J:J,Input!K:K),_xlfn.XLOOKUP(B59,Input!J:J,Input!L:L))</f>
        <v>0</v>
      </c>
      <c r="K59">
        <f>_xlfn.XLOOKUP(B59,CPU_Formula!A:A,CPU_Formula!I:I)</f>
        <v>0</v>
      </c>
      <c r="L59" s="13" t="e">
        <f>INDEX(Input!$D$2:$AD$500,
       MATCH(B59, Input!$J$2:$J$500, 0),
       MATCH("Memory Capacity", Input!$D$1:$AD$1, 0))</f>
        <v>#N/A</v>
      </c>
      <c r="M59" s="13" t="e">
        <f>INDEX(Input!$D$2:$AD$500,
       MATCH(B59, Input!$J$2:$J$500, 0),
       MATCH("Memory Type", Input!$D$1:$AD$1, 0))</f>
        <v>#N/A</v>
      </c>
      <c r="N59" s="13" t="e">
        <f t="shared" si="0"/>
        <v>#N/A</v>
      </c>
      <c r="O59" s="13" t="str" cm="1">
        <f t="array" ref="O59">IFERROR(_xlfn.FILTERXML("&lt;t&gt;&lt;s&gt;" &amp; SUBSTITUTE(M59," / ","&lt;/s&gt;&lt;s&gt;") &amp; "&lt;/s&gt;&lt;/t&gt;","(//s[contains(.,'DDR')])[1]"),"")</f>
        <v/>
      </c>
      <c r="P59" t="e">
        <f t="shared" si="1"/>
        <v>#N/A</v>
      </c>
      <c r="Q59" t="str" cm="1">
        <f t="array" ref="Q59">_xlfn.TEXTJOIN(", ", TRUE, _xlfn._xlws.FILTER(Input!W:W, Input!J:J=B59))</f>
        <v/>
      </c>
      <c r="S59" s="13" t="str">
        <f>_xlfn.LET(_xlpm.Result,_xlfn.XLOOKUP(B59,Input!J:J,Input!AB:AB),IF(_xlpm.Result="","",_xlpm.Result))</f>
        <v/>
      </c>
      <c r="T59" s="13" t="str" cm="1">
        <f t="array" ref="T59">IFERROR(_xlfn.IFS(
   --S59&lt;55,"Battery Defect",
  -- S59&lt;=69,"Battery D",
  --S59&lt;=80,"Battery C",
 --S59&gt;80,""
),"")</f>
        <v/>
      </c>
      <c r="U59" s="13" t="str" cm="1">
        <f t="array" ref="U59:Z59">IFERROR(IF(_xlfn.XLOOKUP(B59,Input!J:J,Input!N:S)=0,"",
          _xlfn.XLOOKUP(B59,Input!J:J,Input!N:S)),"")</f>
        <v/>
      </c>
      <c r="V59" s="13" t="str">
        <v/>
      </c>
      <c r="W59" s="13" t="str">
        <v/>
      </c>
      <c r="X59" s="13" t="str">
        <v/>
      </c>
      <c r="Y59" s="13" t="str">
        <v/>
      </c>
      <c r="Z59" s="13" t="str">
        <v/>
      </c>
      <c r="AA59" t="str">
        <f t="shared" si="2"/>
        <v/>
      </c>
      <c r="AB59" t="str">
        <f>_xlfn.XLOOKUP(B:B,Disk_Pivot!G:G,Disk_Pivot!I:I)</f>
        <v>No</v>
      </c>
      <c r="AC59" t="str">
        <f>_xlfn.XLOOKUP(B59,Disk_Pivot!G:G,Disk_Pivot!N:N)</f>
        <v/>
      </c>
    </row>
    <row r="60" spans="1:29">
      <c r="A60" t="str">
        <f>_xlfn.TEXTJOIN("",TRUE,_xlfn.XLOOKUP(B60,Input!J:J,Input!G:G,"",0,1),_xlfn.XLOOKUP(B60,Input!J:J,Input!H:H,"",0,1))</f>
        <v/>
      </c>
      <c r="C60" s="13">
        <f>_xlfn.XLOOKUP(B60,Input!J:J,Input!F:F)</f>
        <v>0</v>
      </c>
      <c r="D60">
        <f>_xlfn.XLOOKUP(C60,Models!H:H,Models!G:G,C60)</f>
        <v>0</v>
      </c>
      <c r="F60" t="str">
        <f>_xlfn.XLOOKUP(H60,Models!B:B,Models!F:F,"")</f>
        <v/>
      </c>
      <c r="G60">
        <f>_xlfn.XLOOKUP(B60,Input!J:J,Input!E:E)</f>
        <v>0</v>
      </c>
      <c r="H60">
        <f>IF(G60="LENOVO",_xlfn.XLOOKUP(B60,Input!J:J,Input!K:K),_xlfn.XLOOKUP(B60,Input!J:J,Input!L:L))</f>
        <v>0</v>
      </c>
      <c r="K60">
        <f>_xlfn.XLOOKUP(B60,CPU_Formula!A:A,CPU_Formula!I:I)</f>
        <v>0</v>
      </c>
      <c r="L60" s="13" t="e">
        <f>INDEX(Input!$D$2:$AD$500,
       MATCH(B60, Input!$J$2:$J$500, 0),
       MATCH("Memory Capacity", Input!$D$1:$AD$1, 0))</f>
        <v>#N/A</v>
      </c>
      <c r="M60" s="13" t="e">
        <f>INDEX(Input!$D$2:$AD$500,
       MATCH(B60, Input!$J$2:$J$500, 0),
       MATCH("Memory Type", Input!$D$1:$AD$1, 0))</f>
        <v>#N/A</v>
      </c>
      <c r="N60" s="13" t="e">
        <f t="shared" si="0"/>
        <v>#N/A</v>
      </c>
      <c r="O60" s="13" t="str" cm="1">
        <f t="array" ref="O60">IFERROR(_xlfn.FILTERXML("&lt;t&gt;&lt;s&gt;" &amp; SUBSTITUTE(M60," / ","&lt;/s&gt;&lt;s&gt;") &amp; "&lt;/s&gt;&lt;/t&gt;","(//s[contains(.,'DDR')])[1]"),"")</f>
        <v/>
      </c>
      <c r="P60" t="e">
        <f t="shared" si="1"/>
        <v>#N/A</v>
      </c>
      <c r="Q60" t="str" cm="1">
        <f t="array" ref="Q60">_xlfn.TEXTJOIN(", ", TRUE, _xlfn._xlws.FILTER(Input!W:W, Input!J:J=B60))</f>
        <v/>
      </c>
      <c r="S60" s="13" t="str">
        <f>_xlfn.LET(_xlpm.Result,_xlfn.XLOOKUP(B60,Input!J:J,Input!AB:AB),IF(_xlpm.Result="","",_xlpm.Result))</f>
        <v/>
      </c>
      <c r="T60" s="13" t="str" cm="1">
        <f t="array" ref="T60">IFERROR(_xlfn.IFS(
   --S60&lt;55,"Battery Defect",
  -- S60&lt;=69,"Battery D",
  --S60&lt;=80,"Battery C",
 --S60&gt;80,""
),"")</f>
        <v/>
      </c>
      <c r="U60" s="13" t="str" cm="1">
        <f t="array" ref="U60:Z60">IFERROR(IF(_xlfn.XLOOKUP(B60,Input!J:J,Input!N:S)=0,"",
          _xlfn.XLOOKUP(B60,Input!J:J,Input!N:S)),"")</f>
        <v/>
      </c>
      <c r="V60" s="13" t="str">
        <v/>
      </c>
      <c r="W60" s="13" t="str">
        <v/>
      </c>
      <c r="X60" s="13" t="str">
        <v/>
      </c>
      <c r="Y60" s="13" t="str">
        <v/>
      </c>
      <c r="Z60" s="13" t="str">
        <v/>
      </c>
      <c r="AA60" t="str">
        <f t="shared" si="2"/>
        <v/>
      </c>
      <c r="AB60" t="str">
        <f>_xlfn.XLOOKUP(B:B,Disk_Pivot!G:G,Disk_Pivot!I:I)</f>
        <v>No</v>
      </c>
      <c r="AC60" t="str">
        <f>_xlfn.XLOOKUP(B60,Disk_Pivot!G:G,Disk_Pivot!N:N)</f>
        <v/>
      </c>
    </row>
    <row r="61" spans="1:29">
      <c r="A61" t="str">
        <f>_xlfn.TEXTJOIN("",TRUE,_xlfn.XLOOKUP(B61,Input!J:J,Input!G:G,"",0,1),_xlfn.XLOOKUP(B61,Input!J:J,Input!H:H,"",0,1))</f>
        <v/>
      </c>
      <c r="C61" s="13">
        <f>_xlfn.XLOOKUP(B61,Input!J:J,Input!F:F)</f>
        <v>0</v>
      </c>
      <c r="D61">
        <f>_xlfn.XLOOKUP(C61,Models!H:H,Models!G:G,C61)</f>
        <v>0</v>
      </c>
      <c r="F61" t="str">
        <f>_xlfn.XLOOKUP(H61,Models!B:B,Models!F:F,"")</f>
        <v/>
      </c>
      <c r="G61">
        <f>_xlfn.XLOOKUP(B61,Input!J:J,Input!E:E)</f>
        <v>0</v>
      </c>
      <c r="H61">
        <f>IF(G61="LENOVO",_xlfn.XLOOKUP(B61,Input!J:J,Input!K:K),_xlfn.XLOOKUP(B61,Input!J:J,Input!L:L))</f>
        <v>0</v>
      </c>
      <c r="K61">
        <f>_xlfn.XLOOKUP(B61,CPU_Formula!A:A,CPU_Formula!I:I)</f>
        <v>0</v>
      </c>
      <c r="L61" s="13" t="e">
        <f>INDEX(Input!$D$2:$AD$500,
       MATCH(B61, Input!$J$2:$J$500, 0),
       MATCH("Memory Capacity", Input!$D$1:$AD$1, 0))</f>
        <v>#N/A</v>
      </c>
      <c r="M61" s="13" t="e">
        <f>INDEX(Input!$D$2:$AD$500,
       MATCH(B61, Input!$J$2:$J$500, 0),
       MATCH("Memory Type", Input!$D$1:$AD$1, 0))</f>
        <v>#N/A</v>
      </c>
      <c r="N61" s="13" t="e">
        <f t="shared" si="0"/>
        <v>#N/A</v>
      </c>
      <c r="O61" s="13" t="str" cm="1">
        <f t="array" ref="O61">IFERROR(_xlfn.FILTERXML("&lt;t&gt;&lt;s&gt;" &amp; SUBSTITUTE(M61," / ","&lt;/s&gt;&lt;s&gt;") &amp; "&lt;/s&gt;&lt;/t&gt;","(//s[contains(.,'DDR')])[1]"),"")</f>
        <v/>
      </c>
      <c r="P61" t="e">
        <f t="shared" si="1"/>
        <v>#N/A</v>
      </c>
      <c r="Q61" t="str" cm="1">
        <f t="array" ref="Q61">_xlfn.TEXTJOIN(", ", TRUE, _xlfn._xlws.FILTER(Input!W:W, Input!J:J=B61))</f>
        <v/>
      </c>
      <c r="S61" s="13" t="str">
        <f>_xlfn.LET(_xlpm.Result,_xlfn.XLOOKUP(B61,Input!J:J,Input!AB:AB),IF(_xlpm.Result="","",_xlpm.Result))</f>
        <v/>
      </c>
      <c r="T61" s="13" t="str" cm="1">
        <f t="array" ref="T61">IFERROR(_xlfn.IFS(
   --S61&lt;55,"Battery Defect",
  -- S61&lt;=69,"Battery D",
  --S61&lt;=80,"Battery C",
 --S61&gt;80,""
),"")</f>
        <v/>
      </c>
      <c r="U61" s="13" t="str" cm="1">
        <f t="array" ref="U61:Z61">IFERROR(IF(_xlfn.XLOOKUP(B61,Input!J:J,Input!N:S)=0,"",
          _xlfn.XLOOKUP(B61,Input!J:J,Input!N:S)),"")</f>
        <v/>
      </c>
      <c r="V61" s="13" t="str">
        <v/>
      </c>
      <c r="W61" s="13" t="str">
        <v/>
      </c>
      <c r="X61" s="13" t="str">
        <v/>
      </c>
      <c r="Y61" s="13" t="str">
        <v/>
      </c>
      <c r="Z61" s="13" t="str">
        <v/>
      </c>
      <c r="AA61" t="str">
        <f t="shared" si="2"/>
        <v/>
      </c>
      <c r="AB61" t="str">
        <f>_xlfn.XLOOKUP(B:B,Disk_Pivot!G:G,Disk_Pivot!I:I)</f>
        <v>No</v>
      </c>
      <c r="AC61" t="str">
        <f>_xlfn.XLOOKUP(B61,Disk_Pivot!G:G,Disk_Pivot!N:N)</f>
        <v/>
      </c>
    </row>
    <row r="62" spans="1:29">
      <c r="A62" t="str">
        <f>_xlfn.TEXTJOIN("",TRUE,_xlfn.XLOOKUP(B62,Input!J:J,Input!G:G,"",0,1),_xlfn.XLOOKUP(B62,Input!J:J,Input!H:H,"",0,1))</f>
        <v/>
      </c>
      <c r="C62" s="13">
        <f>_xlfn.XLOOKUP(B62,Input!J:J,Input!F:F)</f>
        <v>0</v>
      </c>
      <c r="D62">
        <f>_xlfn.XLOOKUP(C62,Models!H:H,Models!G:G,C62)</f>
        <v>0</v>
      </c>
      <c r="F62" t="str">
        <f>_xlfn.XLOOKUP(H62,Models!B:B,Models!F:F,"")</f>
        <v/>
      </c>
      <c r="G62">
        <f>_xlfn.XLOOKUP(B62,Input!J:J,Input!E:E)</f>
        <v>0</v>
      </c>
      <c r="H62">
        <f>IF(G62="LENOVO",_xlfn.XLOOKUP(B62,Input!J:J,Input!K:K),_xlfn.XLOOKUP(B62,Input!J:J,Input!L:L))</f>
        <v>0</v>
      </c>
      <c r="K62">
        <f>_xlfn.XLOOKUP(B62,CPU_Formula!A:A,CPU_Formula!I:I)</f>
        <v>0</v>
      </c>
      <c r="L62" s="13" t="e">
        <f>INDEX(Input!$D$2:$AD$500,
       MATCH(B62, Input!$J$2:$J$500, 0),
       MATCH("Memory Capacity", Input!$D$1:$AD$1, 0))</f>
        <v>#N/A</v>
      </c>
      <c r="M62" s="13" t="e">
        <f>INDEX(Input!$D$2:$AD$500,
       MATCH(B62, Input!$J$2:$J$500, 0),
       MATCH("Memory Type", Input!$D$1:$AD$1, 0))</f>
        <v>#N/A</v>
      </c>
      <c r="N62" s="13" t="e">
        <f t="shared" si="0"/>
        <v>#N/A</v>
      </c>
      <c r="O62" s="13" t="str" cm="1">
        <f t="array" ref="O62">IFERROR(_xlfn.FILTERXML("&lt;t&gt;&lt;s&gt;" &amp; SUBSTITUTE(M62," / ","&lt;/s&gt;&lt;s&gt;") &amp; "&lt;/s&gt;&lt;/t&gt;","(//s[contains(.,'DDR')])[1]"),"")</f>
        <v/>
      </c>
      <c r="P62" t="e">
        <f t="shared" si="1"/>
        <v>#N/A</v>
      </c>
      <c r="Q62" t="str" cm="1">
        <f t="array" ref="Q62">_xlfn.TEXTJOIN(", ", TRUE, _xlfn._xlws.FILTER(Input!W:W, Input!J:J=B62))</f>
        <v/>
      </c>
      <c r="S62" s="13" t="str">
        <f>_xlfn.LET(_xlpm.Result,_xlfn.XLOOKUP(B62,Input!J:J,Input!AB:AB),IF(_xlpm.Result="","",_xlpm.Result))</f>
        <v/>
      </c>
      <c r="T62" s="13" t="str" cm="1">
        <f t="array" ref="T62">IFERROR(_xlfn.IFS(
   --S62&lt;55,"Battery Defect",
  -- S62&lt;=69,"Battery D",
  --S62&lt;=80,"Battery C",
 --S62&gt;80,""
),"")</f>
        <v/>
      </c>
      <c r="U62" s="13" t="str" cm="1">
        <f t="array" ref="U62:Z62">IFERROR(IF(_xlfn.XLOOKUP(B62,Input!J:J,Input!N:S)=0,"",
          _xlfn.XLOOKUP(B62,Input!J:J,Input!N:S)),"")</f>
        <v/>
      </c>
      <c r="V62" s="13" t="str">
        <v/>
      </c>
      <c r="W62" s="13" t="str">
        <v/>
      </c>
      <c r="X62" s="13" t="str">
        <v/>
      </c>
      <c r="Y62" s="13" t="str">
        <v/>
      </c>
      <c r="Z62" s="13" t="str">
        <v/>
      </c>
      <c r="AA62" t="str">
        <f t="shared" si="2"/>
        <v/>
      </c>
      <c r="AB62" t="str">
        <f>_xlfn.XLOOKUP(B:B,Disk_Pivot!G:G,Disk_Pivot!I:I)</f>
        <v>No</v>
      </c>
      <c r="AC62" t="str">
        <f>_xlfn.XLOOKUP(B62,Disk_Pivot!G:G,Disk_Pivot!N:N)</f>
        <v/>
      </c>
    </row>
    <row r="63" spans="1:29">
      <c r="A63" t="str">
        <f>_xlfn.TEXTJOIN("",TRUE,_xlfn.XLOOKUP(B63,Input!J:J,Input!G:G,"",0,1),_xlfn.XLOOKUP(B63,Input!J:J,Input!H:H,"",0,1))</f>
        <v/>
      </c>
      <c r="C63" s="13">
        <f>_xlfn.XLOOKUP(B63,Input!J:J,Input!F:F)</f>
        <v>0</v>
      </c>
      <c r="D63">
        <f>_xlfn.XLOOKUP(C63,Models!H:H,Models!G:G,C63)</f>
        <v>0</v>
      </c>
      <c r="F63" t="str">
        <f>_xlfn.XLOOKUP(H63,Models!B:B,Models!F:F,"")</f>
        <v/>
      </c>
      <c r="G63">
        <f>_xlfn.XLOOKUP(B63,Input!J:J,Input!E:E)</f>
        <v>0</v>
      </c>
      <c r="H63">
        <f>IF(G63="LENOVO",_xlfn.XLOOKUP(B63,Input!J:J,Input!K:K),_xlfn.XLOOKUP(B63,Input!J:J,Input!L:L))</f>
        <v>0</v>
      </c>
      <c r="K63">
        <f>_xlfn.XLOOKUP(B63,CPU_Formula!A:A,CPU_Formula!I:I)</f>
        <v>0</v>
      </c>
      <c r="L63" s="13" t="e">
        <f>INDEX(Input!$D$2:$AD$500,
       MATCH(B63, Input!$J$2:$J$500, 0),
       MATCH("Memory Capacity", Input!$D$1:$AD$1, 0))</f>
        <v>#N/A</v>
      </c>
      <c r="M63" s="13" t="e">
        <f>INDEX(Input!$D$2:$AD$500,
       MATCH(B63, Input!$J$2:$J$500, 0),
       MATCH("Memory Type", Input!$D$1:$AD$1, 0))</f>
        <v>#N/A</v>
      </c>
      <c r="N63" s="13" t="e">
        <f t="shared" si="0"/>
        <v>#N/A</v>
      </c>
      <c r="O63" s="13" t="str" cm="1">
        <f t="array" ref="O63">IFERROR(_xlfn.FILTERXML("&lt;t&gt;&lt;s&gt;" &amp; SUBSTITUTE(M63," / ","&lt;/s&gt;&lt;s&gt;") &amp; "&lt;/s&gt;&lt;/t&gt;","(//s[contains(.,'DDR')])[1]"),"")</f>
        <v/>
      </c>
      <c r="P63" t="e">
        <f t="shared" si="1"/>
        <v>#N/A</v>
      </c>
      <c r="Q63" t="str" cm="1">
        <f t="array" ref="Q63">_xlfn.TEXTJOIN(", ", TRUE, _xlfn._xlws.FILTER(Input!W:W, Input!J:J=B63))</f>
        <v/>
      </c>
      <c r="S63" s="13" t="str">
        <f>_xlfn.LET(_xlpm.Result,_xlfn.XLOOKUP(B63,Input!J:J,Input!AB:AB),IF(_xlpm.Result="","",_xlpm.Result))</f>
        <v/>
      </c>
      <c r="T63" s="13" t="str" cm="1">
        <f t="array" ref="T63">IFERROR(_xlfn.IFS(
   --S63&lt;55,"Battery Defect",
  -- S63&lt;=69,"Battery D",
  --S63&lt;=80,"Battery C",
 --S63&gt;80,""
),"")</f>
        <v/>
      </c>
      <c r="U63" s="13" t="str" cm="1">
        <f t="array" ref="U63:Z63">IFERROR(IF(_xlfn.XLOOKUP(B63,Input!J:J,Input!N:S)=0,"",
          _xlfn.XLOOKUP(B63,Input!J:J,Input!N:S)),"")</f>
        <v/>
      </c>
      <c r="V63" s="13" t="str">
        <v/>
      </c>
      <c r="W63" s="13" t="str">
        <v/>
      </c>
      <c r="X63" s="13" t="str">
        <v/>
      </c>
      <c r="Y63" s="13" t="str">
        <v/>
      </c>
      <c r="Z63" s="13" t="str">
        <v/>
      </c>
      <c r="AA63" t="str">
        <f t="shared" si="2"/>
        <v/>
      </c>
      <c r="AB63" t="str">
        <f>_xlfn.XLOOKUP(B:B,Disk_Pivot!G:G,Disk_Pivot!I:I)</f>
        <v>No</v>
      </c>
      <c r="AC63" t="str">
        <f>_xlfn.XLOOKUP(B63,Disk_Pivot!G:G,Disk_Pivot!N:N)</f>
        <v/>
      </c>
    </row>
    <row r="64" spans="1:29">
      <c r="A64" t="str">
        <f>_xlfn.TEXTJOIN("",TRUE,_xlfn.XLOOKUP(B64,Input!J:J,Input!G:G,"",0,1),_xlfn.XLOOKUP(B64,Input!J:J,Input!H:H,"",0,1))</f>
        <v/>
      </c>
      <c r="C64" s="13">
        <f>_xlfn.XLOOKUP(B64,Input!J:J,Input!F:F)</f>
        <v>0</v>
      </c>
      <c r="D64">
        <f>_xlfn.XLOOKUP(C64,Models!H:H,Models!G:G,C64)</f>
        <v>0</v>
      </c>
      <c r="F64" t="str">
        <f>_xlfn.XLOOKUP(H64,Models!B:B,Models!F:F,"")</f>
        <v/>
      </c>
      <c r="G64">
        <f>_xlfn.XLOOKUP(B64,Input!J:J,Input!E:E)</f>
        <v>0</v>
      </c>
      <c r="H64">
        <f>IF(G64="LENOVO",_xlfn.XLOOKUP(B64,Input!J:J,Input!K:K),_xlfn.XLOOKUP(B64,Input!J:J,Input!L:L))</f>
        <v>0</v>
      </c>
      <c r="K64">
        <f>_xlfn.XLOOKUP(B64,CPU_Formula!A:A,CPU_Formula!I:I)</f>
        <v>0</v>
      </c>
      <c r="L64" s="13" t="e">
        <f>INDEX(Input!$D$2:$AD$500,
       MATCH(B64, Input!$J$2:$J$500, 0),
       MATCH("Memory Capacity", Input!$D$1:$AD$1, 0))</f>
        <v>#N/A</v>
      </c>
      <c r="M64" s="13" t="e">
        <f>INDEX(Input!$D$2:$AD$500,
       MATCH(B64, Input!$J$2:$J$500, 0),
       MATCH("Memory Type", Input!$D$1:$AD$1, 0))</f>
        <v>#N/A</v>
      </c>
      <c r="N64" s="13" t="e">
        <f t="shared" si="0"/>
        <v>#N/A</v>
      </c>
      <c r="O64" s="13" t="str" cm="1">
        <f t="array" ref="O64">IFERROR(_xlfn.FILTERXML("&lt;t&gt;&lt;s&gt;" &amp; SUBSTITUTE(M64," / ","&lt;/s&gt;&lt;s&gt;") &amp; "&lt;/s&gt;&lt;/t&gt;","(//s[contains(.,'DDR')])[1]"),"")</f>
        <v/>
      </c>
      <c r="P64" t="e">
        <f t="shared" si="1"/>
        <v>#N/A</v>
      </c>
      <c r="Q64" t="str" cm="1">
        <f t="array" ref="Q64">_xlfn.TEXTJOIN(", ", TRUE, _xlfn._xlws.FILTER(Input!W:W, Input!J:J=B64))</f>
        <v/>
      </c>
      <c r="S64" s="13" t="str">
        <f>_xlfn.LET(_xlpm.Result,_xlfn.XLOOKUP(B64,Input!J:J,Input!AB:AB),IF(_xlpm.Result="","",_xlpm.Result))</f>
        <v/>
      </c>
      <c r="T64" s="13" t="str" cm="1">
        <f t="array" ref="T64">IFERROR(_xlfn.IFS(
   --S64&lt;55,"Battery Defect",
  -- S64&lt;=69,"Battery D",
  --S64&lt;=80,"Battery C",
 --S64&gt;80,""
),"")</f>
        <v/>
      </c>
      <c r="U64" s="13" t="str" cm="1">
        <f t="array" ref="U64:Z64">IFERROR(IF(_xlfn.XLOOKUP(B64,Input!J:J,Input!N:S)=0,"",
          _xlfn.XLOOKUP(B64,Input!J:J,Input!N:S)),"")</f>
        <v/>
      </c>
      <c r="V64" s="13" t="str">
        <v/>
      </c>
      <c r="W64" s="13" t="str">
        <v/>
      </c>
      <c r="X64" s="13" t="str">
        <v/>
      </c>
      <c r="Y64" s="13" t="str">
        <v/>
      </c>
      <c r="Z64" s="13" t="str">
        <v/>
      </c>
      <c r="AA64" t="str">
        <f t="shared" si="2"/>
        <v/>
      </c>
      <c r="AB64" t="str">
        <f>_xlfn.XLOOKUP(B:B,Disk_Pivot!G:G,Disk_Pivot!I:I)</f>
        <v>No</v>
      </c>
      <c r="AC64" t="str">
        <f>_xlfn.XLOOKUP(B64,Disk_Pivot!G:G,Disk_Pivot!N:N)</f>
        <v/>
      </c>
    </row>
    <row r="65" spans="1:29">
      <c r="A65" t="str">
        <f>_xlfn.TEXTJOIN("",TRUE,_xlfn.XLOOKUP(B65,Input!J:J,Input!G:G,"",0,1),_xlfn.XLOOKUP(B65,Input!J:J,Input!H:H,"",0,1))</f>
        <v/>
      </c>
      <c r="C65" s="13">
        <f>_xlfn.XLOOKUP(B65,Input!J:J,Input!F:F)</f>
        <v>0</v>
      </c>
      <c r="D65">
        <f>_xlfn.XLOOKUP(C65,Models!H:H,Models!G:G,C65)</f>
        <v>0</v>
      </c>
      <c r="F65" t="str">
        <f>_xlfn.XLOOKUP(H65,Models!B:B,Models!F:F,"")</f>
        <v/>
      </c>
      <c r="G65">
        <f>_xlfn.XLOOKUP(B65,Input!J:J,Input!E:E)</f>
        <v>0</v>
      </c>
      <c r="H65">
        <f>IF(G65="LENOVO",_xlfn.XLOOKUP(B65,Input!J:J,Input!K:K),_xlfn.XLOOKUP(B65,Input!J:J,Input!L:L))</f>
        <v>0</v>
      </c>
      <c r="K65">
        <f>_xlfn.XLOOKUP(B65,CPU_Formula!A:A,CPU_Formula!I:I)</f>
        <v>0</v>
      </c>
      <c r="L65" s="13" t="e">
        <f>INDEX(Input!$D$2:$AD$500,
       MATCH(B65, Input!$J$2:$J$500, 0),
       MATCH("Memory Capacity", Input!$D$1:$AD$1, 0))</f>
        <v>#N/A</v>
      </c>
      <c r="M65" s="13" t="e">
        <f>INDEX(Input!$D$2:$AD$500,
       MATCH(B65, Input!$J$2:$J$500, 0),
       MATCH("Memory Type", Input!$D$1:$AD$1, 0))</f>
        <v>#N/A</v>
      </c>
      <c r="N65" s="13" t="e">
        <f t="shared" si="0"/>
        <v>#N/A</v>
      </c>
      <c r="O65" s="13" t="str" cm="1">
        <f t="array" ref="O65">IFERROR(_xlfn.FILTERXML("&lt;t&gt;&lt;s&gt;" &amp; SUBSTITUTE(M65," / ","&lt;/s&gt;&lt;s&gt;") &amp; "&lt;/s&gt;&lt;/t&gt;","(//s[contains(.,'DDR')])[1]"),"")</f>
        <v/>
      </c>
      <c r="P65" t="e">
        <f t="shared" si="1"/>
        <v>#N/A</v>
      </c>
      <c r="Q65" t="str" cm="1">
        <f t="array" ref="Q65">_xlfn.TEXTJOIN(", ", TRUE, _xlfn._xlws.FILTER(Input!W:W, Input!J:J=B65))</f>
        <v/>
      </c>
      <c r="S65" s="13" t="str">
        <f>_xlfn.LET(_xlpm.Result,_xlfn.XLOOKUP(B65,Input!J:J,Input!AB:AB),IF(_xlpm.Result="","",_xlpm.Result))</f>
        <v/>
      </c>
      <c r="T65" s="13" t="str" cm="1">
        <f t="array" ref="T65">IFERROR(_xlfn.IFS(
   --S65&lt;55,"Battery Defect",
  -- S65&lt;=69,"Battery D",
  --S65&lt;=80,"Battery C",
 --S65&gt;80,""
),"")</f>
        <v/>
      </c>
      <c r="U65" s="13" t="str" cm="1">
        <f t="array" ref="U65:Z65">IFERROR(IF(_xlfn.XLOOKUP(B65,Input!J:J,Input!N:S)=0,"",
          _xlfn.XLOOKUP(B65,Input!J:J,Input!N:S)),"")</f>
        <v/>
      </c>
      <c r="V65" s="13" t="str">
        <v/>
      </c>
      <c r="W65" s="13" t="str">
        <v/>
      </c>
      <c r="X65" s="13" t="str">
        <v/>
      </c>
      <c r="Y65" s="13" t="str">
        <v/>
      </c>
      <c r="Z65" s="13" t="str">
        <v/>
      </c>
      <c r="AA65" t="str">
        <f t="shared" si="2"/>
        <v/>
      </c>
      <c r="AB65" t="str">
        <f>_xlfn.XLOOKUP(B:B,Disk_Pivot!G:G,Disk_Pivot!I:I)</f>
        <v>No</v>
      </c>
      <c r="AC65" t="str">
        <f>_xlfn.XLOOKUP(B65,Disk_Pivot!G:G,Disk_Pivot!N:N)</f>
        <v/>
      </c>
    </row>
    <row r="66" spans="1:29">
      <c r="A66" t="str">
        <f>_xlfn.TEXTJOIN("",TRUE,_xlfn.XLOOKUP(B66,Input!J:J,Input!G:G,"",0,1),_xlfn.XLOOKUP(B66,Input!J:J,Input!H:H,"",0,1))</f>
        <v/>
      </c>
      <c r="C66" s="13">
        <f>_xlfn.XLOOKUP(B66,Input!J:J,Input!F:F)</f>
        <v>0</v>
      </c>
      <c r="D66">
        <f>_xlfn.XLOOKUP(C66,Models!H:H,Models!G:G,C66)</f>
        <v>0</v>
      </c>
      <c r="F66" t="str">
        <f>_xlfn.XLOOKUP(H66,Models!B:B,Models!F:F,"")</f>
        <v/>
      </c>
      <c r="G66">
        <f>_xlfn.XLOOKUP(B66,Input!J:J,Input!E:E)</f>
        <v>0</v>
      </c>
      <c r="H66">
        <f>IF(G66="LENOVO",_xlfn.XLOOKUP(B66,Input!J:J,Input!K:K),_xlfn.XLOOKUP(B66,Input!J:J,Input!L:L))</f>
        <v>0</v>
      </c>
      <c r="K66">
        <f>_xlfn.XLOOKUP(B66,CPU_Formula!A:A,CPU_Formula!I:I)</f>
        <v>0</v>
      </c>
      <c r="L66" s="13" t="e">
        <f>INDEX(Input!$D$2:$AD$500,
       MATCH(B66, Input!$J$2:$J$500, 0),
       MATCH("Memory Capacity", Input!$D$1:$AD$1, 0))</f>
        <v>#N/A</v>
      </c>
      <c r="M66" s="13" t="e">
        <f>INDEX(Input!$D$2:$AD$500,
       MATCH(B66, Input!$J$2:$J$500, 0),
       MATCH("Memory Type", Input!$D$1:$AD$1, 0))</f>
        <v>#N/A</v>
      </c>
      <c r="N66" s="13" t="e">
        <f t="shared" si="0"/>
        <v>#N/A</v>
      </c>
      <c r="O66" s="13" t="str" cm="1">
        <f t="array" ref="O66">IFERROR(_xlfn.FILTERXML("&lt;t&gt;&lt;s&gt;" &amp; SUBSTITUTE(M66," / ","&lt;/s&gt;&lt;s&gt;") &amp; "&lt;/s&gt;&lt;/t&gt;","(//s[contains(.,'DDR')])[1]"),"")</f>
        <v/>
      </c>
      <c r="P66" t="e">
        <f t="shared" si="1"/>
        <v>#N/A</v>
      </c>
      <c r="Q66" t="str" cm="1">
        <f t="array" ref="Q66">_xlfn.TEXTJOIN(", ", TRUE, _xlfn._xlws.FILTER(Input!W:W, Input!J:J=B66))</f>
        <v/>
      </c>
      <c r="S66" s="13" t="str">
        <f>_xlfn.LET(_xlpm.Result,_xlfn.XLOOKUP(B66,Input!J:J,Input!AB:AB),IF(_xlpm.Result="","",_xlpm.Result))</f>
        <v/>
      </c>
      <c r="T66" s="13" t="str" cm="1">
        <f t="array" ref="T66">IFERROR(_xlfn.IFS(
   --S66&lt;55,"Battery Defect",
  -- S66&lt;=69,"Battery D",
  --S66&lt;=80,"Battery C",
 --S66&gt;80,""
),"")</f>
        <v/>
      </c>
      <c r="U66" s="13" t="str" cm="1">
        <f t="array" ref="U66:Z66">IFERROR(IF(_xlfn.XLOOKUP(B66,Input!J:J,Input!N:S)=0,"",
          _xlfn.XLOOKUP(B66,Input!J:J,Input!N:S)),"")</f>
        <v/>
      </c>
      <c r="V66" s="13" t="str">
        <v/>
      </c>
      <c r="W66" s="13" t="str">
        <v/>
      </c>
      <c r="X66" s="13" t="str">
        <v/>
      </c>
      <c r="Y66" s="13" t="str">
        <v/>
      </c>
      <c r="Z66" s="13" t="str">
        <v/>
      </c>
      <c r="AA66" t="str">
        <f t="shared" si="2"/>
        <v/>
      </c>
      <c r="AB66" t="str">
        <f>_xlfn.XLOOKUP(B:B,Disk_Pivot!G:G,Disk_Pivot!I:I)</f>
        <v>No</v>
      </c>
      <c r="AC66" t="str">
        <f>_xlfn.XLOOKUP(B66,Disk_Pivot!G:G,Disk_Pivot!N:N)</f>
        <v/>
      </c>
    </row>
    <row r="67" spans="1:29">
      <c r="A67" t="str">
        <f>_xlfn.TEXTJOIN("",TRUE,_xlfn.XLOOKUP(B67,Input!J:J,Input!G:G,"",0,1),_xlfn.XLOOKUP(B67,Input!J:J,Input!H:H,"",0,1))</f>
        <v/>
      </c>
      <c r="C67" s="13">
        <f>_xlfn.XLOOKUP(B67,Input!J:J,Input!F:F)</f>
        <v>0</v>
      </c>
      <c r="D67">
        <f>_xlfn.XLOOKUP(C67,Models!H:H,Models!G:G,C67)</f>
        <v>0</v>
      </c>
      <c r="F67" t="str">
        <f>_xlfn.XLOOKUP(H67,Models!B:B,Models!F:F,"")</f>
        <v/>
      </c>
      <c r="G67">
        <f>_xlfn.XLOOKUP(B67,Input!J:J,Input!E:E)</f>
        <v>0</v>
      </c>
      <c r="H67">
        <f>IF(G67="LENOVO",_xlfn.XLOOKUP(B67,Input!J:J,Input!K:K),_xlfn.XLOOKUP(B67,Input!J:J,Input!L:L))</f>
        <v>0</v>
      </c>
      <c r="K67">
        <f>_xlfn.XLOOKUP(B67,CPU_Formula!A:A,CPU_Formula!I:I)</f>
        <v>0</v>
      </c>
      <c r="L67" s="13" t="e">
        <f>INDEX(Input!$D$2:$AD$500,
       MATCH(B67, Input!$J$2:$J$500, 0),
       MATCH("Memory Capacity", Input!$D$1:$AD$1, 0))</f>
        <v>#N/A</v>
      </c>
      <c r="M67" s="13" t="e">
        <f>INDEX(Input!$D$2:$AD$500,
       MATCH(B67, Input!$J$2:$J$500, 0),
       MATCH("Memory Type", Input!$D$1:$AD$1, 0))</f>
        <v>#N/A</v>
      </c>
      <c r="N67" s="13" t="e">
        <f t="shared" ref="N67:N130" si="3">IF(ISNUMBER(L67), L67, SUBSTITUTE(SUBSTITUTE(SUBSTITUTE(L67,"GiB","")," ",""),"/","+"))</f>
        <v>#N/A</v>
      </c>
      <c r="O67" s="13" t="str" cm="1">
        <f t="array" ref="O67">IFERROR(_xlfn.FILTERXML("&lt;t&gt;&lt;s&gt;" &amp; SUBSTITUTE(M67," / ","&lt;/s&gt;&lt;s&gt;") &amp; "&lt;/s&gt;&lt;/t&gt;","(//s[contains(.,'DDR')])[1]"),"")</f>
        <v/>
      </c>
      <c r="P67" t="e">
        <f t="shared" ref="P67:P87" si="4">_xlfn.TEXTJOIN(" ",TRUE,N67,"GB",O67)</f>
        <v>#N/A</v>
      </c>
      <c r="Q67" t="str" cm="1">
        <f t="array" ref="Q67">_xlfn.TEXTJOIN(", ", TRUE, _xlfn._xlws.FILTER(Input!W:W, Input!J:J=B67))</f>
        <v/>
      </c>
      <c r="S67" s="13" t="str">
        <f>_xlfn.LET(_xlpm.Result,_xlfn.XLOOKUP(B67,Input!J:J,Input!AB:AB),IF(_xlpm.Result="","",_xlpm.Result))</f>
        <v/>
      </c>
      <c r="T67" s="13" t="str" cm="1">
        <f t="array" ref="T67">IFERROR(_xlfn.IFS(
   --S67&lt;55,"Battery Defect",
  -- S67&lt;=69,"Battery D",
  --S67&lt;=80,"Battery C",
 --S67&gt;80,""
),"")</f>
        <v/>
      </c>
      <c r="U67" s="13" t="str" cm="1">
        <f t="array" ref="U67:Z67">IFERROR(IF(_xlfn.XLOOKUP(B67,Input!J:J,Input!N:S)=0,"",
          _xlfn.XLOOKUP(B67,Input!J:J,Input!N:S)),"")</f>
        <v/>
      </c>
      <c r="V67" s="13" t="str">
        <v/>
      </c>
      <c r="W67" s="13" t="str">
        <v/>
      </c>
      <c r="X67" s="13" t="str">
        <v/>
      </c>
      <c r="Y67" s="13" t="str">
        <v/>
      </c>
      <c r="Z67" s="13" t="str">
        <v/>
      </c>
      <c r="AA67" t="str">
        <f t="shared" ref="AA67:AA130" si="5">_xlfn.TEXTJOIN(", ",TRUE,T67,U67,V67,W67,X67,Y67,Z67)</f>
        <v/>
      </c>
      <c r="AB67" t="str">
        <f>_xlfn.XLOOKUP(B:B,Disk_Pivot!G:G,Disk_Pivot!I:I)</f>
        <v>No</v>
      </c>
      <c r="AC67" t="str">
        <f>_xlfn.XLOOKUP(B67,Disk_Pivot!G:G,Disk_Pivot!N:N)</f>
        <v/>
      </c>
    </row>
    <row r="68" spans="1:29">
      <c r="A68" t="str">
        <f>_xlfn.TEXTJOIN("",TRUE,_xlfn.XLOOKUP(B68,Input!J:J,Input!G:G,"",0,1),_xlfn.XLOOKUP(B68,Input!J:J,Input!H:H,"",0,1))</f>
        <v/>
      </c>
      <c r="C68" s="13">
        <f>_xlfn.XLOOKUP(B68,Input!J:J,Input!F:F)</f>
        <v>0</v>
      </c>
      <c r="D68">
        <f>_xlfn.XLOOKUP(C68,Models!H:H,Models!G:G,C68)</f>
        <v>0</v>
      </c>
      <c r="F68" t="str">
        <f>_xlfn.XLOOKUP(H68,Models!B:B,Models!F:F,"")</f>
        <v/>
      </c>
      <c r="G68">
        <f>_xlfn.XLOOKUP(B68,Input!J:J,Input!E:E)</f>
        <v>0</v>
      </c>
      <c r="H68">
        <f>IF(G68="LENOVO",_xlfn.XLOOKUP(B68,Input!J:J,Input!K:K),_xlfn.XLOOKUP(B68,Input!J:J,Input!L:L))</f>
        <v>0</v>
      </c>
      <c r="K68">
        <f>_xlfn.XLOOKUP(B68,CPU_Formula!A:A,CPU_Formula!I:I)</f>
        <v>0</v>
      </c>
      <c r="L68" s="13" t="e">
        <f>INDEX(Input!$D$2:$AD$500,
       MATCH(B68, Input!$J$2:$J$500, 0),
       MATCH("Memory Capacity", Input!$D$1:$AD$1, 0))</f>
        <v>#N/A</v>
      </c>
      <c r="M68" s="13" t="e">
        <f>INDEX(Input!$D$2:$AD$500,
       MATCH(B68, Input!$J$2:$J$500, 0),
       MATCH("Memory Type", Input!$D$1:$AD$1, 0))</f>
        <v>#N/A</v>
      </c>
      <c r="N68" s="13" t="e">
        <f t="shared" si="3"/>
        <v>#N/A</v>
      </c>
      <c r="O68" s="13" t="str" cm="1">
        <f t="array" ref="O68">IFERROR(_xlfn.FILTERXML("&lt;t&gt;&lt;s&gt;" &amp; SUBSTITUTE(M68," / ","&lt;/s&gt;&lt;s&gt;") &amp; "&lt;/s&gt;&lt;/t&gt;","(//s[contains(.,'DDR')])[1]"),"")</f>
        <v/>
      </c>
      <c r="P68" t="e">
        <f t="shared" si="4"/>
        <v>#N/A</v>
      </c>
      <c r="Q68" t="str" cm="1">
        <f t="array" ref="Q68">_xlfn.TEXTJOIN(", ", TRUE, _xlfn._xlws.FILTER(Input!W:W, Input!J:J=B68))</f>
        <v/>
      </c>
      <c r="S68" s="13" t="str">
        <f>_xlfn.LET(_xlpm.Result,_xlfn.XLOOKUP(B68,Input!J:J,Input!AB:AB),IF(_xlpm.Result="","",_xlpm.Result))</f>
        <v/>
      </c>
      <c r="T68" s="13" t="str" cm="1">
        <f t="array" ref="T68">IFERROR(_xlfn.IFS(
   --S68&lt;55,"Battery Defect",
  -- S68&lt;=69,"Battery D",
  --S68&lt;=80,"Battery C",
 --S68&gt;80,""
),"")</f>
        <v/>
      </c>
      <c r="U68" s="13" t="str" cm="1">
        <f t="array" ref="U68:Z68">IFERROR(IF(_xlfn.XLOOKUP(B68,Input!J:J,Input!N:S)=0,"",
          _xlfn.XLOOKUP(B68,Input!J:J,Input!N:S)),"")</f>
        <v/>
      </c>
      <c r="V68" s="13" t="str">
        <v/>
      </c>
      <c r="W68" s="13" t="str">
        <v/>
      </c>
      <c r="X68" s="13" t="str">
        <v/>
      </c>
      <c r="Y68" s="13" t="str">
        <v/>
      </c>
      <c r="Z68" s="13" t="str">
        <v/>
      </c>
      <c r="AA68" t="str">
        <f t="shared" si="5"/>
        <v/>
      </c>
      <c r="AB68" t="str">
        <f>_xlfn.XLOOKUP(B:B,Disk_Pivot!G:G,Disk_Pivot!I:I)</f>
        <v>No</v>
      </c>
      <c r="AC68" t="str">
        <f>_xlfn.XLOOKUP(B68,Disk_Pivot!G:G,Disk_Pivot!N:N)</f>
        <v/>
      </c>
    </row>
    <row r="69" spans="1:29">
      <c r="A69" t="str">
        <f>_xlfn.TEXTJOIN("",TRUE,_xlfn.XLOOKUP(B69,Input!J:J,Input!G:G,"",0,1),_xlfn.XLOOKUP(B69,Input!J:J,Input!H:H,"",0,1))</f>
        <v/>
      </c>
      <c r="C69" s="13">
        <f>_xlfn.XLOOKUP(B69,Input!J:J,Input!F:F)</f>
        <v>0</v>
      </c>
      <c r="D69">
        <f>_xlfn.XLOOKUP(C69,Models!H:H,Models!G:G,C69)</f>
        <v>0</v>
      </c>
      <c r="F69" t="str">
        <f>_xlfn.XLOOKUP(H69,Models!B:B,Models!F:F,"")</f>
        <v/>
      </c>
      <c r="G69">
        <f>_xlfn.XLOOKUP(B69,Input!J:J,Input!E:E)</f>
        <v>0</v>
      </c>
      <c r="H69">
        <f>IF(G69="LENOVO",_xlfn.XLOOKUP(B69,Input!J:J,Input!K:K),_xlfn.XLOOKUP(B69,Input!J:J,Input!L:L))</f>
        <v>0</v>
      </c>
      <c r="K69">
        <f>_xlfn.XLOOKUP(B69,CPU_Formula!A:A,CPU_Formula!I:I)</f>
        <v>0</v>
      </c>
      <c r="L69" s="13" t="e">
        <f>INDEX(Input!$D$2:$AD$500,
       MATCH(B69, Input!$J$2:$J$500, 0),
       MATCH("Memory Capacity", Input!$D$1:$AD$1, 0))</f>
        <v>#N/A</v>
      </c>
      <c r="M69" s="13" t="e">
        <f>INDEX(Input!$D$2:$AD$500,
       MATCH(B69, Input!$J$2:$J$500, 0),
       MATCH("Memory Type", Input!$D$1:$AD$1, 0))</f>
        <v>#N/A</v>
      </c>
      <c r="N69" s="13" t="e">
        <f t="shared" si="3"/>
        <v>#N/A</v>
      </c>
      <c r="O69" s="13" t="str" cm="1">
        <f t="array" ref="O69">IFERROR(_xlfn.FILTERXML("&lt;t&gt;&lt;s&gt;" &amp; SUBSTITUTE(M69," / ","&lt;/s&gt;&lt;s&gt;") &amp; "&lt;/s&gt;&lt;/t&gt;","(//s[contains(.,'DDR')])[1]"),"")</f>
        <v/>
      </c>
      <c r="P69" t="e">
        <f t="shared" si="4"/>
        <v>#N/A</v>
      </c>
      <c r="Q69" t="str" cm="1">
        <f t="array" ref="Q69">_xlfn.TEXTJOIN(", ", TRUE, _xlfn._xlws.FILTER(Input!W:W, Input!J:J=B69))</f>
        <v/>
      </c>
      <c r="S69" s="13" t="str">
        <f>_xlfn.LET(_xlpm.Result,_xlfn.XLOOKUP(B69,Input!J:J,Input!AB:AB),IF(_xlpm.Result="","",_xlpm.Result))</f>
        <v/>
      </c>
      <c r="T69" s="13" t="str" cm="1">
        <f t="array" ref="T69">IFERROR(_xlfn.IFS(
   --S69&lt;55,"Battery Defect",
  -- S69&lt;=69,"Battery D",
  --S69&lt;=80,"Battery C",
 --S69&gt;80,""
),"")</f>
        <v/>
      </c>
      <c r="U69" s="13" t="str" cm="1">
        <f t="array" ref="U69:Z69">IFERROR(IF(_xlfn.XLOOKUP(B69,Input!J:J,Input!N:S)=0,"",
          _xlfn.XLOOKUP(B69,Input!J:J,Input!N:S)),"")</f>
        <v/>
      </c>
      <c r="V69" s="13" t="str">
        <v/>
      </c>
      <c r="W69" s="13" t="str">
        <v/>
      </c>
      <c r="X69" s="13" t="str">
        <v/>
      </c>
      <c r="Y69" s="13" t="str">
        <v/>
      </c>
      <c r="Z69" s="13" t="str">
        <v/>
      </c>
      <c r="AA69" t="str">
        <f t="shared" si="5"/>
        <v/>
      </c>
      <c r="AB69" t="str">
        <f>_xlfn.XLOOKUP(B:B,Disk_Pivot!G:G,Disk_Pivot!I:I)</f>
        <v>No</v>
      </c>
      <c r="AC69" t="str">
        <f>_xlfn.XLOOKUP(B69,Disk_Pivot!G:G,Disk_Pivot!N:N)</f>
        <v/>
      </c>
    </row>
    <row r="70" spans="1:29">
      <c r="A70" t="str">
        <f>_xlfn.TEXTJOIN("",TRUE,_xlfn.XLOOKUP(B70,Input!J:J,Input!G:G,"",0,1),_xlfn.XLOOKUP(B70,Input!J:J,Input!H:H,"",0,1))</f>
        <v/>
      </c>
      <c r="C70" s="13">
        <f>_xlfn.XLOOKUP(B70,Input!J:J,Input!F:F)</f>
        <v>0</v>
      </c>
      <c r="D70">
        <f>_xlfn.XLOOKUP(C70,Models!H:H,Models!G:G,C70)</f>
        <v>0</v>
      </c>
      <c r="F70" t="str">
        <f>_xlfn.XLOOKUP(H70,Models!B:B,Models!F:F,"")</f>
        <v/>
      </c>
      <c r="G70">
        <f>_xlfn.XLOOKUP(B70,Input!J:J,Input!E:E)</f>
        <v>0</v>
      </c>
      <c r="H70">
        <f>IF(G70="LENOVO",_xlfn.XLOOKUP(B70,Input!J:J,Input!K:K),_xlfn.XLOOKUP(B70,Input!J:J,Input!L:L))</f>
        <v>0</v>
      </c>
      <c r="K70">
        <f>_xlfn.XLOOKUP(B70,CPU_Formula!A:A,CPU_Formula!I:I)</f>
        <v>0</v>
      </c>
      <c r="L70" s="13" t="e">
        <f>INDEX(Input!$D$2:$AD$500,
       MATCH(B70, Input!$J$2:$J$500, 0),
       MATCH("Memory Capacity", Input!$D$1:$AD$1, 0))</f>
        <v>#N/A</v>
      </c>
      <c r="M70" s="13" t="e">
        <f>INDEX(Input!$D$2:$AD$500,
       MATCH(B70, Input!$J$2:$J$500, 0),
       MATCH("Memory Type", Input!$D$1:$AD$1, 0))</f>
        <v>#N/A</v>
      </c>
      <c r="N70" s="13" t="e">
        <f t="shared" si="3"/>
        <v>#N/A</v>
      </c>
      <c r="O70" s="13" t="str" cm="1">
        <f t="array" ref="O70">IFERROR(_xlfn.FILTERXML("&lt;t&gt;&lt;s&gt;" &amp; SUBSTITUTE(M70," / ","&lt;/s&gt;&lt;s&gt;") &amp; "&lt;/s&gt;&lt;/t&gt;","(//s[contains(.,'DDR')])[1]"),"")</f>
        <v/>
      </c>
      <c r="P70" t="e">
        <f t="shared" si="4"/>
        <v>#N/A</v>
      </c>
      <c r="Q70" t="str" cm="1">
        <f t="array" ref="Q70">_xlfn.TEXTJOIN(", ", TRUE, _xlfn._xlws.FILTER(Input!W:W, Input!J:J=B70))</f>
        <v/>
      </c>
      <c r="S70" s="13" t="str">
        <f>_xlfn.LET(_xlpm.Result,_xlfn.XLOOKUP(B70,Input!J:J,Input!AB:AB),IF(_xlpm.Result="","",_xlpm.Result))</f>
        <v/>
      </c>
      <c r="T70" s="13" t="str" cm="1">
        <f t="array" ref="T70">IFERROR(_xlfn.IFS(
   --S70&lt;55,"Battery Defect",
  -- S70&lt;=69,"Battery D",
  --S70&lt;=80,"Battery C",
 --S70&gt;80,""
),"")</f>
        <v/>
      </c>
      <c r="U70" s="13" t="str" cm="1">
        <f t="array" ref="U70:Z70">IFERROR(IF(_xlfn.XLOOKUP(B70,Input!J:J,Input!N:S)=0,"",
          _xlfn.XLOOKUP(B70,Input!J:J,Input!N:S)),"")</f>
        <v/>
      </c>
      <c r="V70" s="13" t="str">
        <v/>
      </c>
      <c r="W70" s="13" t="str">
        <v/>
      </c>
      <c r="X70" s="13" t="str">
        <v/>
      </c>
      <c r="Y70" s="13" t="str">
        <v/>
      </c>
      <c r="Z70" s="13" t="str">
        <v/>
      </c>
      <c r="AA70" t="str">
        <f t="shared" si="5"/>
        <v/>
      </c>
      <c r="AB70" t="str">
        <f>_xlfn.XLOOKUP(B:B,Disk_Pivot!G:G,Disk_Pivot!I:I)</f>
        <v>No</v>
      </c>
      <c r="AC70" t="str">
        <f>_xlfn.XLOOKUP(B70,Disk_Pivot!G:G,Disk_Pivot!N:N)</f>
        <v/>
      </c>
    </row>
    <row r="71" spans="1:29">
      <c r="A71" t="str">
        <f>_xlfn.TEXTJOIN("",TRUE,_xlfn.XLOOKUP(B71,Input!J:J,Input!G:G,"",0,1),_xlfn.XLOOKUP(B71,Input!J:J,Input!H:H,"",0,1))</f>
        <v/>
      </c>
      <c r="C71" s="13">
        <f>_xlfn.XLOOKUP(B71,Input!J:J,Input!F:F)</f>
        <v>0</v>
      </c>
      <c r="D71">
        <f>_xlfn.XLOOKUP(C71,Models!H:H,Models!G:G,C71)</f>
        <v>0</v>
      </c>
      <c r="F71" t="str">
        <f>_xlfn.XLOOKUP(H71,Models!B:B,Models!F:F,"")</f>
        <v/>
      </c>
      <c r="G71">
        <f>_xlfn.XLOOKUP(B71,Input!J:J,Input!E:E)</f>
        <v>0</v>
      </c>
      <c r="H71">
        <f>IF(G71="LENOVO",_xlfn.XLOOKUP(B71,Input!J:J,Input!K:K),_xlfn.XLOOKUP(B71,Input!J:J,Input!L:L))</f>
        <v>0</v>
      </c>
      <c r="K71">
        <f>_xlfn.XLOOKUP(B71,CPU_Formula!A:A,CPU_Formula!I:I)</f>
        <v>0</v>
      </c>
      <c r="L71" s="13" t="e">
        <f>INDEX(Input!$D$2:$AD$500,
       MATCH(B71, Input!$J$2:$J$500, 0),
       MATCH("Memory Capacity", Input!$D$1:$AD$1, 0))</f>
        <v>#N/A</v>
      </c>
      <c r="M71" s="13" t="e">
        <f>INDEX(Input!$D$2:$AD$500,
       MATCH(B71, Input!$J$2:$J$500, 0),
       MATCH("Memory Type", Input!$D$1:$AD$1, 0))</f>
        <v>#N/A</v>
      </c>
      <c r="N71" s="13" t="e">
        <f t="shared" si="3"/>
        <v>#N/A</v>
      </c>
      <c r="O71" s="13" t="str" cm="1">
        <f t="array" ref="O71">IFERROR(_xlfn.FILTERXML("&lt;t&gt;&lt;s&gt;" &amp; SUBSTITUTE(M71," / ","&lt;/s&gt;&lt;s&gt;") &amp; "&lt;/s&gt;&lt;/t&gt;","(//s[contains(.,'DDR')])[1]"),"")</f>
        <v/>
      </c>
      <c r="P71" t="e">
        <f t="shared" si="4"/>
        <v>#N/A</v>
      </c>
      <c r="Q71" t="str" cm="1">
        <f t="array" ref="Q71">_xlfn.TEXTJOIN(", ", TRUE, _xlfn._xlws.FILTER(Input!W:W, Input!J:J=B71))</f>
        <v/>
      </c>
      <c r="S71" s="13" t="str">
        <f>_xlfn.LET(_xlpm.Result,_xlfn.XLOOKUP(B71,Input!J:J,Input!AB:AB),IF(_xlpm.Result="","",_xlpm.Result))</f>
        <v/>
      </c>
      <c r="T71" s="13" t="str" cm="1">
        <f t="array" ref="T71">IFERROR(_xlfn.IFS(
   --S71&lt;55,"Battery Defect",
  -- S71&lt;=69,"Battery D",
  --S71&lt;=80,"Battery C",
 --S71&gt;80,""
),"")</f>
        <v/>
      </c>
      <c r="U71" s="13" t="str" cm="1">
        <f t="array" ref="U71:Z71">IFERROR(IF(_xlfn.XLOOKUP(B71,Input!J:J,Input!N:S)=0,"",
          _xlfn.XLOOKUP(B71,Input!J:J,Input!N:S)),"")</f>
        <v/>
      </c>
      <c r="V71" s="13" t="str">
        <v/>
      </c>
      <c r="W71" s="13" t="str">
        <v/>
      </c>
      <c r="X71" s="13" t="str">
        <v/>
      </c>
      <c r="Y71" s="13" t="str">
        <v/>
      </c>
      <c r="Z71" s="13" t="str">
        <v/>
      </c>
      <c r="AA71" t="str">
        <f t="shared" si="5"/>
        <v/>
      </c>
      <c r="AB71" t="str">
        <f>_xlfn.XLOOKUP(B:B,Disk_Pivot!G:G,Disk_Pivot!I:I)</f>
        <v>No</v>
      </c>
      <c r="AC71" t="str">
        <f>_xlfn.XLOOKUP(B71,Disk_Pivot!G:G,Disk_Pivot!N:N)</f>
        <v/>
      </c>
    </row>
    <row r="72" spans="1:29">
      <c r="A72" t="str">
        <f>_xlfn.TEXTJOIN("",TRUE,_xlfn.XLOOKUP(B72,Input!J:J,Input!G:G,"",0,1),_xlfn.XLOOKUP(B72,Input!J:J,Input!H:H,"",0,1))</f>
        <v/>
      </c>
      <c r="C72" s="13">
        <f>_xlfn.XLOOKUP(B72,Input!J:J,Input!F:F)</f>
        <v>0</v>
      </c>
      <c r="D72">
        <f>_xlfn.XLOOKUP(C72,Models!H:H,Models!G:G,C72)</f>
        <v>0</v>
      </c>
      <c r="F72" t="str">
        <f>_xlfn.XLOOKUP(H72,Models!B:B,Models!F:F,"")</f>
        <v/>
      </c>
      <c r="G72">
        <f>_xlfn.XLOOKUP(B72,Input!J:J,Input!E:E)</f>
        <v>0</v>
      </c>
      <c r="H72">
        <f>IF(G72="LENOVO",_xlfn.XLOOKUP(B72,Input!J:J,Input!K:K),_xlfn.XLOOKUP(B72,Input!J:J,Input!L:L))</f>
        <v>0</v>
      </c>
      <c r="K72">
        <f>_xlfn.XLOOKUP(B72,CPU_Formula!A:A,CPU_Formula!I:I)</f>
        <v>0</v>
      </c>
      <c r="L72" s="13" t="e">
        <f>INDEX(Input!$D$2:$AD$500,
       MATCH(B72, Input!$J$2:$J$500, 0),
       MATCH("Memory Capacity", Input!$D$1:$AD$1, 0))</f>
        <v>#N/A</v>
      </c>
      <c r="M72" s="13" t="e">
        <f>INDEX(Input!$D$2:$AD$500,
       MATCH(B72, Input!$J$2:$J$500, 0),
       MATCH("Memory Type", Input!$D$1:$AD$1, 0))</f>
        <v>#N/A</v>
      </c>
      <c r="N72" s="13" t="e">
        <f t="shared" si="3"/>
        <v>#N/A</v>
      </c>
      <c r="O72" s="13" t="str" cm="1">
        <f t="array" ref="O72">IFERROR(_xlfn.FILTERXML("&lt;t&gt;&lt;s&gt;" &amp; SUBSTITUTE(M72," / ","&lt;/s&gt;&lt;s&gt;") &amp; "&lt;/s&gt;&lt;/t&gt;","(//s[contains(.,'DDR')])[1]"),"")</f>
        <v/>
      </c>
      <c r="P72" t="e">
        <f t="shared" si="4"/>
        <v>#N/A</v>
      </c>
      <c r="Q72" t="str" cm="1">
        <f t="array" ref="Q72">_xlfn.TEXTJOIN(", ", TRUE, _xlfn._xlws.FILTER(Input!W:W, Input!J:J=B72))</f>
        <v/>
      </c>
      <c r="S72" s="13" t="str">
        <f>_xlfn.LET(_xlpm.Result,_xlfn.XLOOKUP(B72,Input!J:J,Input!AB:AB),IF(_xlpm.Result="","",_xlpm.Result))</f>
        <v/>
      </c>
      <c r="T72" s="13" t="str" cm="1">
        <f t="array" ref="T72">IFERROR(_xlfn.IFS(
   --S72&lt;55,"Battery Defect",
  -- S72&lt;=69,"Battery D",
  --S72&lt;=80,"Battery C",
 --S72&gt;80,""
),"")</f>
        <v/>
      </c>
      <c r="U72" s="13" t="str" cm="1">
        <f t="array" ref="U72:Z72">IFERROR(IF(_xlfn.XLOOKUP(B72,Input!J:J,Input!N:S)=0,"",
          _xlfn.XLOOKUP(B72,Input!J:J,Input!N:S)),"")</f>
        <v/>
      </c>
      <c r="V72" s="13" t="str">
        <v/>
      </c>
      <c r="W72" s="13" t="str">
        <v/>
      </c>
      <c r="X72" s="13" t="str">
        <v/>
      </c>
      <c r="Y72" s="13" t="str">
        <v/>
      </c>
      <c r="Z72" s="13" t="str">
        <v/>
      </c>
      <c r="AA72" t="str">
        <f t="shared" si="5"/>
        <v/>
      </c>
      <c r="AB72" t="str">
        <f>_xlfn.XLOOKUP(B:B,Disk_Pivot!G:G,Disk_Pivot!I:I)</f>
        <v>No</v>
      </c>
      <c r="AC72" t="str">
        <f>_xlfn.XLOOKUP(B72,Disk_Pivot!G:G,Disk_Pivot!N:N)</f>
        <v/>
      </c>
    </row>
    <row r="73" spans="1:29">
      <c r="A73" t="str">
        <f>_xlfn.TEXTJOIN("",TRUE,_xlfn.XLOOKUP(B73,Input!J:J,Input!G:G,"",0,1),_xlfn.XLOOKUP(B73,Input!J:J,Input!H:H,"",0,1))</f>
        <v/>
      </c>
      <c r="C73" s="13">
        <f>_xlfn.XLOOKUP(B73,Input!J:J,Input!F:F)</f>
        <v>0</v>
      </c>
      <c r="D73">
        <f>_xlfn.XLOOKUP(C73,Models!H:H,Models!G:G,C73)</f>
        <v>0</v>
      </c>
      <c r="F73" t="str">
        <f>_xlfn.XLOOKUP(H73,Models!B:B,Models!F:F,"")</f>
        <v/>
      </c>
      <c r="G73">
        <f>_xlfn.XLOOKUP(B73,Input!J:J,Input!E:E)</f>
        <v>0</v>
      </c>
      <c r="H73">
        <f>IF(G73="LENOVO",_xlfn.XLOOKUP(B73,Input!J:J,Input!K:K),_xlfn.XLOOKUP(B73,Input!J:J,Input!L:L))</f>
        <v>0</v>
      </c>
      <c r="K73">
        <f>_xlfn.XLOOKUP(B73,CPU_Formula!A:A,CPU_Formula!I:I)</f>
        <v>0</v>
      </c>
      <c r="L73" s="13" t="e">
        <f>INDEX(Input!$D$2:$AD$500,
       MATCH(B73, Input!$J$2:$J$500, 0),
       MATCH("Memory Capacity", Input!$D$1:$AD$1, 0))</f>
        <v>#N/A</v>
      </c>
      <c r="M73" s="13" t="e">
        <f>INDEX(Input!$D$2:$AD$500,
       MATCH(B73, Input!$J$2:$J$500, 0),
       MATCH("Memory Type", Input!$D$1:$AD$1, 0))</f>
        <v>#N/A</v>
      </c>
      <c r="N73" s="13" t="e">
        <f t="shared" si="3"/>
        <v>#N/A</v>
      </c>
      <c r="O73" s="13" t="str" cm="1">
        <f t="array" ref="O73">IFERROR(_xlfn.FILTERXML("&lt;t&gt;&lt;s&gt;" &amp; SUBSTITUTE(M73," / ","&lt;/s&gt;&lt;s&gt;") &amp; "&lt;/s&gt;&lt;/t&gt;","(//s[contains(.,'DDR')])[1]"),"")</f>
        <v/>
      </c>
      <c r="P73" t="e">
        <f t="shared" si="4"/>
        <v>#N/A</v>
      </c>
      <c r="Q73" t="str" cm="1">
        <f t="array" ref="Q73">_xlfn.TEXTJOIN(", ", TRUE, _xlfn._xlws.FILTER(Input!W:W, Input!J:J=B73))</f>
        <v/>
      </c>
      <c r="S73" s="13" t="str">
        <f>_xlfn.LET(_xlpm.Result,_xlfn.XLOOKUP(B73,Input!J:J,Input!AB:AB),IF(_xlpm.Result="","",_xlpm.Result))</f>
        <v/>
      </c>
      <c r="T73" s="13" t="str" cm="1">
        <f t="array" ref="T73">IFERROR(_xlfn.IFS(
   --S73&lt;55,"Battery Defect",
  -- S73&lt;=69,"Battery D",
  --S73&lt;=80,"Battery C",
 --S73&gt;80,""
),"")</f>
        <v/>
      </c>
      <c r="U73" s="13" t="str" cm="1">
        <f t="array" ref="U73:Z73">IFERROR(IF(_xlfn.XLOOKUP(B73,Input!J:J,Input!N:S)=0,"",
          _xlfn.XLOOKUP(B73,Input!J:J,Input!N:S)),"")</f>
        <v/>
      </c>
      <c r="V73" s="13" t="str">
        <v/>
      </c>
      <c r="W73" s="13" t="str">
        <v/>
      </c>
      <c r="X73" s="13" t="str">
        <v/>
      </c>
      <c r="Y73" s="13" t="str">
        <v/>
      </c>
      <c r="Z73" s="13" t="str">
        <v/>
      </c>
      <c r="AA73" t="str">
        <f t="shared" si="5"/>
        <v/>
      </c>
      <c r="AB73" t="str">
        <f>_xlfn.XLOOKUP(B:B,Disk_Pivot!G:G,Disk_Pivot!I:I)</f>
        <v>No</v>
      </c>
      <c r="AC73" t="str">
        <f>_xlfn.XLOOKUP(B73,Disk_Pivot!G:G,Disk_Pivot!N:N)</f>
        <v/>
      </c>
    </row>
    <row r="74" spans="1:29">
      <c r="A74" t="str">
        <f>_xlfn.TEXTJOIN("",TRUE,_xlfn.XLOOKUP(B74,Input!J:J,Input!G:G,"",0,1),_xlfn.XLOOKUP(B74,Input!J:J,Input!H:H,"",0,1))</f>
        <v/>
      </c>
      <c r="C74" s="13">
        <f>_xlfn.XLOOKUP(B74,Input!J:J,Input!F:F)</f>
        <v>0</v>
      </c>
      <c r="D74">
        <f>_xlfn.XLOOKUP(C74,Models!H:H,Models!G:G,C74)</f>
        <v>0</v>
      </c>
      <c r="F74" t="str">
        <f>_xlfn.XLOOKUP(H74,Models!B:B,Models!F:F,"")</f>
        <v/>
      </c>
      <c r="G74">
        <f>_xlfn.XLOOKUP(B74,Input!J:J,Input!E:E)</f>
        <v>0</v>
      </c>
      <c r="H74">
        <f>IF(G74="LENOVO",_xlfn.XLOOKUP(B74,Input!J:J,Input!K:K),_xlfn.XLOOKUP(B74,Input!J:J,Input!L:L))</f>
        <v>0</v>
      </c>
      <c r="K74">
        <f>_xlfn.XLOOKUP(B74,CPU_Formula!A:A,CPU_Formula!I:I)</f>
        <v>0</v>
      </c>
      <c r="L74" s="13" t="e">
        <f>INDEX(Input!$D$2:$AD$500,
       MATCH(B74, Input!$J$2:$J$500, 0),
       MATCH("Memory Capacity", Input!$D$1:$AD$1, 0))</f>
        <v>#N/A</v>
      </c>
      <c r="M74" s="13" t="e">
        <f>INDEX(Input!$D$2:$AD$500,
       MATCH(B74, Input!$J$2:$J$500, 0),
       MATCH("Memory Type", Input!$D$1:$AD$1, 0))</f>
        <v>#N/A</v>
      </c>
      <c r="N74" s="13" t="e">
        <f t="shared" si="3"/>
        <v>#N/A</v>
      </c>
      <c r="O74" s="13" t="str" cm="1">
        <f t="array" ref="O74">IFERROR(_xlfn.FILTERXML("&lt;t&gt;&lt;s&gt;" &amp; SUBSTITUTE(M74," / ","&lt;/s&gt;&lt;s&gt;") &amp; "&lt;/s&gt;&lt;/t&gt;","(//s[contains(.,'DDR')])[1]"),"")</f>
        <v/>
      </c>
      <c r="P74" t="e">
        <f t="shared" si="4"/>
        <v>#N/A</v>
      </c>
      <c r="Q74" t="str" cm="1">
        <f t="array" ref="Q74">_xlfn.TEXTJOIN(", ", TRUE, _xlfn._xlws.FILTER(Input!W:W, Input!J:J=B74))</f>
        <v/>
      </c>
      <c r="S74" s="13" t="str">
        <f>_xlfn.LET(_xlpm.Result,_xlfn.XLOOKUP(B74,Input!J:J,Input!AB:AB),IF(_xlpm.Result="","",_xlpm.Result))</f>
        <v/>
      </c>
      <c r="T74" s="13" t="str" cm="1">
        <f t="array" ref="T74">IFERROR(_xlfn.IFS(
   --S74&lt;55,"Battery Defect",
  -- S74&lt;=69,"Battery D",
  --S74&lt;=80,"Battery C",
 --S74&gt;80,""
),"")</f>
        <v/>
      </c>
      <c r="U74" s="13" t="str" cm="1">
        <f t="array" ref="U74:Z74">IFERROR(IF(_xlfn.XLOOKUP(B74,Input!J:J,Input!N:S)=0,"",
          _xlfn.XLOOKUP(B74,Input!J:J,Input!N:S)),"")</f>
        <v/>
      </c>
      <c r="V74" s="13" t="str">
        <v/>
      </c>
      <c r="W74" s="13" t="str">
        <v/>
      </c>
      <c r="X74" s="13" t="str">
        <v/>
      </c>
      <c r="Y74" s="13" t="str">
        <v/>
      </c>
      <c r="Z74" s="13" t="str">
        <v/>
      </c>
      <c r="AA74" t="str">
        <f t="shared" si="5"/>
        <v/>
      </c>
      <c r="AB74" t="str">
        <f>_xlfn.XLOOKUP(B:B,Disk_Pivot!G:G,Disk_Pivot!I:I)</f>
        <v>No</v>
      </c>
      <c r="AC74" t="str">
        <f>_xlfn.XLOOKUP(B74,Disk_Pivot!G:G,Disk_Pivot!N:N)</f>
        <v/>
      </c>
    </row>
    <row r="75" spans="1:29">
      <c r="A75" t="str">
        <f>_xlfn.TEXTJOIN("",TRUE,_xlfn.XLOOKUP(B75,Input!J:J,Input!G:G,"",0,1),_xlfn.XLOOKUP(B75,Input!J:J,Input!H:H,"",0,1))</f>
        <v/>
      </c>
      <c r="C75" s="13">
        <f>_xlfn.XLOOKUP(B75,Input!J:J,Input!F:F)</f>
        <v>0</v>
      </c>
      <c r="D75">
        <f>_xlfn.XLOOKUP(C75,Models!H:H,Models!G:G,C75)</f>
        <v>0</v>
      </c>
      <c r="F75" t="str">
        <f>_xlfn.XLOOKUP(H75,Models!B:B,Models!F:F,"")</f>
        <v/>
      </c>
      <c r="G75">
        <f>_xlfn.XLOOKUP(B75,Input!J:J,Input!E:E)</f>
        <v>0</v>
      </c>
      <c r="H75">
        <f>IF(G75="LENOVO",_xlfn.XLOOKUP(B75,Input!J:J,Input!K:K),_xlfn.XLOOKUP(B75,Input!J:J,Input!L:L))</f>
        <v>0</v>
      </c>
      <c r="K75">
        <f>_xlfn.XLOOKUP(B75,CPU_Formula!A:A,CPU_Formula!I:I)</f>
        <v>0</v>
      </c>
      <c r="L75" s="13" t="e">
        <f>INDEX(Input!$D$2:$AD$500,
       MATCH(B75, Input!$J$2:$J$500, 0),
       MATCH("Memory Capacity", Input!$D$1:$AD$1, 0))</f>
        <v>#N/A</v>
      </c>
      <c r="M75" s="13" t="e">
        <f>INDEX(Input!$D$2:$AD$500,
       MATCH(B75, Input!$J$2:$J$500, 0),
       MATCH("Memory Type", Input!$D$1:$AD$1, 0))</f>
        <v>#N/A</v>
      </c>
      <c r="N75" s="13" t="e">
        <f t="shared" si="3"/>
        <v>#N/A</v>
      </c>
      <c r="O75" s="13" t="str" cm="1">
        <f t="array" ref="O75">IFERROR(_xlfn.FILTERXML("&lt;t&gt;&lt;s&gt;" &amp; SUBSTITUTE(M75," / ","&lt;/s&gt;&lt;s&gt;") &amp; "&lt;/s&gt;&lt;/t&gt;","(//s[contains(.,'DDR')])[1]"),"")</f>
        <v/>
      </c>
      <c r="P75" t="e">
        <f t="shared" si="4"/>
        <v>#N/A</v>
      </c>
      <c r="Q75" t="str" cm="1">
        <f t="array" ref="Q75">_xlfn.TEXTJOIN(", ", TRUE, _xlfn._xlws.FILTER(Input!W:W, Input!J:J=B75))</f>
        <v/>
      </c>
      <c r="S75" s="13" t="str">
        <f>_xlfn.LET(_xlpm.Result,_xlfn.XLOOKUP(B75,Input!J:J,Input!AB:AB),IF(_xlpm.Result="","",_xlpm.Result))</f>
        <v/>
      </c>
      <c r="T75" s="13" t="str" cm="1">
        <f t="array" ref="T75">IFERROR(_xlfn.IFS(
   --S75&lt;55,"Battery Defect",
  -- S75&lt;=69,"Battery D",
  --S75&lt;=80,"Battery C",
 --S75&gt;80,""
),"")</f>
        <v/>
      </c>
      <c r="U75" s="13" t="str" cm="1">
        <f t="array" ref="U75:Z75">IFERROR(IF(_xlfn.XLOOKUP(B75,Input!J:J,Input!N:S)=0,"",
          _xlfn.XLOOKUP(B75,Input!J:J,Input!N:S)),"")</f>
        <v/>
      </c>
      <c r="V75" s="13" t="str">
        <v/>
      </c>
      <c r="W75" s="13" t="str">
        <v/>
      </c>
      <c r="X75" s="13" t="str">
        <v/>
      </c>
      <c r="Y75" s="13" t="str">
        <v/>
      </c>
      <c r="Z75" s="13" t="str">
        <v/>
      </c>
      <c r="AA75" t="str">
        <f t="shared" si="5"/>
        <v/>
      </c>
      <c r="AB75" t="str">
        <f>_xlfn.XLOOKUP(B:B,Disk_Pivot!G:G,Disk_Pivot!I:I)</f>
        <v>No</v>
      </c>
      <c r="AC75" t="str">
        <f>_xlfn.XLOOKUP(B75,Disk_Pivot!G:G,Disk_Pivot!N:N)</f>
        <v/>
      </c>
    </row>
    <row r="76" spans="1:29">
      <c r="A76" t="str">
        <f>_xlfn.TEXTJOIN("",TRUE,_xlfn.XLOOKUP(B76,Input!J:J,Input!G:G,"",0,1),_xlfn.XLOOKUP(B76,Input!J:J,Input!H:H,"",0,1))</f>
        <v/>
      </c>
      <c r="C76" s="13">
        <f>_xlfn.XLOOKUP(B76,Input!J:J,Input!F:F)</f>
        <v>0</v>
      </c>
      <c r="D76">
        <f>_xlfn.XLOOKUP(C76,Models!H:H,Models!G:G,C76)</f>
        <v>0</v>
      </c>
      <c r="F76" t="str">
        <f>_xlfn.XLOOKUP(H76,Models!B:B,Models!F:F,"")</f>
        <v/>
      </c>
      <c r="G76">
        <f>_xlfn.XLOOKUP(B76,Input!J:J,Input!E:E)</f>
        <v>0</v>
      </c>
      <c r="H76">
        <f>IF(G76="LENOVO",_xlfn.XLOOKUP(B76,Input!J:J,Input!K:K),_xlfn.XLOOKUP(B76,Input!J:J,Input!L:L))</f>
        <v>0</v>
      </c>
      <c r="K76">
        <f>_xlfn.XLOOKUP(B76,CPU_Formula!A:A,CPU_Formula!I:I)</f>
        <v>0</v>
      </c>
      <c r="L76" s="13" t="e">
        <f>INDEX(Input!$D$2:$AD$500,
       MATCH(B76, Input!$J$2:$J$500, 0),
       MATCH("Memory Capacity", Input!$D$1:$AD$1, 0))</f>
        <v>#N/A</v>
      </c>
      <c r="M76" s="13" t="e">
        <f>INDEX(Input!$D$2:$AD$500,
       MATCH(B76, Input!$J$2:$J$500, 0),
       MATCH("Memory Type", Input!$D$1:$AD$1, 0))</f>
        <v>#N/A</v>
      </c>
      <c r="N76" s="13" t="e">
        <f t="shared" si="3"/>
        <v>#N/A</v>
      </c>
      <c r="O76" s="13" t="str" cm="1">
        <f t="array" ref="O76">IFERROR(_xlfn.FILTERXML("&lt;t&gt;&lt;s&gt;" &amp; SUBSTITUTE(M76," / ","&lt;/s&gt;&lt;s&gt;") &amp; "&lt;/s&gt;&lt;/t&gt;","(//s[contains(.,'DDR')])[1]"),"")</f>
        <v/>
      </c>
      <c r="P76" t="e">
        <f t="shared" si="4"/>
        <v>#N/A</v>
      </c>
      <c r="Q76" t="str" cm="1">
        <f t="array" ref="Q76">_xlfn.TEXTJOIN(", ", TRUE, _xlfn._xlws.FILTER(Input!W:W, Input!J:J=B76))</f>
        <v/>
      </c>
      <c r="S76" s="13" t="str">
        <f>_xlfn.LET(_xlpm.Result,_xlfn.XLOOKUP(B76,Input!J:J,Input!AB:AB),IF(_xlpm.Result="","",_xlpm.Result))</f>
        <v/>
      </c>
      <c r="T76" s="13" t="str" cm="1">
        <f t="array" ref="T76">IFERROR(_xlfn.IFS(
   --S76&lt;55,"Battery Defect",
  -- S76&lt;=69,"Battery D",
  --S76&lt;=80,"Battery C",
 --S76&gt;80,""
),"")</f>
        <v/>
      </c>
      <c r="U76" s="13" t="str" cm="1">
        <f t="array" ref="U76:Z76">IFERROR(IF(_xlfn.XLOOKUP(B76,Input!J:J,Input!N:S)=0,"",
          _xlfn.XLOOKUP(B76,Input!J:J,Input!N:S)),"")</f>
        <v/>
      </c>
      <c r="V76" s="13" t="str">
        <v/>
      </c>
      <c r="W76" s="13" t="str">
        <v/>
      </c>
      <c r="X76" s="13" t="str">
        <v/>
      </c>
      <c r="Y76" s="13" t="str">
        <v/>
      </c>
      <c r="Z76" s="13" t="str">
        <v/>
      </c>
      <c r="AA76" t="str">
        <f t="shared" si="5"/>
        <v/>
      </c>
      <c r="AB76" t="str">
        <f>_xlfn.XLOOKUP(B:B,Disk_Pivot!G:G,Disk_Pivot!I:I)</f>
        <v>No</v>
      </c>
      <c r="AC76" t="str">
        <f>_xlfn.XLOOKUP(B76,Disk_Pivot!G:G,Disk_Pivot!N:N)</f>
        <v/>
      </c>
    </row>
    <row r="77" spans="1:29">
      <c r="A77" t="str">
        <f>_xlfn.TEXTJOIN("",TRUE,_xlfn.XLOOKUP(B77,Input!J:J,Input!G:G,"",0,1),_xlfn.XLOOKUP(B77,Input!J:J,Input!H:H,"",0,1))</f>
        <v/>
      </c>
      <c r="C77" s="13">
        <f>_xlfn.XLOOKUP(B77,Input!J:J,Input!F:F)</f>
        <v>0</v>
      </c>
      <c r="D77">
        <f>_xlfn.XLOOKUP(C77,Models!H:H,Models!G:G,C77)</f>
        <v>0</v>
      </c>
      <c r="F77" t="str">
        <f>_xlfn.XLOOKUP(H77,Models!B:B,Models!F:F,"")</f>
        <v/>
      </c>
      <c r="G77">
        <f>_xlfn.XLOOKUP(B77,Input!J:J,Input!E:E)</f>
        <v>0</v>
      </c>
      <c r="H77">
        <f>IF(G77="LENOVO",_xlfn.XLOOKUP(B77,Input!J:J,Input!K:K),_xlfn.XLOOKUP(B77,Input!J:J,Input!L:L))</f>
        <v>0</v>
      </c>
      <c r="K77">
        <f>_xlfn.XLOOKUP(B77,CPU_Formula!A:A,CPU_Formula!I:I)</f>
        <v>0</v>
      </c>
      <c r="L77" s="13" t="e">
        <f>INDEX(Input!$D$2:$AD$500,
       MATCH(B77, Input!$J$2:$J$500, 0),
       MATCH("Memory Capacity", Input!$D$1:$AD$1, 0))</f>
        <v>#N/A</v>
      </c>
      <c r="M77" s="13" t="e">
        <f>INDEX(Input!$D$2:$AD$500,
       MATCH(B77, Input!$J$2:$J$500, 0),
       MATCH("Memory Type", Input!$D$1:$AD$1, 0))</f>
        <v>#N/A</v>
      </c>
      <c r="N77" s="13" t="e">
        <f t="shared" si="3"/>
        <v>#N/A</v>
      </c>
      <c r="O77" s="13" t="str" cm="1">
        <f t="array" ref="O77">IFERROR(_xlfn.FILTERXML("&lt;t&gt;&lt;s&gt;" &amp; SUBSTITUTE(M77," / ","&lt;/s&gt;&lt;s&gt;") &amp; "&lt;/s&gt;&lt;/t&gt;","(//s[contains(.,'DDR')])[1]"),"")</f>
        <v/>
      </c>
      <c r="P77" t="e">
        <f t="shared" si="4"/>
        <v>#N/A</v>
      </c>
      <c r="Q77" t="str" cm="1">
        <f t="array" ref="Q77">_xlfn.TEXTJOIN(", ", TRUE, _xlfn._xlws.FILTER(Input!W:W, Input!J:J=B77))</f>
        <v/>
      </c>
      <c r="S77" s="13" t="str">
        <f>_xlfn.LET(_xlpm.Result,_xlfn.XLOOKUP(B77,Input!J:J,Input!AB:AB),IF(_xlpm.Result="","",_xlpm.Result))</f>
        <v/>
      </c>
      <c r="T77" s="13" t="str" cm="1">
        <f t="array" ref="T77">IFERROR(_xlfn.IFS(
   --S77&lt;55,"Battery Defect",
  -- S77&lt;=69,"Battery D",
  --S77&lt;=80,"Battery C",
 --S77&gt;80,""
),"")</f>
        <v/>
      </c>
      <c r="U77" s="13" t="str" cm="1">
        <f t="array" ref="U77:Z77">IFERROR(IF(_xlfn.XLOOKUP(B77,Input!J:J,Input!N:S)=0,"",
          _xlfn.XLOOKUP(B77,Input!J:J,Input!N:S)),"")</f>
        <v/>
      </c>
      <c r="V77" s="13" t="str">
        <v/>
      </c>
      <c r="W77" s="13" t="str">
        <v/>
      </c>
      <c r="X77" s="13" t="str">
        <v/>
      </c>
      <c r="Y77" s="13" t="str">
        <v/>
      </c>
      <c r="Z77" s="13" t="str">
        <v/>
      </c>
      <c r="AA77" t="str">
        <f t="shared" si="5"/>
        <v/>
      </c>
      <c r="AB77" t="str">
        <f>_xlfn.XLOOKUP(B:B,Disk_Pivot!G:G,Disk_Pivot!I:I)</f>
        <v>No</v>
      </c>
      <c r="AC77" t="str">
        <f>_xlfn.XLOOKUP(B77,Disk_Pivot!G:G,Disk_Pivot!N:N)</f>
        <v/>
      </c>
    </row>
    <row r="78" spans="1:29">
      <c r="A78" t="str">
        <f>_xlfn.TEXTJOIN("",TRUE,_xlfn.XLOOKUP(B78,Input!J:J,Input!G:G,"",0,1),_xlfn.XLOOKUP(B78,Input!J:J,Input!H:H,"",0,1))</f>
        <v/>
      </c>
      <c r="C78" s="13">
        <f>_xlfn.XLOOKUP(B78,Input!J:J,Input!F:F)</f>
        <v>0</v>
      </c>
      <c r="D78">
        <f>_xlfn.XLOOKUP(C78,Models!H:H,Models!G:G,C78)</f>
        <v>0</v>
      </c>
      <c r="F78" t="str">
        <f>_xlfn.XLOOKUP(H78,Models!B:B,Models!F:F,"")</f>
        <v/>
      </c>
      <c r="G78">
        <f>_xlfn.XLOOKUP(B78,Input!J:J,Input!E:E)</f>
        <v>0</v>
      </c>
      <c r="H78">
        <f>IF(G78="LENOVO",_xlfn.XLOOKUP(B78,Input!J:J,Input!K:K),_xlfn.XLOOKUP(B78,Input!J:J,Input!L:L))</f>
        <v>0</v>
      </c>
      <c r="K78">
        <f>_xlfn.XLOOKUP(B78,CPU_Formula!A:A,CPU_Formula!I:I)</f>
        <v>0</v>
      </c>
      <c r="L78" s="13" t="e">
        <f>INDEX(Input!$D$2:$AD$500,
       MATCH(B78, Input!$J$2:$J$500, 0),
       MATCH("Memory Capacity", Input!$D$1:$AD$1, 0))</f>
        <v>#N/A</v>
      </c>
      <c r="M78" s="13" t="e">
        <f>INDEX(Input!$D$2:$AD$500,
       MATCH(B78, Input!$J$2:$J$500, 0),
       MATCH("Memory Type", Input!$D$1:$AD$1, 0))</f>
        <v>#N/A</v>
      </c>
      <c r="N78" s="13" t="e">
        <f t="shared" si="3"/>
        <v>#N/A</v>
      </c>
      <c r="O78" s="13" t="str" cm="1">
        <f t="array" ref="O78">IFERROR(_xlfn.FILTERXML("&lt;t&gt;&lt;s&gt;" &amp; SUBSTITUTE(M78," / ","&lt;/s&gt;&lt;s&gt;") &amp; "&lt;/s&gt;&lt;/t&gt;","(//s[contains(.,'DDR')])[1]"),"")</f>
        <v/>
      </c>
      <c r="P78" t="e">
        <f t="shared" si="4"/>
        <v>#N/A</v>
      </c>
      <c r="Q78" t="str" cm="1">
        <f t="array" ref="Q78">_xlfn.TEXTJOIN(", ", TRUE, _xlfn._xlws.FILTER(Input!W:W, Input!J:J=B78))</f>
        <v/>
      </c>
      <c r="S78" s="13" t="str">
        <f>_xlfn.LET(_xlpm.Result,_xlfn.XLOOKUP(B78,Input!J:J,Input!AB:AB),IF(_xlpm.Result="","",_xlpm.Result))</f>
        <v/>
      </c>
      <c r="T78" s="13" t="str" cm="1">
        <f t="array" ref="T78">IFERROR(_xlfn.IFS(
   --S78&lt;55,"Battery Defect",
  -- S78&lt;=69,"Battery D",
  --S78&lt;=80,"Battery C",
 --S78&gt;80,""
),"")</f>
        <v/>
      </c>
      <c r="U78" s="13" t="str" cm="1">
        <f t="array" ref="U78:Z78">IFERROR(IF(_xlfn.XLOOKUP(B78,Input!J:J,Input!N:S)=0,"",
          _xlfn.XLOOKUP(B78,Input!J:J,Input!N:S)),"")</f>
        <v/>
      </c>
      <c r="V78" s="13" t="str">
        <v/>
      </c>
      <c r="W78" s="13" t="str">
        <v/>
      </c>
      <c r="X78" s="13" t="str">
        <v/>
      </c>
      <c r="Y78" s="13" t="str">
        <v/>
      </c>
      <c r="Z78" s="13" t="str">
        <v/>
      </c>
      <c r="AA78" t="str">
        <f t="shared" si="5"/>
        <v/>
      </c>
      <c r="AB78" t="str">
        <f>_xlfn.XLOOKUP(B:B,Disk_Pivot!G:G,Disk_Pivot!I:I)</f>
        <v>No</v>
      </c>
      <c r="AC78" t="str">
        <f>_xlfn.XLOOKUP(B78,Disk_Pivot!G:G,Disk_Pivot!N:N)</f>
        <v/>
      </c>
    </row>
    <row r="79" spans="1:29">
      <c r="A79" t="str">
        <f>_xlfn.TEXTJOIN("",TRUE,_xlfn.XLOOKUP(B79,Input!J:J,Input!G:G,"",0,1),_xlfn.XLOOKUP(B79,Input!J:J,Input!H:H,"",0,1))</f>
        <v/>
      </c>
      <c r="C79" s="13">
        <f>_xlfn.XLOOKUP(B79,Input!J:J,Input!F:F)</f>
        <v>0</v>
      </c>
      <c r="D79">
        <f>_xlfn.XLOOKUP(C79,Models!H:H,Models!G:G,C79)</f>
        <v>0</v>
      </c>
      <c r="F79" t="str">
        <f>_xlfn.XLOOKUP(H79,Models!B:B,Models!F:F,"")</f>
        <v/>
      </c>
      <c r="G79">
        <f>_xlfn.XLOOKUP(B79,Input!J:J,Input!E:E)</f>
        <v>0</v>
      </c>
      <c r="H79">
        <f>IF(G79="LENOVO",_xlfn.XLOOKUP(B79,Input!J:J,Input!K:K),_xlfn.XLOOKUP(B79,Input!J:J,Input!L:L))</f>
        <v>0</v>
      </c>
      <c r="K79">
        <f>_xlfn.XLOOKUP(B79,CPU_Formula!A:A,CPU_Formula!I:I)</f>
        <v>0</v>
      </c>
      <c r="L79" s="13" t="e">
        <f>INDEX(Input!$D$2:$AD$500,
       MATCH(B79, Input!$J$2:$J$500, 0),
       MATCH("Memory Capacity", Input!$D$1:$AD$1, 0))</f>
        <v>#N/A</v>
      </c>
      <c r="M79" s="13" t="e">
        <f>INDEX(Input!$D$2:$AD$500,
       MATCH(B79, Input!$J$2:$J$500, 0),
       MATCH("Memory Type", Input!$D$1:$AD$1, 0))</f>
        <v>#N/A</v>
      </c>
      <c r="N79" s="13" t="e">
        <f t="shared" si="3"/>
        <v>#N/A</v>
      </c>
      <c r="O79" s="13" t="str" cm="1">
        <f t="array" ref="O79">IFERROR(_xlfn.FILTERXML("&lt;t&gt;&lt;s&gt;" &amp; SUBSTITUTE(M79," / ","&lt;/s&gt;&lt;s&gt;") &amp; "&lt;/s&gt;&lt;/t&gt;","(//s[contains(.,'DDR')])[1]"),"")</f>
        <v/>
      </c>
      <c r="P79" t="e">
        <f t="shared" si="4"/>
        <v>#N/A</v>
      </c>
      <c r="Q79" t="str" cm="1">
        <f t="array" ref="Q79">_xlfn.TEXTJOIN(", ", TRUE, _xlfn._xlws.FILTER(Input!W:W, Input!J:J=B79))</f>
        <v/>
      </c>
      <c r="S79" s="13" t="str">
        <f>_xlfn.LET(_xlpm.Result,_xlfn.XLOOKUP(B79,Input!J:J,Input!AB:AB),IF(_xlpm.Result="","",_xlpm.Result))</f>
        <v/>
      </c>
      <c r="T79" s="13" t="str" cm="1">
        <f t="array" ref="T79">IFERROR(_xlfn.IFS(
   --S79&lt;55,"Battery Defect",
  -- S79&lt;=69,"Battery D",
  --S79&lt;=80,"Battery C",
 --S79&gt;80,""
),"")</f>
        <v/>
      </c>
      <c r="U79" s="13" t="str" cm="1">
        <f t="array" ref="U79:Z79">IFERROR(IF(_xlfn.XLOOKUP(B79,Input!J:J,Input!N:S)=0,"",
          _xlfn.XLOOKUP(B79,Input!J:J,Input!N:S)),"")</f>
        <v/>
      </c>
      <c r="V79" s="13" t="str">
        <v/>
      </c>
      <c r="W79" s="13" t="str">
        <v/>
      </c>
      <c r="X79" s="13" t="str">
        <v/>
      </c>
      <c r="Y79" s="13" t="str">
        <v/>
      </c>
      <c r="Z79" s="13" t="str">
        <v/>
      </c>
      <c r="AA79" t="str">
        <f t="shared" si="5"/>
        <v/>
      </c>
      <c r="AB79" t="str">
        <f>_xlfn.XLOOKUP(B:B,Disk_Pivot!G:G,Disk_Pivot!I:I)</f>
        <v>No</v>
      </c>
      <c r="AC79" t="str">
        <f>_xlfn.XLOOKUP(B79,Disk_Pivot!G:G,Disk_Pivot!N:N)</f>
        <v/>
      </c>
    </row>
    <row r="80" spans="1:29">
      <c r="A80" t="str">
        <f>_xlfn.TEXTJOIN("",TRUE,_xlfn.XLOOKUP(B80,Input!J:J,Input!G:G,"",0,1),_xlfn.XLOOKUP(B80,Input!J:J,Input!H:H,"",0,1))</f>
        <v/>
      </c>
      <c r="C80" s="13">
        <f>_xlfn.XLOOKUP(B80,Input!J:J,Input!F:F)</f>
        <v>0</v>
      </c>
      <c r="D80">
        <f>_xlfn.XLOOKUP(C80,Models!H:H,Models!G:G,C80)</f>
        <v>0</v>
      </c>
      <c r="F80" t="str">
        <f>_xlfn.XLOOKUP(H80,Models!B:B,Models!F:F,"")</f>
        <v/>
      </c>
      <c r="G80">
        <f>_xlfn.XLOOKUP(B80,Input!J:J,Input!E:E)</f>
        <v>0</v>
      </c>
      <c r="H80">
        <f>IF(G80="LENOVO",_xlfn.XLOOKUP(B80,Input!J:J,Input!K:K),_xlfn.XLOOKUP(B80,Input!J:J,Input!L:L))</f>
        <v>0</v>
      </c>
      <c r="K80">
        <f>_xlfn.XLOOKUP(B80,CPU_Formula!A:A,CPU_Formula!I:I)</f>
        <v>0</v>
      </c>
      <c r="L80" s="13" t="e">
        <f>INDEX(Input!$D$2:$AD$500,
       MATCH(B80, Input!$J$2:$J$500, 0),
       MATCH("Memory Capacity", Input!$D$1:$AD$1, 0))</f>
        <v>#N/A</v>
      </c>
      <c r="M80" s="13" t="e">
        <f>INDEX(Input!$D$2:$AD$500,
       MATCH(B80, Input!$J$2:$J$500, 0),
       MATCH("Memory Type", Input!$D$1:$AD$1, 0))</f>
        <v>#N/A</v>
      </c>
      <c r="N80" s="13" t="e">
        <f t="shared" si="3"/>
        <v>#N/A</v>
      </c>
      <c r="O80" s="13" t="str" cm="1">
        <f t="array" ref="O80">IFERROR(_xlfn.FILTERXML("&lt;t&gt;&lt;s&gt;" &amp; SUBSTITUTE(M80," / ","&lt;/s&gt;&lt;s&gt;") &amp; "&lt;/s&gt;&lt;/t&gt;","(//s[contains(.,'DDR')])[1]"),"")</f>
        <v/>
      </c>
      <c r="P80" t="e">
        <f t="shared" si="4"/>
        <v>#N/A</v>
      </c>
      <c r="Q80" t="str" cm="1">
        <f t="array" ref="Q80">_xlfn.TEXTJOIN(", ", TRUE, _xlfn._xlws.FILTER(Input!W:W, Input!J:J=B80))</f>
        <v/>
      </c>
      <c r="S80" s="13" t="str">
        <f>_xlfn.LET(_xlpm.Result,_xlfn.XLOOKUP(B80,Input!J:J,Input!AB:AB),IF(_xlpm.Result="","",_xlpm.Result))</f>
        <v/>
      </c>
      <c r="T80" s="13" t="str" cm="1">
        <f t="array" ref="T80">IFERROR(_xlfn.IFS(
   --S80&lt;55,"Battery Defect",
  -- S80&lt;=69,"Battery D",
  --S80&lt;=80,"Battery C",
 --S80&gt;80,""
),"")</f>
        <v/>
      </c>
      <c r="U80" s="13" t="str" cm="1">
        <f t="array" ref="U80:Z80">IFERROR(IF(_xlfn.XLOOKUP(B80,Input!J:J,Input!N:S)=0,"",
          _xlfn.XLOOKUP(B80,Input!J:J,Input!N:S)),"")</f>
        <v/>
      </c>
      <c r="V80" s="13" t="str">
        <v/>
      </c>
      <c r="W80" s="13" t="str">
        <v/>
      </c>
      <c r="X80" s="13" t="str">
        <v/>
      </c>
      <c r="Y80" s="13" t="str">
        <v/>
      </c>
      <c r="Z80" s="13" t="str">
        <v/>
      </c>
      <c r="AA80" t="str">
        <f t="shared" si="5"/>
        <v/>
      </c>
      <c r="AB80" t="str">
        <f>_xlfn.XLOOKUP(B:B,Disk_Pivot!G:G,Disk_Pivot!I:I)</f>
        <v>No</v>
      </c>
      <c r="AC80" t="str">
        <f>_xlfn.XLOOKUP(B80,Disk_Pivot!G:G,Disk_Pivot!N:N)</f>
        <v/>
      </c>
    </row>
    <row r="81" spans="1:29">
      <c r="A81" t="str">
        <f>_xlfn.TEXTJOIN("",TRUE,_xlfn.XLOOKUP(B81,Input!J:J,Input!G:G,"",0,1),_xlfn.XLOOKUP(B81,Input!J:J,Input!H:H,"",0,1))</f>
        <v/>
      </c>
      <c r="C81" s="13">
        <f>_xlfn.XLOOKUP(B81,Input!J:J,Input!F:F)</f>
        <v>0</v>
      </c>
      <c r="D81">
        <f>_xlfn.XLOOKUP(C81,Models!H:H,Models!G:G,C81)</f>
        <v>0</v>
      </c>
      <c r="F81" t="str">
        <f>_xlfn.XLOOKUP(H81,Models!B:B,Models!F:F,"")</f>
        <v/>
      </c>
      <c r="G81">
        <f>_xlfn.XLOOKUP(B81,Input!J:J,Input!E:E)</f>
        <v>0</v>
      </c>
      <c r="H81">
        <f>IF(G81="LENOVO",_xlfn.XLOOKUP(B81,Input!J:J,Input!K:K),_xlfn.XLOOKUP(B81,Input!J:J,Input!L:L))</f>
        <v>0</v>
      </c>
      <c r="K81">
        <f>_xlfn.XLOOKUP(B81,CPU_Formula!A:A,CPU_Formula!I:I)</f>
        <v>0</v>
      </c>
      <c r="L81" s="13" t="e">
        <f>INDEX(Input!$D$2:$AD$500,
       MATCH(B81, Input!$J$2:$J$500, 0),
       MATCH("Memory Capacity", Input!$D$1:$AD$1, 0))</f>
        <v>#N/A</v>
      </c>
      <c r="M81" s="13" t="e">
        <f>INDEX(Input!$D$2:$AD$500,
       MATCH(B81, Input!$J$2:$J$500, 0),
       MATCH("Memory Type", Input!$D$1:$AD$1, 0))</f>
        <v>#N/A</v>
      </c>
      <c r="N81" s="13" t="e">
        <f t="shared" si="3"/>
        <v>#N/A</v>
      </c>
      <c r="O81" s="13" t="str" cm="1">
        <f t="array" ref="O81">IFERROR(_xlfn.FILTERXML("&lt;t&gt;&lt;s&gt;" &amp; SUBSTITUTE(M81," / ","&lt;/s&gt;&lt;s&gt;") &amp; "&lt;/s&gt;&lt;/t&gt;","(//s[contains(.,'DDR')])[1]"),"")</f>
        <v/>
      </c>
      <c r="P81" t="e">
        <f t="shared" si="4"/>
        <v>#N/A</v>
      </c>
      <c r="Q81" t="str" cm="1">
        <f t="array" ref="Q81">_xlfn.TEXTJOIN(", ", TRUE, _xlfn._xlws.FILTER(Input!W:W, Input!J:J=B81))</f>
        <v/>
      </c>
      <c r="S81" s="13" t="str">
        <f>_xlfn.LET(_xlpm.Result,_xlfn.XLOOKUP(B81,Input!J:J,Input!AB:AB),IF(_xlpm.Result="","",_xlpm.Result))</f>
        <v/>
      </c>
      <c r="T81" s="13" t="str" cm="1">
        <f t="array" ref="T81">IFERROR(_xlfn.IFS(
   --S81&lt;55,"Battery Defect",
  -- S81&lt;=69,"Battery D",
  --S81&lt;=80,"Battery C",
 --S81&gt;80,""
),"")</f>
        <v/>
      </c>
      <c r="U81" s="13" t="str" cm="1">
        <f t="array" ref="U81:Z81">IFERROR(IF(_xlfn.XLOOKUP(B81,Input!J:J,Input!N:S)=0,"",
          _xlfn.XLOOKUP(B81,Input!J:J,Input!N:S)),"")</f>
        <v/>
      </c>
      <c r="V81" s="13" t="str">
        <v/>
      </c>
      <c r="W81" s="13" t="str">
        <v/>
      </c>
      <c r="X81" s="13" t="str">
        <v/>
      </c>
      <c r="Y81" s="13" t="str">
        <v/>
      </c>
      <c r="Z81" s="13" t="str">
        <v/>
      </c>
      <c r="AA81" t="str">
        <f t="shared" si="5"/>
        <v/>
      </c>
      <c r="AB81" t="str">
        <f>_xlfn.XLOOKUP(B:B,Disk_Pivot!G:G,Disk_Pivot!I:I)</f>
        <v>No</v>
      </c>
      <c r="AC81" t="str">
        <f>_xlfn.XLOOKUP(B81,Disk_Pivot!G:G,Disk_Pivot!N:N)</f>
        <v/>
      </c>
    </row>
    <row r="82" spans="1:29">
      <c r="A82" t="str">
        <f>_xlfn.TEXTJOIN("",TRUE,_xlfn.XLOOKUP(B82,Input!J:J,Input!G:G,"",0,1),_xlfn.XLOOKUP(B82,Input!J:J,Input!H:H,"",0,1))</f>
        <v/>
      </c>
      <c r="C82" s="13">
        <f>_xlfn.XLOOKUP(B82,Input!J:J,Input!F:F)</f>
        <v>0</v>
      </c>
      <c r="D82">
        <f>_xlfn.XLOOKUP(C82,Models!H:H,Models!G:G,C82)</f>
        <v>0</v>
      </c>
      <c r="F82" t="str">
        <f>_xlfn.XLOOKUP(H82,Models!B:B,Models!F:F,"")</f>
        <v/>
      </c>
      <c r="G82">
        <f>_xlfn.XLOOKUP(B82,Input!J:J,Input!E:E)</f>
        <v>0</v>
      </c>
      <c r="H82">
        <f>IF(G82="LENOVO",_xlfn.XLOOKUP(B82,Input!J:J,Input!K:K),_xlfn.XLOOKUP(B82,Input!J:J,Input!L:L))</f>
        <v>0</v>
      </c>
      <c r="K82">
        <f>_xlfn.XLOOKUP(B82,CPU_Formula!A:A,CPU_Formula!I:I)</f>
        <v>0</v>
      </c>
      <c r="L82" s="13" t="e">
        <f>INDEX(Input!$D$2:$AD$500,
       MATCH(B82, Input!$J$2:$J$500, 0),
       MATCH("Memory Capacity", Input!$D$1:$AD$1, 0))</f>
        <v>#N/A</v>
      </c>
      <c r="M82" s="13" t="e">
        <f>INDEX(Input!$D$2:$AD$500,
       MATCH(B82, Input!$J$2:$J$500, 0),
       MATCH("Memory Type", Input!$D$1:$AD$1, 0))</f>
        <v>#N/A</v>
      </c>
      <c r="N82" s="13" t="e">
        <f t="shared" si="3"/>
        <v>#N/A</v>
      </c>
      <c r="O82" s="13" t="str" cm="1">
        <f t="array" ref="O82">IFERROR(_xlfn.FILTERXML("&lt;t&gt;&lt;s&gt;" &amp; SUBSTITUTE(M82," / ","&lt;/s&gt;&lt;s&gt;") &amp; "&lt;/s&gt;&lt;/t&gt;","(//s[contains(.,'DDR')])[1]"),"")</f>
        <v/>
      </c>
      <c r="P82" t="e">
        <f t="shared" si="4"/>
        <v>#N/A</v>
      </c>
      <c r="Q82" t="str" cm="1">
        <f t="array" ref="Q82">_xlfn.TEXTJOIN(", ", TRUE, _xlfn._xlws.FILTER(Input!W:W, Input!J:J=B82))</f>
        <v/>
      </c>
      <c r="S82" s="13" t="str">
        <f>_xlfn.LET(_xlpm.Result,_xlfn.XLOOKUP(B82,Input!J:J,Input!AB:AB),IF(_xlpm.Result="","",_xlpm.Result))</f>
        <v/>
      </c>
      <c r="T82" s="13" t="str" cm="1">
        <f t="array" ref="T82">IFERROR(_xlfn.IFS(
   --S82&lt;55,"Battery Defect",
  -- S82&lt;=69,"Battery D",
  --S82&lt;=80,"Battery C",
 --S82&gt;80,""
),"")</f>
        <v/>
      </c>
      <c r="U82" s="13" t="str" cm="1">
        <f t="array" ref="U82:Z82">IFERROR(IF(_xlfn.XLOOKUP(B82,Input!J:J,Input!N:S)=0,"",
          _xlfn.XLOOKUP(B82,Input!J:J,Input!N:S)),"")</f>
        <v/>
      </c>
      <c r="V82" s="13" t="str">
        <v/>
      </c>
      <c r="W82" s="13" t="str">
        <v/>
      </c>
      <c r="X82" s="13" t="str">
        <v/>
      </c>
      <c r="Y82" s="13" t="str">
        <v/>
      </c>
      <c r="Z82" s="13" t="str">
        <v/>
      </c>
      <c r="AA82" t="str">
        <f t="shared" si="5"/>
        <v/>
      </c>
      <c r="AB82" t="str">
        <f>_xlfn.XLOOKUP(B:B,Disk_Pivot!G:G,Disk_Pivot!I:I)</f>
        <v>No</v>
      </c>
      <c r="AC82" t="str">
        <f>_xlfn.XLOOKUP(B82,Disk_Pivot!G:G,Disk_Pivot!N:N)</f>
        <v/>
      </c>
    </row>
    <row r="83" spans="1:29">
      <c r="A83" t="str">
        <f>_xlfn.TEXTJOIN("",TRUE,_xlfn.XLOOKUP(B83,Input!J:J,Input!G:G,"",0,1),_xlfn.XLOOKUP(B83,Input!J:J,Input!H:H,"",0,1))</f>
        <v/>
      </c>
      <c r="C83" s="13">
        <f>_xlfn.XLOOKUP(B83,Input!J:J,Input!F:F)</f>
        <v>0</v>
      </c>
      <c r="D83">
        <f>_xlfn.XLOOKUP(C83,Models!H:H,Models!G:G,C83)</f>
        <v>0</v>
      </c>
      <c r="F83" t="str">
        <f>_xlfn.XLOOKUP(H83,Models!B:B,Models!F:F,"")</f>
        <v/>
      </c>
      <c r="G83">
        <f>_xlfn.XLOOKUP(B83,Input!J:J,Input!E:E)</f>
        <v>0</v>
      </c>
      <c r="H83">
        <f>IF(G83="LENOVO",_xlfn.XLOOKUP(B83,Input!J:J,Input!K:K),_xlfn.XLOOKUP(B83,Input!J:J,Input!L:L))</f>
        <v>0</v>
      </c>
      <c r="K83">
        <f>_xlfn.XLOOKUP(B83,CPU_Formula!A:A,CPU_Formula!I:I)</f>
        <v>0</v>
      </c>
      <c r="L83" s="13" t="e">
        <f>INDEX(Input!$D$2:$AD$500,
       MATCH(B83, Input!$J$2:$J$500, 0),
       MATCH("Memory Capacity", Input!$D$1:$AD$1, 0))</f>
        <v>#N/A</v>
      </c>
      <c r="M83" s="13" t="e">
        <f>INDEX(Input!$D$2:$AD$500,
       MATCH(B83, Input!$J$2:$J$500, 0),
       MATCH("Memory Type", Input!$D$1:$AD$1, 0))</f>
        <v>#N/A</v>
      </c>
      <c r="N83" s="13" t="e">
        <f t="shared" si="3"/>
        <v>#N/A</v>
      </c>
      <c r="O83" s="13" t="str" cm="1">
        <f t="array" ref="O83">IFERROR(_xlfn.FILTERXML("&lt;t&gt;&lt;s&gt;" &amp; SUBSTITUTE(M83," / ","&lt;/s&gt;&lt;s&gt;") &amp; "&lt;/s&gt;&lt;/t&gt;","(//s[contains(.,'DDR')])[1]"),"")</f>
        <v/>
      </c>
      <c r="P83" t="e">
        <f t="shared" si="4"/>
        <v>#N/A</v>
      </c>
      <c r="Q83" t="str" cm="1">
        <f t="array" ref="Q83">_xlfn.TEXTJOIN(", ", TRUE, _xlfn._xlws.FILTER(Input!W:W, Input!J:J=B83))</f>
        <v/>
      </c>
      <c r="S83" s="13" t="str">
        <f>_xlfn.LET(_xlpm.Result,_xlfn.XLOOKUP(B83,Input!J:J,Input!AB:AB),IF(_xlpm.Result="","",_xlpm.Result))</f>
        <v/>
      </c>
      <c r="T83" s="13" t="str" cm="1">
        <f t="array" ref="T83">IFERROR(_xlfn.IFS(
   --S83&lt;55,"Battery Defect",
  -- S83&lt;=69,"Battery D",
  --S83&lt;=80,"Battery C",
 --S83&gt;80,""
),"")</f>
        <v/>
      </c>
      <c r="U83" s="13" t="str" cm="1">
        <f t="array" ref="U83:Z83">IFERROR(IF(_xlfn.XLOOKUP(B83,Input!J:J,Input!N:S)=0,"",
          _xlfn.XLOOKUP(B83,Input!J:J,Input!N:S)),"")</f>
        <v/>
      </c>
      <c r="V83" s="13" t="str">
        <v/>
      </c>
      <c r="W83" s="13" t="str">
        <v/>
      </c>
      <c r="X83" s="13" t="str">
        <v/>
      </c>
      <c r="Y83" s="13" t="str">
        <v/>
      </c>
      <c r="Z83" s="13" t="str">
        <v/>
      </c>
      <c r="AA83" t="str">
        <f t="shared" si="5"/>
        <v/>
      </c>
      <c r="AB83" t="str">
        <f>_xlfn.XLOOKUP(B:B,Disk_Pivot!G:G,Disk_Pivot!I:I)</f>
        <v>No</v>
      </c>
      <c r="AC83" t="str">
        <f>_xlfn.XLOOKUP(B83,Disk_Pivot!G:G,Disk_Pivot!N:N)</f>
        <v/>
      </c>
    </row>
    <row r="84" spans="1:29">
      <c r="A84" t="str">
        <f>_xlfn.TEXTJOIN("",TRUE,_xlfn.XLOOKUP(B84,Input!J:J,Input!G:G,"",0,1),_xlfn.XLOOKUP(B84,Input!J:J,Input!H:H,"",0,1))</f>
        <v/>
      </c>
      <c r="C84" s="13">
        <f>_xlfn.XLOOKUP(B84,Input!J:J,Input!F:F)</f>
        <v>0</v>
      </c>
      <c r="D84">
        <f>_xlfn.XLOOKUP(C84,Models!H:H,Models!G:G,C84)</f>
        <v>0</v>
      </c>
      <c r="F84" t="str">
        <f>_xlfn.XLOOKUP(H84,Models!B:B,Models!F:F,"")</f>
        <v/>
      </c>
      <c r="G84">
        <f>_xlfn.XLOOKUP(B84,Input!J:J,Input!E:E)</f>
        <v>0</v>
      </c>
      <c r="H84">
        <f>IF(G84="LENOVO",_xlfn.XLOOKUP(B84,Input!J:J,Input!K:K),_xlfn.XLOOKUP(B84,Input!J:J,Input!L:L))</f>
        <v>0</v>
      </c>
      <c r="K84">
        <f>_xlfn.XLOOKUP(B84,CPU_Formula!A:A,CPU_Formula!I:I)</f>
        <v>0</v>
      </c>
      <c r="L84" s="13" t="e">
        <f>INDEX(Input!$D$2:$AD$500,
       MATCH(B84, Input!$J$2:$J$500, 0),
       MATCH("Memory Capacity", Input!$D$1:$AD$1, 0))</f>
        <v>#N/A</v>
      </c>
      <c r="M84" s="13" t="e">
        <f>INDEX(Input!$D$2:$AD$500,
       MATCH(B84, Input!$J$2:$J$500, 0),
       MATCH("Memory Type", Input!$D$1:$AD$1, 0))</f>
        <v>#N/A</v>
      </c>
      <c r="N84" s="13" t="e">
        <f t="shared" si="3"/>
        <v>#N/A</v>
      </c>
      <c r="O84" s="13" t="str" cm="1">
        <f t="array" ref="O84">IFERROR(_xlfn.FILTERXML("&lt;t&gt;&lt;s&gt;" &amp; SUBSTITUTE(M84," / ","&lt;/s&gt;&lt;s&gt;") &amp; "&lt;/s&gt;&lt;/t&gt;","(//s[contains(.,'DDR')])[1]"),"")</f>
        <v/>
      </c>
      <c r="P84" t="e">
        <f t="shared" si="4"/>
        <v>#N/A</v>
      </c>
      <c r="Q84" t="str" cm="1">
        <f t="array" ref="Q84">_xlfn.TEXTJOIN(", ", TRUE, _xlfn._xlws.FILTER(Input!W:W, Input!J:J=B84))</f>
        <v/>
      </c>
      <c r="S84" s="13" t="str">
        <f>_xlfn.LET(_xlpm.Result,_xlfn.XLOOKUP(B84,Input!J:J,Input!AB:AB),IF(_xlpm.Result="","",_xlpm.Result))</f>
        <v/>
      </c>
      <c r="T84" s="13" t="str" cm="1">
        <f t="array" ref="T84">IFERROR(_xlfn.IFS(
   --S84&lt;55,"Battery Defect",
  -- S84&lt;=69,"Battery D",
  --S84&lt;=80,"Battery C",
 --S84&gt;80,""
),"")</f>
        <v/>
      </c>
      <c r="U84" s="13" t="str" cm="1">
        <f t="array" ref="U84:Z84">IFERROR(IF(_xlfn.XLOOKUP(B84,Input!J:J,Input!N:S)=0,"",
          _xlfn.XLOOKUP(B84,Input!J:J,Input!N:S)),"")</f>
        <v/>
      </c>
      <c r="V84" s="13" t="str">
        <v/>
      </c>
      <c r="W84" s="13" t="str">
        <v/>
      </c>
      <c r="X84" s="13" t="str">
        <v/>
      </c>
      <c r="Y84" s="13" t="str">
        <v/>
      </c>
      <c r="Z84" s="13" t="str">
        <v/>
      </c>
      <c r="AA84" t="str">
        <f t="shared" si="5"/>
        <v/>
      </c>
      <c r="AB84" t="str">
        <f>_xlfn.XLOOKUP(B:B,Disk_Pivot!G:G,Disk_Pivot!I:I)</f>
        <v>No</v>
      </c>
      <c r="AC84" t="str">
        <f>_xlfn.XLOOKUP(B84,Disk_Pivot!G:G,Disk_Pivot!N:N)</f>
        <v/>
      </c>
    </row>
    <row r="85" spans="1:29">
      <c r="A85" t="str">
        <f>_xlfn.TEXTJOIN("",TRUE,_xlfn.XLOOKUP(B85,Input!J:J,Input!G:G,"",0,1),_xlfn.XLOOKUP(B85,Input!J:J,Input!H:H,"",0,1))</f>
        <v/>
      </c>
      <c r="C85" s="13">
        <f>_xlfn.XLOOKUP(B85,Input!J:J,Input!F:F)</f>
        <v>0</v>
      </c>
      <c r="D85">
        <f>_xlfn.XLOOKUP(C85,Models!H:H,Models!G:G,C85)</f>
        <v>0</v>
      </c>
      <c r="F85" t="str">
        <f>_xlfn.XLOOKUP(H85,Models!B:B,Models!F:F,"")</f>
        <v/>
      </c>
      <c r="G85">
        <f>_xlfn.XLOOKUP(B85,Input!J:J,Input!E:E)</f>
        <v>0</v>
      </c>
      <c r="H85">
        <f>IF(G85="LENOVO",_xlfn.XLOOKUP(B85,Input!J:J,Input!K:K),_xlfn.XLOOKUP(B85,Input!J:J,Input!L:L))</f>
        <v>0</v>
      </c>
      <c r="K85">
        <f>_xlfn.XLOOKUP(B85,CPU_Formula!A:A,CPU_Formula!I:I)</f>
        <v>0</v>
      </c>
      <c r="L85" s="13" t="e">
        <f>INDEX(Input!$D$2:$AD$500,
       MATCH(B85, Input!$J$2:$J$500, 0),
       MATCH("Memory Capacity", Input!$D$1:$AD$1, 0))</f>
        <v>#N/A</v>
      </c>
      <c r="M85" s="13" t="e">
        <f>INDEX(Input!$D$2:$AD$500,
       MATCH(B85, Input!$J$2:$J$500, 0),
       MATCH("Memory Type", Input!$D$1:$AD$1, 0))</f>
        <v>#N/A</v>
      </c>
      <c r="N85" s="13" t="e">
        <f t="shared" si="3"/>
        <v>#N/A</v>
      </c>
      <c r="O85" s="13" t="str" cm="1">
        <f t="array" ref="O85">IFERROR(_xlfn.FILTERXML("&lt;t&gt;&lt;s&gt;" &amp; SUBSTITUTE(M85," / ","&lt;/s&gt;&lt;s&gt;") &amp; "&lt;/s&gt;&lt;/t&gt;","(//s[contains(.,'DDR')])[1]"),"")</f>
        <v/>
      </c>
      <c r="P85" t="e">
        <f t="shared" si="4"/>
        <v>#N/A</v>
      </c>
      <c r="Q85" t="str" cm="1">
        <f t="array" ref="Q85">_xlfn.TEXTJOIN(", ", TRUE, _xlfn._xlws.FILTER(Input!W:W, Input!J:J=B85))</f>
        <v/>
      </c>
      <c r="S85" s="13" t="str">
        <f>_xlfn.LET(_xlpm.Result,_xlfn.XLOOKUP(B85,Input!J:J,Input!AB:AB),IF(_xlpm.Result="","",_xlpm.Result))</f>
        <v/>
      </c>
      <c r="T85" s="13" t="str" cm="1">
        <f t="array" ref="T85">IFERROR(_xlfn.IFS(
   --S85&lt;55,"Battery Defect",
  -- S85&lt;=69,"Battery D",
  --S85&lt;=80,"Battery C",
 --S85&gt;80,""
),"")</f>
        <v/>
      </c>
      <c r="U85" s="13" t="str" cm="1">
        <f t="array" ref="U85:Z85">IFERROR(IF(_xlfn.XLOOKUP(B85,Input!J:J,Input!N:S)=0,"",
          _xlfn.XLOOKUP(B85,Input!J:J,Input!N:S)),"")</f>
        <v/>
      </c>
      <c r="V85" s="13" t="str">
        <v/>
      </c>
      <c r="W85" s="13" t="str">
        <v/>
      </c>
      <c r="X85" s="13" t="str">
        <v/>
      </c>
      <c r="Y85" s="13" t="str">
        <v/>
      </c>
      <c r="Z85" s="13" t="str">
        <v/>
      </c>
      <c r="AA85" t="str">
        <f t="shared" si="5"/>
        <v/>
      </c>
      <c r="AB85" t="str">
        <f>_xlfn.XLOOKUP(B:B,Disk_Pivot!G:G,Disk_Pivot!I:I)</f>
        <v>No</v>
      </c>
      <c r="AC85" t="str">
        <f>_xlfn.XLOOKUP(B85,Disk_Pivot!G:G,Disk_Pivot!N:N)</f>
        <v/>
      </c>
    </row>
    <row r="86" spans="1:29">
      <c r="A86" t="str">
        <f>_xlfn.TEXTJOIN("",TRUE,_xlfn.XLOOKUP(B86,Input!J:J,Input!G:G,"",0,1),_xlfn.XLOOKUP(B86,Input!J:J,Input!H:H,"",0,1))</f>
        <v/>
      </c>
      <c r="C86" s="13">
        <f>_xlfn.XLOOKUP(B86,Input!J:J,Input!F:F)</f>
        <v>0</v>
      </c>
      <c r="D86">
        <f>_xlfn.XLOOKUP(C86,Models!H:H,Models!G:G,C86)</f>
        <v>0</v>
      </c>
      <c r="F86" t="str">
        <f>_xlfn.XLOOKUP(H86,Models!B:B,Models!F:F,"")</f>
        <v/>
      </c>
      <c r="G86">
        <f>_xlfn.XLOOKUP(B86,Input!J:J,Input!E:E)</f>
        <v>0</v>
      </c>
      <c r="H86">
        <f>IF(G86="LENOVO",_xlfn.XLOOKUP(B86,Input!J:J,Input!K:K),_xlfn.XLOOKUP(B86,Input!J:J,Input!L:L))</f>
        <v>0</v>
      </c>
      <c r="K86">
        <f>_xlfn.XLOOKUP(B86,CPU_Formula!A:A,CPU_Formula!I:I)</f>
        <v>0</v>
      </c>
      <c r="L86" s="13" t="e">
        <f>INDEX(Input!$D$2:$AD$500,
       MATCH(B86, Input!$J$2:$J$500, 0),
       MATCH("Memory Capacity", Input!$D$1:$AD$1, 0))</f>
        <v>#N/A</v>
      </c>
      <c r="M86" s="13" t="e">
        <f>INDEX(Input!$D$2:$AD$500,
       MATCH(B86, Input!$J$2:$J$500, 0),
       MATCH("Memory Type", Input!$D$1:$AD$1, 0))</f>
        <v>#N/A</v>
      </c>
      <c r="N86" s="13" t="e">
        <f t="shared" si="3"/>
        <v>#N/A</v>
      </c>
      <c r="O86" s="13" t="str" cm="1">
        <f t="array" ref="O86">IFERROR(_xlfn.FILTERXML("&lt;t&gt;&lt;s&gt;" &amp; SUBSTITUTE(M86," / ","&lt;/s&gt;&lt;s&gt;") &amp; "&lt;/s&gt;&lt;/t&gt;","(//s[contains(.,'DDR')])[1]"),"")</f>
        <v/>
      </c>
      <c r="P86" t="e">
        <f t="shared" si="4"/>
        <v>#N/A</v>
      </c>
      <c r="Q86" t="str" cm="1">
        <f t="array" ref="Q86">_xlfn.TEXTJOIN(", ", TRUE, _xlfn._xlws.FILTER(Input!W:W, Input!J:J=B86))</f>
        <v/>
      </c>
      <c r="S86" s="13" t="str">
        <f>_xlfn.LET(_xlpm.Result,_xlfn.XLOOKUP(B86,Input!J:J,Input!AB:AB),IF(_xlpm.Result="","",_xlpm.Result))</f>
        <v/>
      </c>
      <c r="T86" s="13" t="str" cm="1">
        <f t="array" ref="T86">IFERROR(_xlfn.IFS(
   --S86&lt;55,"Battery Defect",
  -- S86&lt;=69,"Battery D",
  --S86&lt;=80,"Battery C",
 --S86&gt;80,""
),"")</f>
        <v/>
      </c>
      <c r="U86" s="13" t="str" cm="1">
        <f t="array" ref="U86:Z86">IFERROR(IF(_xlfn.XLOOKUP(B86,Input!J:J,Input!N:S)=0,"",
          _xlfn.XLOOKUP(B86,Input!J:J,Input!N:S)),"")</f>
        <v/>
      </c>
      <c r="V86" s="13" t="str">
        <v/>
      </c>
      <c r="W86" s="13" t="str">
        <v/>
      </c>
      <c r="X86" s="13" t="str">
        <v/>
      </c>
      <c r="Y86" s="13" t="str">
        <v/>
      </c>
      <c r="Z86" s="13" t="str">
        <v/>
      </c>
      <c r="AA86" t="str">
        <f t="shared" si="5"/>
        <v/>
      </c>
      <c r="AB86" t="str">
        <f>_xlfn.XLOOKUP(B:B,Disk_Pivot!G:G,Disk_Pivot!I:I)</f>
        <v>No</v>
      </c>
      <c r="AC86" t="str">
        <f>_xlfn.XLOOKUP(B86,Disk_Pivot!G:G,Disk_Pivot!N:N)</f>
        <v/>
      </c>
    </row>
    <row r="87" spans="1:29">
      <c r="A87" t="str">
        <f>_xlfn.TEXTJOIN("",TRUE,_xlfn.XLOOKUP(B87,Input!J:J,Input!G:G,"",0,1),_xlfn.XLOOKUP(B87,Input!J:J,Input!H:H,"",0,1))</f>
        <v/>
      </c>
      <c r="C87" s="13">
        <f>_xlfn.XLOOKUP(B87,Input!J:J,Input!F:F)</f>
        <v>0</v>
      </c>
      <c r="D87">
        <f>_xlfn.XLOOKUP(C87,Models!H:H,Models!G:G,C87)</f>
        <v>0</v>
      </c>
      <c r="F87" t="str">
        <f>_xlfn.XLOOKUP(H87,Models!B:B,Models!F:F,"")</f>
        <v/>
      </c>
      <c r="G87">
        <f>_xlfn.XLOOKUP(B87,Input!J:J,Input!E:E)</f>
        <v>0</v>
      </c>
      <c r="H87">
        <f>IF(G87="LENOVO",_xlfn.XLOOKUP(B87,Input!J:J,Input!K:K),_xlfn.XLOOKUP(B87,Input!J:J,Input!L:L))</f>
        <v>0</v>
      </c>
      <c r="K87">
        <f>_xlfn.XLOOKUP(B87,CPU_Formula!A:A,CPU_Formula!I:I)</f>
        <v>0</v>
      </c>
      <c r="L87" s="13" t="e">
        <f>INDEX(Input!$D$2:$AD$500,
       MATCH(B87, Input!$J$2:$J$500, 0),
       MATCH("Memory Capacity", Input!$D$1:$AD$1, 0))</f>
        <v>#N/A</v>
      </c>
      <c r="M87" s="13" t="e">
        <f>INDEX(Input!$D$2:$AD$500,
       MATCH(B87, Input!$J$2:$J$500, 0),
       MATCH("Memory Type", Input!$D$1:$AD$1, 0))</f>
        <v>#N/A</v>
      </c>
      <c r="N87" s="13" t="e">
        <f t="shared" si="3"/>
        <v>#N/A</v>
      </c>
      <c r="O87" s="13" t="str" cm="1">
        <f t="array" ref="O87">IFERROR(_xlfn.FILTERXML("&lt;t&gt;&lt;s&gt;" &amp; SUBSTITUTE(M87," / ","&lt;/s&gt;&lt;s&gt;") &amp; "&lt;/s&gt;&lt;/t&gt;","(//s[contains(.,'DDR')])[1]"),"")</f>
        <v/>
      </c>
      <c r="P87" t="e">
        <f t="shared" si="4"/>
        <v>#N/A</v>
      </c>
      <c r="Q87" t="str" cm="1">
        <f t="array" ref="Q87">_xlfn.TEXTJOIN(", ", TRUE, _xlfn._xlws.FILTER(Input!W:W, Input!J:J=B87))</f>
        <v/>
      </c>
      <c r="S87" s="13" t="str">
        <f>_xlfn.LET(_xlpm.Result,_xlfn.XLOOKUP(B87,Input!J:J,Input!AB:AB),IF(_xlpm.Result="","",_xlpm.Result))</f>
        <v/>
      </c>
      <c r="T87" s="13" t="str" cm="1">
        <f t="array" ref="T87">IFERROR(_xlfn.IFS(
   --S87&lt;55,"Battery Defect",
  -- S87&lt;=69,"Battery D",
  --S87&lt;=80,"Battery C",
 --S87&gt;80,""
),"")</f>
        <v/>
      </c>
      <c r="U87" s="13" t="str" cm="1">
        <f t="array" ref="U87:Z87">IFERROR(IF(_xlfn.XLOOKUP(B87,Input!J:J,Input!N:S)=0,"",
          _xlfn.XLOOKUP(B87,Input!J:J,Input!N:S)),"")</f>
        <v/>
      </c>
      <c r="V87" s="13" t="str">
        <v/>
      </c>
      <c r="W87" s="13" t="str">
        <v/>
      </c>
      <c r="X87" s="13" t="str">
        <v/>
      </c>
      <c r="Y87" s="13" t="str">
        <v/>
      </c>
      <c r="Z87" s="13" t="str">
        <v/>
      </c>
      <c r="AA87" t="str">
        <f t="shared" si="5"/>
        <v/>
      </c>
      <c r="AB87" t="str">
        <f>_xlfn.XLOOKUP(B:B,Disk_Pivot!G:G,Disk_Pivot!I:I)</f>
        <v>No</v>
      </c>
      <c r="AC87" t="str">
        <f>_xlfn.XLOOKUP(B87,Disk_Pivot!G:G,Disk_Pivot!N:N)</f>
        <v/>
      </c>
    </row>
    <row r="88" spans="1:29">
      <c r="A88" t="str">
        <f>_xlfn.TEXTJOIN("",TRUE,_xlfn.XLOOKUP(B88,Input!J:J,Input!G:G,"",0,1),_xlfn.XLOOKUP(B88,Input!J:J,Input!H:H,"",0,1))</f>
        <v/>
      </c>
      <c r="C88" s="13">
        <f>_xlfn.XLOOKUP(B88,Input!J:J,Input!F:F)</f>
        <v>0</v>
      </c>
      <c r="D88">
        <f>_xlfn.XLOOKUP(C88,Models!H:H,Models!G:G,C88)</f>
        <v>0</v>
      </c>
      <c r="F88" t="str">
        <f>_xlfn.XLOOKUP(H88,Models!B:B,Models!F:F,"")</f>
        <v/>
      </c>
      <c r="G88">
        <f>_xlfn.XLOOKUP(B88,Input!J:J,Input!E:E)</f>
        <v>0</v>
      </c>
      <c r="H88">
        <f>IF(G88="LENOVO",_xlfn.XLOOKUP(B88,Input!J:J,Input!K:K),_xlfn.XLOOKUP(B88,Input!J:J,Input!L:L))</f>
        <v>0</v>
      </c>
      <c r="K88">
        <f>_xlfn.XLOOKUP(B88,CPU_Formula!A:A,CPU_Formula!I:I)</f>
        <v>0</v>
      </c>
      <c r="L88" s="13" t="e">
        <f>INDEX(Input!$D$2:$AD$500,
       MATCH(B88, Input!$J$2:$J$500, 0),
       MATCH("Memory Capacity", Input!$D$1:$AD$1, 0))</f>
        <v>#N/A</v>
      </c>
      <c r="M88" s="13" t="e">
        <f>INDEX(Input!$D$2:$AD$500,
       MATCH(B88, Input!$J$2:$J$500, 0),
       MATCH("Memory Type", Input!$D$1:$AD$1, 0))</f>
        <v>#N/A</v>
      </c>
      <c r="N88" s="13" t="e">
        <f t="shared" si="3"/>
        <v>#N/A</v>
      </c>
      <c r="O88" s="13" t="str" cm="1">
        <f t="array" ref="O88">IFERROR(_xlfn.FILTERXML("&lt;t&gt;&lt;s&gt;" &amp; SUBSTITUTE(M88," / ","&lt;/s&gt;&lt;s&gt;") &amp; "&lt;/s&gt;&lt;/t&gt;","(//s[contains(.,'DDR')])[1]"),"")</f>
        <v/>
      </c>
      <c r="P88" t="e">
        <f t="shared" ref="P88" si="6">_xlfn.TEXTJOIN(" ",TRUE,N88,"GB",O88)</f>
        <v>#N/A</v>
      </c>
      <c r="Q88" t="str" cm="1">
        <f t="array" ref="Q88">_xlfn.TEXTJOIN(", ", TRUE, _xlfn._xlws.FILTER(Input!W:W, Input!J:J=B88))</f>
        <v/>
      </c>
      <c r="S88" s="13" t="str">
        <f>_xlfn.LET(_xlpm.Result,_xlfn.XLOOKUP(B88,Input!J:J,Input!AB:AB),IF(_xlpm.Result="","",_xlpm.Result))</f>
        <v/>
      </c>
      <c r="T88" s="13" t="str" cm="1">
        <f t="array" ref="T88">IFERROR(_xlfn.IFS(
   --S88&lt;55,"Battery Defect",
  -- S88&lt;=69,"Battery D",
  --S88&lt;=80,"Battery C",
 --S88&gt;80,""
),"")</f>
        <v/>
      </c>
      <c r="U88" s="13" t="str" cm="1">
        <f t="array" ref="U88:Z88">IFERROR(IF(_xlfn.XLOOKUP(B88,Input!J:J,Input!N:S)=0,"",
          _xlfn.XLOOKUP(B88,Input!J:J,Input!N:S)),"")</f>
        <v/>
      </c>
      <c r="V88" s="13" t="str">
        <v/>
      </c>
      <c r="W88" s="13" t="str">
        <v/>
      </c>
      <c r="X88" s="13" t="str">
        <v/>
      </c>
      <c r="Y88" s="13" t="str">
        <v/>
      </c>
      <c r="Z88" s="13" t="str">
        <v/>
      </c>
      <c r="AA88" t="str">
        <f t="shared" si="5"/>
        <v/>
      </c>
      <c r="AB88" t="str">
        <f>_xlfn.XLOOKUP(B:B,Disk_Pivot!G:G,Disk_Pivot!I:I)</f>
        <v>No</v>
      </c>
      <c r="AC88" t="str">
        <f>_xlfn.XLOOKUP(B88,Disk_Pivot!G:G,Disk_Pivot!N:N)</f>
        <v/>
      </c>
    </row>
    <row r="89" spans="1:29">
      <c r="A89" t="str">
        <f>_xlfn.TEXTJOIN("",TRUE,_xlfn.XLOOKUP(B89,Input!J:J,Input!G:G,"",0,1),_xlfn.XLOOKUP(B89,Input!J:J,Input!H:H,"",0,1))</f>
        <v/>
      </c>
      <c r="F89" t="str">
        <f>_xlfn.XLOOKUP(H89,Models!B:B,Models!F:F,"")</f>
        <v/>
      </c>
      <c r="L89" s="13" t="e">
        <f>INDEX(Input!$D$2:$AD$500,
       MATCH(B89, Input!$J$2:$J$500, 0),
       MATCH("Memory Capacity", Input!$D$1:$AD$1, 0))</f>
        <v>#N/A</v>
      </c>
      <c r="M89" s="13" t="e">
        <f>INDEX(Input!$D$2:$AD$500,
       MATCH(B89, Input!$J$2:$J$500, 0),
       MATCH("Memory Type", Input!$D$1:$AD$1, 0))</f>
        <v>#N/A</v>
      </c>
      <c r="N89" s="13" t="e">
        <f t="shared" si="3"/>
        <v>#N/A</v>
      </c>
      <c r="S89" s="13" t="str">
        <f>_xlfn.LET(_xlpm.Result,_xlfn.XLOOKUP(B89,Input!J:J,Input!AB:AB),IF(_xlpm.Result="","",_xlpm.Result))</f>
        <v/>
      </c>
      <c r="T89" s="13" t="str" cm="1">
        <f t="array" ref="T89">IFERROR(_xlfn.IFS(
   --S89&lt;55,"Battery Defect",
  -- S89&lt;=69,"Battery D",
  --S89&lt;=80,"Battery C",
 --S89&gt;80,""
),"")</f>
        <v/>
      </c>
      <c r="U89" s="13" t="str" cm="1">
        <f t="array" ref="U89:Z89">IFERROR(IF(_xlfn.XLOOKUP(B89,Input!J:J,Input!N:S)=0,"",
          _xlfn.XLOOKUP(B89,Input!J:J,Input!N:S)),"")</f>
        <v/>
      </c>
      <c r="V89" s="13" t="str">
        <v/>
      </c>
      <c r="W89" s="13" t="str">
        <v/>
      </c>
      <c r="X89" s="13" t="str">
        <v/>
      </c>
      <c r="Y89" s="13" t="str">
        <v/>
      </c>
      <c r="Z89" s="13" t="str">
        <v/>
      </c>
      <c r="AA89" t="str">
        <f t="shared" si="5"/>
        <v/>
      </c>
      <c r="AB89" t="str">
        <f>_xlfn.XLOOKUP(B:B,Disk_Pivot!G:G,Disk_Pivot!I:I)</f>
        <v>No</v>
      </c>
      <c r="AC89" t="str">
        <f>_xlfn.XLOOKUP(B89,Disk_Pivot!G:G,Disk_Pivot!N:N)</f>
        <v/>
      </c>
    </row>
    <row r="90" spans="1:29">
      <c r="F90">
        <f>_xlfn.XLOOKUP(H90,Models!B:B,Models!F:F,"")</f>
        <v>0</v>
      </c>
      <c r="K90">
        <f>_xlfn.XLOOKUP(B90,CPU_Formula!A:A,CPU_Formula!I:I)</f>
        <v>0</v>
      </c>
      <c r="L90" s="13" t="e">
        <f>INDEX(Input!$D$2:$AD$500,
       MATCH(B90, Input!$J$2:$J$500, 0),
       MATCH("Memory Capacity", Input!$D$1:$AD$1, 0))</f>
        <v>#N/A</v>
      </c>
      <c r="M90" s="13" t="e">
        <f>INDEX(Input!$D$2:$AD$500,
       MATCH(B90, Input!$J$2:$J$500, 0),
       MATCH("Memory Type", Input!$D$1:$AD$1, 0))</f>
        <v>#N/A</v>
      </c>
      <c r="N90" s="13" t="e">
        <f t="shared" si="3"/>
        <v>#N/A</v>
      </c>
      <c r="S90" s="13" t="str">
        <f>_xlfn.LET(_xlpm.Result,_xlfn.XLOOKUP(B90,Input!J:J,Input!AB:AB),IF(_xlpm.Result="","",_xlpm.Result))</f>
        <v/>
      </c>
      <c r="T90" s="13" t="str" cm="1">
        <f t="array" ref="T90">IFERROR(_xlfn.IFS(
   --S90&lt;55,"Battery Defect",
  -- S90&lt;=69,"Battery D",
  --S90&lt;=80,"Battery C",
 --S90&gt;80,""
),"")</f>
        <v/>
      </c>
      <c r="U90" s="13" t="str" cm="1">
        <f t="array" ref="U90:Z90">IFERROR(IF(_xlfn.XLOOKUP(B90,Input!J:J,Input!N:S)=0,"",
          _xlfn.XLOOKUP(B90,Input!J:J,Input!N:S)),"")</f>
        <v/>
      </c>
      <c r="V90" s="13" t="str">
        <v/>
      </c>
      <c r="W90" s="13" t="str">
        <v/>
      </c>
      <c r="X90" s="13" t="str">
        <v/>
      </c>
      <c r="Y90" s="13" t="str">
        <v/>
      </c>
      <c r="Z90" s="13" t="str">
        <v/>
      </c>
      <c r="AA90" t="str">
        <f t="shared" si="5"/>
        <v/>
      </c>
      <c r="AB90" t="str">
        <f>_xlfn.XLOOKUP(B:B,Disk_Pivot!G:G,Disk_Pivot!I:I)</f>
        <v>No</v>
      </c>
      <c r="AC90" t="str">
        <f>_xlfn.XLOOKUP(B90,Disk_Pivot!G:G,Disk_Pivot!N:N)</f>
        <v/>
      </c>
    </row>
    <row r="91" spans="1:29">
      <c r="F91">
        <f>_xlfn.XLOOKUP(H91,Models!B:B,Models!F:F,"")</f>
        <v>0</v>
      </c>
      <c r="K91">
        <f>_xlfn.XLOOKUP(B91,CPU_Formula!A:A,CPU_Formula!I:I)</f>
        <v>0</v>
      </c>
      <c r="L91" s="13" t="e">
        <f>INDEX(Input!$D$2:$AD$500,
       MATCH(B91, Input!$J$2:$J$500, 0),
       MATCH("Memory Capacity", Input!$D$1:$AD$1, 0))</f>
        <v>#N/A</v>
      </c>
      <c r="M91" s="13" t="e">
        <f>INDEX(Input!$D$2:$AD$500,
       MATCH(B91, Input!$J$2:$J$500, 0),
       MATCH("Memory Type", Input!$D$1:$AD$1, 0))</f>
        <v>#N/A</v>
      </c>
      <c r="N91" s="13" t="e">
        <f t="shared" si="3"/>
        <v>#N/A</v>
      </c>
      <c r="S91" s="13" t="str">
        <f>_xlfn.LET(_xlpm.Result,_xlfn.XLOOKUP(B91,Input!J:J,Input!AB:AB),IF(_xlpm.Result="","",_xlpm.Result))</f>
        <v/>
      </c>
      <c r="T91" s="13" t="str" cm="1">
        <f t="array" ref="T91">IFERROR(_xlfn.IFS(
   --S91&lt;55,"Battery Defect",
  -- S91&lt;=69,"Battery D",
  --S91&lt;=80,"Battery C",
 --S91&gt;80,""
),"")</f>
        <v/>
      </c>
      <c r="U91" s="13" t="str" cm="1">
        <f t="array" ref="U91:Z91">IFERROR(IF(_xlfn.XLOOKUP(B91,Input!J:J,Input!N:S)=0,"",
          _xlfn.XLOOKUP(B91,Input!J:J,Input!N:S)),"")</f>
        <v/>
      </c>
      <c r="V91" s="13" t="str">
        <v/>
      </c>
      <c r="W91" s="13" t="str">
        <v/>
      </c>
      <c r="X91" s="13" t="str">
        <v/>
      </c>
      <c r="Y91" s="13" t="str">
        <v/>
      </c>
      <c r="Z91" s="13" t="str">
        <v/>
      </c>
      <c r="AA91" t="str">
        <f t="shared" si="5"/>
        <v/>
      </c>
      <c r="AB91" t="str">
        <f>_xlfn.XLOOKUP(B:B,Disk_Pivot!G:G,Disk_Pivot!I:I)</f>
        <v>No</v>
      </c>
      <c r="AC91" t="str">
        <f>_xlfn.XLOOKUP(B91,Disk_Pivot!G:G,Disk_Pivot!N:N)</f>
        <v/>
      </c>
    </row>
    <row r="92" spans="1:29">
      <c r="F92" t="str">
        <f>_xlfn.XLOOKUP(H92,Models!B:B,Models!F:F,"")</f>
        <v/>
      </c>
      <c r="K92">
        <f>_xlfn.XLOOKUP(B92,CPU_Formula!A:A,CPU_Formula!I:I)</f>
        <v>0</v>
      </c>
      <c r="L92" s="13" t="e">
        <f>INDEX(Input!$D$2:$AD$500,
       MATCH(B92, Input!$J$2:$J$500, 0),
       MATCH("Memory Capacity", Input!$D$1:$AD$1, 0))</f>
        <v>#N/A</v>
      </c>
      <c r="M92" s="13" t="e">
        <f>INDEX(Input!$D$2:$AD$500,
       MATCH(B92, Input!$J$2:$J$500, 0),
       MATCH("Memory Type", Input!$D$1:$AD$1, 0))</f>
        <v>#N/A</v>
      </c>
      <c r="N92" s="13" t="e">
        <f t="shared" si="3"/>
        <v>#N/A</v>
      </c>
      <c r="S92" s="13" t="str">
        <f>_xlfn.LET(_xlpm.Result,_xlfn.XLOOKUP(B92,Input!J:J,Input!AB:AB),IF(_xlpm.Result="","",_xlpm.Result))</f>
        <v/>
      </c>
      <c r="T92" s="13" t="str" cm="1">
        <f t="array" ref="T92">IFERROR(_xlfn.IFS(
   --S92&lt;55,"Battery Defect",
  -- S92&lt;=69,"Battery D",
  --S92&lt;=80,"Battery C",
 --S92&gt;80,""
),"")</f>
        <v/>
      </c>
      <c r="U92" s="13" t="str" cm="1">
        <f t="array" ref="U92:Z92">IFERROR(IF(_xlfn.XLOOKUP(B92,Input!J:J,Input!N:S)=0,"",
          _xlfn.XLOOKUP(B92,Input!J:J,Input!N:S)),"")</f>
        <v/>
      </c>
      <c r="V92" s="13" t="str">
        <v/>
      </c>
      <c r="W92" s="13" t="str">
        <v/>
      </c>
      <c r="X92" s="13" t="str">
        <v/>
      </c>
      <c r="Y92" s="13" t="str">
        <v/>
      </c>
      <c r="Z92" s="13" t="str">
        <v/>
      </c>
      <c r="AA92" t="str">
        <f t="shared" si="5"/>
        <v/>
      </c>
      <c r="AB92" t="str">
        <f>_xlfn.XLOOKUP(B:B,Disk_Pivot!G:G,Disk_Pivot!I:I)</f>
        <v>No</v>
      </c>
      <c r="AC92" t="str">
        <f>_xlfn.XLOOKUP(B92,Disk_Pivot!G:G,Disk_Pivot!N:N)</f>
        <v/>
      </c>
    </row>
    <row r="93" spans="1:29">
      <c r="F93">
        <f>_xlfn.XLOOKUP(H93,Models!B:B,Models!F:F,"")</f>
        <v>0</v>
      </c>
      <c r="K93">
        <f>_xlfn.XLOOKUP(B93,CPU_Formula!A:A,CPU_Formula!I:I)</f>
        <v>0</v>
      </c>
      <c r="L93" s="13" t="e">
        <f>INDEX(Input!$D$2:$AD$500,
       MATCH(B93, Input!$J$2:$J$500, 0),
       MATCH("Memory Capacity", Input!$D$1:$AD$1, 0))</f>
        <v>#N/A</v>
      </c>
      <c r="M93" s="13" t="e">
        <f>INDEX(Input!$D$2:$AD$500,
       MATCH(B93, Input!$J$2:$J$500, 0),
       MATCH("Memory Type", Input!$D$1:$AD$1, 0))</f>
        <v>#N/A</v>
      </c>
      <c r="N93" s="13" t="e">
        <f t="shared" si="3"/>
        <v>#N/A</v>
      </c>
      <c r="S93" s="13" t="str">
        <f>_xlfn.LET(_xlpm.Result,_xlfn.XLOOKUP(B93,Input!J:J,Input!AB:AB),IF(_xlpm.Result="","",_xlpm.Result))</f>
        <v/>
      </c>
      <c r="T93" s="13" t="str" cm="1">
        <f t="array" ref="T93">IFERROR(_xlfn.IFS(
   --S93&lt;55,"Battery Defect",
  -- S93&lt;=69,"Battery D",
  --S93&lt;=80,"Battery C",
 --S93&gt;80,""
),"")</f>
        <v/>
      </c>
      <c r="U93" s="13" t="str" cm="1">
        <f t="array" ref="U93:Z93">IFERROR(IF(_xlfn.XLOOKUP(B93,Input!J:J,Input!N:S)=0,"",
          _xlfn.XLOOKUP(B93,Input!J:J,Input!N:S)),"")</f>
        <v/>
      </c>
      <c r="V93" s="13" t="str">
        <v/>
      </c>
      <c r="W93" s="13" t="str">
        <v/>
      </c>
      <c r="X93" s="13" t="str">
        <v/>
      </c>
      <c r="Y93" s="13" t="str">
        <v/>
      </c>
      <c r="Z93" s="13" t="str">
        <v/>
      </c>
      <c r="AA93" t="str">
        <f t="shared" si="5"/>
        <v/>
      </c>
      <c r="AB93" t="str">
        <f>_xlfn.XLOOKUP(B:B,Disk_Pivot!G:G,Disk_Pivot!I:I)</f>
        <v>No</v>
      </c>
      <c r="AC93" t="str">
        <f>_xlfn.XLOOKUP(B93,Disk_Pivot!G:G,Disk_Pivot!N:N)</f>
        <v/>
      </c>
    </row>
    <row r="94" spans="1:29">
      <c r="F94">
        <f>_xlfn.XLOOKUP(H94,Models!B:B,Models!F:F,"")</f>
        <v>0</v>
      </c>
      <c r="K94">
        <f>_xlfn.XLOOKUP(B94,CPU_Formula!A:A,CPU_Formula!I:I)</f>
        <v>0</v>
      </c>
      <c r="L94" s="13" t="e">
        <f>INDEX(Input!$D$2:$AD$500,
       MATCH(B94, Input!$J$2:$J$500, 0),
       MATCH("Memory Capacity", Input!$D$1:$AD$1, 0))</f>
        <v>#N/A</v>
      </c>
      <c r="M94" s="13" t="e">
        <f>INDEX(Input!$D$2:$AD$500,
       MATCH(B94, Input!$J$2:$J$500, 0),
       MATCH("Memory Type", Input!$D$1:$AD$1, 0))</f>
        <v>#N/A</v>
      </c>
      <c r="N94" s="13" t="e">
        <f t="shared" si="3"/>
        <v>#N/A</v>
      </c>
      <c r="S94" s="13" t="str">
        <f>_xlfn.LET(_xlpm.Result,_xlfn.XLOOKUP(B94,Input!J:J,Input!AB:AB),IF(_xlpm.Result="","",_xlpm.Result))</f>
        <v/>
      </c>
      <c r="T94" s="13" t="str" cm="1">
        <f t="array" ref="T94">IFERROR(_xlfn.IFS(
   --S94&lt;55,"Battery Defect",
  -- S94&lt;=69,"Battery D",
  --S94&lt;=80,"Battery C",
 --S94&gt;80,""
),"")</f>
        <v/>
      </c>
      <c r="U94" s="13" t="str" cm="1">
        <f t="array" ref="U94:Z94">IFERROR(IF(_xlfn.XLOOKUP(B94,Input!J:J,Input!N:S)=0,"",
          _xlfn.XLOOKUP(B94,Input!J:J,Input!N:S)),"")</f>
        <v/>
      </c>
      <c r="V94" s="13" t="str">
        <v/>
      </c>
      <c r="W94" s="13" t="str">
        <v/>
      </c>
      <c r="X94" s="13" t="str">
        <v/>
      </c>
      <c r="Y94" s="13" t="str">
        <v/>
      </c>
      <c r="Z94" s="13" t="str">
        <v/>
      </c>
      <c r="AA94" t="str">
        <f t="shared" si="5"/>
        <v/>
      </c>
      <c r="AB94" t="str">
        <f>_xlfn.XLOOKUP(B:B,Disk_Pivot!G:G,Disk_Pivot!I:I)</f>
        <v>No</v>
      </c>
      <c r="AC94" t="str">
        <f>_xlfn.XLOOKUP(B94,Disk_Pivot!G:G,Disk_Pivot!N:N)</f>
        <v/>
      </c>
    </row>
    <row r="95" spans="1:29">
      <c r="F95" t="str">
        <f>_xlfn.XLOOKUP(H95,Models!B:B,Models!F:F,"")</f>
        <v/>
      </c>
      <c r="K95">
        <f>_xlfn.XLOOKUP(B95,CPU_Formula!A:A,CPU_Formula!I:I)</f>
        <v>0</v>
      </c>
      <c r="L95" s="13" t="e">
        <f>INDEX(Input!$D$2:$AD$500,
       MATCH(B95, Input!$J$2:$J$500, 0),
       MATCH("Memory Capacity", Input!$D$1:$AD$1, 0))</f>
        <v>#N/A</v>
      </c>
      <c r="M95" s="13" t="e">
        <f>INDEX(Input!$D$2:$AD$500,
       MATCH(B95, Input!$J$2:$J$500, 0),
       MATCH("Memory Type", Input!$D$1:$AD$1, 0))</f>
        <v>#N/A</v>
      </c>
      <c r="N95" s="13" t="e">
        <f t="shared" si="3"/>
        <v>#N/A</v>
      </c>
      <c r="S95" s="13" t="str">
        <f>_xlfn.LET(_xlpm.Result,_xlfn.XLOOKUP(B95,Input!J:J,Input!AB:AB),IF(_xlpm.Result="","",_xlpm.Result))</f>
        <v/>
      </c>
      <c r="T95" s="13" t="str" cm="1">
        <f t="array" ref="T95">IFERROR(_xlfn.IFS(
   --S95&lt;55,"Battery Defect",
  -- S95&lt;=69,"Battery D",
  --S95&lt;=80,"Battery C",
 --S95&gt;80,""
),"")</f>
        <v/>
      </c>
      <c r="U95" s="13" t="str" cm="1">
        <f t="array" ref="U95:Z95">IFERROR(IF(_xlfn.XLOOKUP(B95,Input!J:J,Input!N:S)=0,"",
          _xlfn.XLOOKUP(B95,Input!J:J,Input!N:S)),"")</f>
        <v/>
      </c>
      <c r="V95" s="13" t="str">
        <v/>
      </c>
      <c r="W95" s="13" t="str">
        <v/>
      </c>
      <c r="X95" s="13" t="str">
        <v/>
      </c>
      <c r="Y95" s="13" t="str">
        <v/>
      </c>
      <c r="Z95" s="13" t="str">
        <v/>
      </c>
      <c r="AA95" t="str">
        <f t="shared" si="5"/>
        <v/>
      </c>
      <c r="AB95" t="str">
        <f>_xlfn.XLOOKUP(B:B,Disk_Pivot!G:G,Disk_Pivot!I:I)</f>
        <v>No</v>
      </c>
      <c r="AC95" t="str">
        <f>_xlfn.XLOOKUP(B95,Disk_Pivot!G:G,Disk_Pivot!N:N)</f>
        <v/>
      </c>
    </row>
    <row r="96" spans="1:29">
      <c r="F96">
        <f>_xlfn.XLOOKUP(H96,Models!B:B,Models!F:F,"")</f>
        <v>0</v>
      </c>
      <c r="K96">
        <f>_xlfn.XLOOKUP(B96,CPU_Formula!A:A,CPU_Formula!I:I)</f>
        <v>0</v>
      </c>
      <c r="L96" s="13" t="e">
        <f>INDEX(Input!$D$2:$AD$500,
       MATCH(B96, Input!$J$2:$J$500, 0),
       MATCH("Memory Capacity", Input!$D$1:$AD$1, 0))</f>
        <v>#N/A</v>
      </c>
      <c r="M96" s="13" t="e">
        <f>INDEX(Input!$D$2:$AD$500,
       MATCH(B96, Input!$J$2:$J$500, 0),
       MATCH("Memory Type", Input!$D$1:$AD$1, 0))</f>
        <v>#N/A</v>
      </c>
      <c r="N96" s="13" t="e">
        <f t="shared" si="3"/>
        <v>#N/A</v>
      </c>
      <c r="S96" s="13" t="str">
        <f>_xlfn.LET(_xlpm.Result,_xlfn.XLOOKUP(B96,Input!J:J,Input!AB:AB),IF(_xlpm.Result="","",_xlpm.Result))</f>
        <v/>
      </c>
      <c r="T96" s="13" t="str" cm="1">
        <f t="array" ref="T96">IFERROR(_xlfn.IFS(
   --S96&lt;55,"Battery Defect",
  -- S96&lt;=69,"Battery D",
  --S96&lt;=80,"Battery C",
 --S96&gt;80,""
),"")</f>
        <v/>
      </c>
      <c r="U96" s="13" t="str" cm="1">
        <f t="array" ref="U96:Z96">IFERROR(IF(_xlfn.XLOOKUP(B96,Input!J:J,Input!N:S)=0,"",
          _xlfn.XLOOKUP(B96,Input!J:J,Input!N:S)),"")</f>
        <v/>
      </c>
      <c r="V96" s="13" t="str">
        <v/>
      </c>
      <c r="W96" s="13" t="str">
        <v/>
      </c>
      <c r="X96" s="13" t="str">
        <v/>
      </c>
      <c r="Y96" s="13" t="str">
        <v/>
      </c>
      <c r="Z96" s="13" t="str">
        <v/>
      </c>
      <c r="AA96" t="str">
        <f t="shared" si="5"/>
        <v/>
      </c>
      <c r="AB96" t="str">
        <f>_xlfn.XLOOKUP(B:B,Disk_Pivot!G:G,Disk_Pivot!I:I)</f>
        <v>No</v>
      </c>
      <c r="AC96" t="str">
        <f>_xlfn.XLOOKUP(B96,Disk_Pivot!G:G,Disk_Pivot!N:N)</f>
        <v/>
      </c>
    </row>
    <row r="97" spans="6:29">
      <c r="F97">
        <f>_xlfn.XLOOKUP(H97,Models!B:B,Models!F:F,"")</f>
        <v>0</v>
      </c>
      <c r="K97">
        <f>_xlfn.XLOOKUP(B97,CPU_Formula!A:A,CPU_Formula!I:I)</f>
        <v>0</v>
      </c>
      <c r="L97" s="13" t="e">
        <f>INDEX(Input!$D$2:$AD$500,
       MATCH(B97, Input!$J$2:$J$500, 0),
       MATCH("Memory Capacity", Input!$D$1:$AD$1, 0))</f>
        <v>#N/A</v>
      </c>
      <c r="M97" s="13" t="e">
        <f>INDEX(Input!$D$2:$AD$500,
       MATCH(B97, Input!$J$2:$J$500, 0),
       MATCH("Memory Type", Input!$D$1:$AD$1, 0))</f>
        <v>#N/A</v>
      </c>
      <c r="N97" s="13" t="e">
        <f t="shared" si="3"/>
        <v>#N/A</v>
      </c>
      <c r="S97" s="13" t="str">
        <f>_xlfn.LET(_xlpm.Result,_xlfn.XLOOKUP(B97,Input!J:J,Input!AB:AB),IF(_xlpm.Result="","",_xlpm.Result))</f>
        <v/>
      </c>
      <c r="T97" s="13" t="str" cm="1">
        <f t="array" ref="T97">IFERROR(_xlfn.IFS(
   --S97&lt;55,"Battery Defect",
  -- S97&lt;=69,"Battery D",
  --S97&lt;=80,"Battery C",
 --S97&gt;80,""
),"")</f>
        <v/>
      </c>
      <c r="U97" s="13" t="str" cm="1">
        <f t="array" ref="U97:Z97">IFERROR(IF(_xlfn.XLOOKUP(B97,Input!J:J,Input!N:S)=0,"",
          _xlfn.XLOOKUP(B97,Input!J:J,Input!N:S)),"")</f>
        <v/>
      </c>
      <c r="V97" s="13" t="str">
        <v/>
      </c>
      <c r="W97" s="13" t="str">
        <v/>
      </c>
      <c r="X97" s="13" t="str">
        <v/>
      </c>
      <c r="Y97" s="13" t="str">
        <v/>
      </c>
      <c r="Z97" s="13" t="str">
        <v/>
      </c>
      <c r="AA97" t="str">
        <f t="shared" si="5"/>
        <v/>
      </c>
      <c r="AB97" t="str">
        <f>_xlfn.XLOOKUP(B:B,Disk_Pivot!G:G,Disk_Pivot!I:I)</f>
        <v>No</v>
      </c>
      <c r="AC97" t="str">
        <f>_xlfn.XLOOKUP(B97,Disk_Pivot!G:G,Disk_Pivot!N:N)</f>
        <v/>
      </c>
    </row>
    <row r="98" spans="6:29">
      <c r="F98" t="str">
        <f>_xlfn.XLOOKUP(H98,Models!B:B,Models!F:F,"")</f>
        <v/>
      </c>
      <c r="K98">
        <f>_xlfn.XLOOKUP(B98,CPU_Formula!A:A,CPU_Formula!I:I)</f>
        <v>0</v>
      </c>
      <c r="L98" s="13" t="e">
        <f>INDEX(Input!$D$2:$AD$500,
       MATCH(B98, Input!$J$2:$J$500, 0),
       MATCH("Memory Capacity", Input!$D$1:$AD$1, 0))</f>
        <v>#N/A</v>
      </c>
      <c r="M98" s="13" t="e">
        <f>INDEX(Input!$D$2:$AD$500,
       MATCH(B98, Input!$J$2:$J$500, 0),
       MATCH("Memory Type", Input!$D$1:$AD$1, 0))</f>
        <v>#N/A</v>
      </c>
      <c r="N98" s="13" t="e">
        <f t="shared" si="3"/>
        <v>#N/A</v>
      </c>
      <c r="S98" s="13" t="str">
        <f>_xlfn.LET(_xlpm.Result,_xlfn.XLOOKUP(B98,Input!J:J,Input!AB:AB),IF(_xlpm.Result="","",_xlpm.Result))</f>
        <v/>
      </c>
      <c r="T98" s="13" t="str" cm="1">
        <f t="array" ref="T98">IFERROR(_xlfn.IFS(
   --S98&lt;55,"Battery Defect",
  -- S98&lt;=69,"Battery D",
  --S98&lt;=80,"Battery C",
 --S98&gt;80,""
),"")</f>
        <v/>
      </c>
      <c r="U98" s="13" t="str" cm="1">
        <f t="array" ref="U98:Z98">IFERROR(IF(_xlfn.XLOOKUP(B98,Input!J:J,Input!N:S)=0,"",
          _xlfn.XLOOKUP(B98,Input!J:J,Input!N:S)),"")</f>
        <v/>
      </c>
      <c r="V98" s="13" t="str">
        <v/>
      </c>
      <c r="W98" s="13" t="str">
        <v/>
      </c>
      <c r="X98" s="13" t="str">
        <v/>
      </c>
      <c r="Y98" s="13" t="str">
        <v/>
      </c>
      <c r="Z98" s="13" t="str">
        <v/>
      </c>
      <c r="AA98" t="str">
        <f t="shared" si="5"/>
        <v/>
      </c>
      <c r="AB98" t="str">
        <f>_xlfn.XLOOKUP(B:B,Disk_Pivot!G:G,Disk_Pivot!I:I)</f>
        <v>No</v>
      </c>
      <c r="AC98" t="str">
        <f>_xlfn.XLOOKUP(B98,Disk_Pivot!G:G,Disk_Pivot!N:N)</f>
        <v/>
      </c>
    </row>
    <row r="99" spans="6:29">
      <c r="F99">
        <f>_xlfn.XLOOKUP(H99,Models!B:B,Models!F:F,"")</f>
        <v>0</v>
      </c>
      <c r="K99">
        <f>_xlfn.XLOOKUP(B99,CPU_Formula!A:A,CPU_Formula!I:I)</f>
        <v>0</v>
      </c>
      <c r="L99" s="13" t="e">
        <f>INDEX(Input!$D$2:$AD$500,
       MATCH(B99, Input!$J$2:$J$500, 0),
       MATCH("Memory Capacity", Input!$D$1:$AD$1, 0))</f>
        <v>#N/A</v>
      </c>
      <c r="M99" s="13" t="e">
        <f>INDEX(Input!$D$2:$AD$500,
       MATCH(B99, Input!$J$2:$J$500, 0),
       MATCH("Memory Type", Input!$D$1:$AD$1, 0))</f>
        <v>#N/A</v>
      </c>
      <c r="N99" s="13" t="e">
        <f t="shared" si="3"/>
        <v>#N/A</v>
      </c>
      <c r="S99" s="13" t="str">
        <f>_xlfn.LET(_xlpm.Result,_xlfn.XLOOKUP(B99,Input!J:J,Input!AB:AB),IF(_xlpm.Result="","",_xlpm.Result))</f>
        <v/>
      </c>
      <c r="T99" s="13" t="str" cm="1">
        <f t="array" ref="T99">IFERROR(_xlfn.IFS(
   --S99&lt;55,"Battery Defect",
  -- S99&lt;=69,"Battery D",
  --S99&lt;=80,"Battery C",
 --S99&gt;80,""
),"")</f>
        <v/>
      </c>
      <c r="U99" s="13" t="str" cm="1">
        <f t="array" ref="U99:Z99">IFERROR(IF(_xlfn.XLOOKUP(B99,Input!J:J,Input!N:S)=0,"",
          _xlfn.XLOOKUP(B99,Input!J:J,Input!N:S)),"")</f>
        <v/>
      </c>
      <c r="V99" s="13" t="str">
        <v/>
      </c>
      <c r="W99" s="13" t="str">
        <v/>
      </c>
      <c r="X99" s="13" t="str">
        <v/>
      </c>
      <c r="Y99" s="13" t="str">
        <v/>
      </c>
      <c r="Z99" s="13" t="str">
        <v/>
      </c>
      <c r="AA99" t="str">
        <f t="shared" si="5"/>
        <v/>
      </c>
      <c r="AB99" t="str">
        <f>_xlfn.XLOOKUP(B:B,Disk_Pivot!G:G,Disk_Pivot!I:I)</f>
        <v>No</v>
      </c>
      <c r="AC99" t="str">
        <f>_xlfn.XLOOKUP(B99,Disk_Pivot!G:G,Disk_Pivot!N:N)</f>
        <v/>
      </c>
    </row>
    <row r="100" spans="6:29">
      <c r="F100">
        <f>_xlfn.XLOOKUP(H100,Models!B:B,Models!F:F,"")</f>
        <v>0</v>
      </c>
      <c r="K100">
        <f>_xlfn.XLOOKUP(B100,CPU_Formula!A:A,CPU_Formula!I:I)</f>
        <v>0</v>
      </c>
      <c r="L100" s="13" t="e">
        <f>INDEX(Input!$D$2:$AD$500,
       MATCH(B100, Input!$J$2:$J$500, 0),
       MATCH("Memory Capacity", Input!$D$1:$AD$1, 0))</f>
        <v>#N/A</v>
      </c>
      <c r="M100" s="13" t="e">
        <f>INDEX(Input!$D$2:$AD$500,
       MATCH(B100, Input!$J$2:$J$500, 0),
       MATCH("Memory Type", Input!$D$1:$AD$1, 0))</f>
        <v>#N/A</v>
      </c>
      <c r="N100" s="13" t="e">
        <f t="shared" si="3"/>
        <v>#N/A</v>
      </c>
      <c r="S100" s="13" t="str">
        <f>_xlfn.LET(_xlpm.Result,_xlfn.XLOOKUP(B100,Input!J:J,Input!AB:AB),IF(_xlpm.Result="","",_xlpm.Result))</f>
        <v/>
      </c>
      <c r="T100" s="13" t="str" cm="1">
        <f t="array" ref="T100">IFERROR(_xlfn.IFS(
   --S100&lt;55,"Battery Defect",
  -- S100&lt;=69,"Battery D",
  --S100&lt;=80,"Battery C",
 --S100&gt;80,""
),"")</f>
        <v/>
      </c>
      <c r="U100" s="13" t="str" cm="1">
        <f t="array" ref="U100:Z100">IFERROR(IF(_xlfn.XLOOKUP(B100,Input!J:J,Input!N:S)=0,"",
          _xlfn.XLOOKUP(B100,Input!J:J,Input!N:S)),"")</f>
        <v/>
      </c>
      <c r="V100" s="13" t="str">
        <v/>
      </c>
      <c r="W100" s="13" t="str">
        <v/>
      </c>
      <c r="X100" s="13" t="str">
        <v/>
      </c>
      <c r="Y100" s="13" t="str">
        <v/>
      </c>
      <c r="Z100" s="13" t="str">
        <v/>
      </c>
      <c r="AA100" t="str">
        <f t="shared" si="5"/>
        <v/>
      </c>
      <c r="AB100" t="str">
        <f>_xlfn.XLOOKUP(B:B,Disk_Pivot!G:G,Disk_Pivot!I:I)</f>
        <v>No</v>
      </c>
      <c r="AC100" t="str">
        <f>_xlfn.XLOOKUP(B100,Disk_Pivot!G:G,Disk_Pivot!N:N)</f>
        <v/>
      </c>
    </row>
    <row r="101" spans="6:29">
      <c r="F101" t="str">
        <f>_xlfn.XLOOKUP(H101,Models!B:B,Models!F:F,"")</f>
        <v/>
      </c>
      <c r="K101">
        <f>_xlfn.XLOOKUP(B101,CPU_Formula!A:A,CPU_Formula!I:I)</f>
        <v>0</v>
      </c>
      <c r="L101" s="13" t="e">
        <f>INDEX(Input!$D$2:$AD$500,
       MATCH(B101, Input!$J$2:$J$500, 0),
       MATCH("Memory Capacity", Input!$D$1:$AD$1, 0))</f>
        <v>#N/A</v>
      </c>
      <c r="M101" s="13" t="e">
        <f>INDEX(Input!$D$2:$AD$500,
       MATCH(B101, Input!$J$2:$J$500, 0),
       MATCH("Memory Type", Input!$D$1:$AD$1, 0))</f>
        <v>#N/A</v>
      </c>
      <c r="N101" s="13" t="e">
        <f t="shared" si="3"/>
        <v>#N/A</v>
      </c>
      <c r="S101" s="13" t="str">
        <f>_xlfn.LET(_xlpm.Result,_xlfn.XLOOKUP(B101,Input!J:J,Input!AB:AB),IF(_xlpm.Result="","",_xlpm.Result))</f>
        <v/>
      </c>
      <c r="T101" s="13" t="str" cm="1">
        <f t="array" ref="T101">IFERROR(_xlfn.IFS(
   --S101&lt;55,"Battery Defect",
  -- S101&lt;=69,"Battery D",
  --S101&lt;=80,"Battery C",
 --S101&gt;80,""
),"")</f>
        <v/>
      </c>
      <c r="U101" s="13" t="str" cm="1">
        <f t="array" ref="U101:Z101">IFERROR(IF(_xlfn.XLOOKUP(B101,Input!J:J,Input!N:S)=0,"",
          _xlfn.XLOOKUP(B101,Input!J:J,Input!N:S)),"")</f>
        <v/>
      </c>
      <c r="V101" s="13" t="str">
        <v/>
      </c>
      <c r="W101" s="13" t="str">
        <v/>
      </c>
      <c r="X101" s="13" t="str">
        <v/>
      </c>
      <c r="Y101" s="13" t="str">
        <v/>
      </c>
      <c r="Z101" s="13" t="str">
        <v/>
      </c>
      <c r="AA101" t="str">
        <f t="shared" si="5"/>
        <v/>
      </c>
      <c r="AB101" t="str">
        <f>_xlfn.XLOOKUP(B:B,Disk_Pivot!G:G,Disk_Pivot!I:I)</f>
        <v>No</v>
      </c>
      <c r="AC101" t="str">
        <f>_xlfn.XLOOKUP(B101,Disk_Pivot!G:G,Disk_Pivot!N:N)</f>
        <v/>
      </c>
    </row>
    <row r="102" spans="6:29">
      <c r="F102">
        <f>_xlfn.XLOOKUP(H102,Models!B:B,Models!F:F,"")</f>
        <v>0</v>
      </c>
      <c r="K102">
        <f>_xlfn.XLOOKUP(B102,CPU_Formula!A:A,CPU_Formula!I:I)</f>
        <v>0</v>
      </c>
      <c r="L102" s="13" t="e">
        <f>INDEX(Input!$D$2:$AD$500,
       MATCH(B102, Input!$J$2:$J$500, 0),
       MATCH("Memory Capacity", Input!$D$1:$AD$1, 0))</f>
        <v>#N/A</v>
      </c>
      <c r="M102" s="13" t="e">
        <f>INDEX(Input!$D$2:$AD$500,
       MATCH(B102, Input!$J$2:$J$500, 0),
       MATCH("Memory Type", Input!$D$1:$AD$1, 0))</f>
        <v>#N/A</v>
      </c>
      <c r="N102" s="13" t="e">
        <f t="shared" si="3"/>
        <v>#N/A</v>
      </c>
      <c r="S102" s="13" t="str">
        <f>_xlfn.LET(_xlpm.Result,_xlfn.XLOOKUP(B102,Input!J:J,Input!AB:AB),IF(_xlpm.Result="","",_xlpm.Result))</f>
        <v/>
      </c>
      <c r="T102" s="13" t="str" cm="1">
        <f t="array" ref="T102">IFERROR(_xlfn.IFS(
   --S102&lt;55,"Battery Defect",
  -- S102&lt;=69,"Battery D",
  --S102&lt;=80,"Battery C",
 --S102&gt;80,""
),"")</f>
        <v/>
      </c>
      <c r="U102" s="13" t="str" cm="1">
        <f t="array" ref="U102:Z102">IFERROR(IF(_xlfn.XLOOKUP(B102,Input!J:J,Input!N:S)=0,"",
          _xlfn.XLOOKUP(B102,Input!J:J,Input!N:S)),"")</f>
        <v/>
      </c>
      <c r="V102" s="13" t="str">
        <v/>
      </c>
      <c r="W102" s="13" t="str">
        <v/>
      </c>
      <c r="X102" s="13" t="str">
        <v/>
      </c>
      <c r="Y102" s="13" t="str">
        <v/>
      </c>
      <c r="Z102" s="13" t="str">
        <v/>
      </c>
      <c r="AA102" t="str">
        <f t="shared" si="5"/>
        <v/>
      </c>
      <c r="AB102" t="str">
        <f>_xlfn.XLOOKUP(B:B,Disk_Pivot!G:G,Disk_Pivot!I:I)</f>
        <v>No</v>
      </c>
      <c r="AC102" t="str">
        <f>_xlfn.XLOOKUP(B102,Disk_Pivot!G:G,Disk_Pivot!N:N)</f>
        <v/>
      </c>
    </row>
    <row r="103" spans="6:29">
      <c r="F103">
        <f>_xlfn.XLOOKUP(H103,Models!B:B,Models!F:F,"")</f>
        <v>0</v>
      </c>
      <c r="K103">
        <f>_xlfn.XLOOKUP(B103,CPU_Formula!A:A,CPU_Formula!I:I)</f>
        <v>0</v>
      </c>
      <c r="L103" s="13" t="e">
        <f>INDEX(Input!$D$2:$AD$500,
       MATCH(B103, Input!$J$2:$J$500, 0),
       MATCH("Memory Capacity", Input!$D$1:$AD$1, 0))</f>
        <v>#N/A</v>
      </c>
      <c r="M103" s="13" t="e">
        <f>INDEX(Input!$D$2:$AD$500,
       MATCH(B103, Input!$J$2:$J$500, 0),
       MATCH("Memory Type", Input!$D$1:$AD$1, 0))</f>
        <v>#N/A</v>
      </c>
      <c r="N103" s="13" t="e">
        <f t="shared" si="3"/>
        <v>#N/A</v>
      </c>
      <c r="S103" s="13" t="str">
        <f>_xlfn.LET(_xlpm.Result,_xlfn.XLOOKUP(B103,Input!J:J,Input!AB:AB),IF(_xlpm.Result="","",_xlpm.Result))</f>
        <v/>
      </c>
      <c r="T103" s="13" t="str" cm="1">
        <f t="array" ref="T103">IFERROR(_xlfn.IFS(
   --S103&lt;55,"Battery Defect",
  -- S103&lt;=69,"Battery D",
  --S103&lt;=80,"Battery C",
 --S103&gt;80,""
),"")</f>
        <v/>
      </c>
      <c r="U103" s="13" t="str" cm="1">
        <f t="array" ref="U103:Z103">IFERROR(IF(_xlfn.XLOOKUP(B103,Input!J:J,Input!N:S)=0,"",
          _xlfn.XLOOKUP(B103,Input!J:J,Input!N:S)),"")</f>
        <v/>
      </c>
      <c r="V103" s="13" t="str">
        <v/>
      </c>
      <c r="W103" s="13" t="str">
        <v/>
      </c>
      <c r="X103" s="13" t="str">
        <v/>
      </c>
      <c r="Y103" s="13" t="str">
        <v/>
      </c>
      <c r="Z103" s="13" t="str">
        <v/>
      </c>
      <c r="AA103" t="str">
        <f t="shared" si="5"/>
        <v/>
      </c>
      <c r="AB103" t="str">
        <f>_xlfn.XLOOKUP(B:B,Disk_Pivot!G:G,Disk_Pivot!I:I)</f>
        <v>No</v>
      </c>
      <c r="AC103" t="str">
        <f>_xlfn.XLOOKUP(B103,Disk_Pivot!G:G,Disk_Pivot!N:N)</f>
        <v/>
      </c>
    </row>
    <row r="104" spans="6:29">
      <c r="F104" t="str">
        <f>_xlfn.XLOOKUP(H104,Models!B:B,Models!F:F,"")</f>
        <v/>
      </c>
      <c r="K104">
        <f>_xlfn.XLOOKUP(B104,CPU_Formula!A:A,CPU_Formula!I:I)</f>
        <v>0</v>
      </c>
      <c r="L104" s="13" t="e">
        <f>INDEX(Input!$D$2:$AD$500,
       MATCH(B104, Input!$J$2:$J$500, 0),
       MATCH("Memory Capacity", Input!$D$1:$AD$1, 0))</f>
        <v>#N/A</v>
      </c>
      <c r="M104" s="13" t="e">
        <f>INDEX(Input!$D$2:$AD$500,
       MATCH(B104, Input!$J$2:$J$500, 0),
       MATCH("Memory Type", Input!$D$1:$AD$1, 0))</f>
        <v>#N/A</v>
      </c>
      <c r="N104" s="13" t="e">
        <f t="shared" si="3"/>
        <v>#N/A</v>
      </c>
      <c r="S104" s="13" t="str">
        <f>_xlfn.LET(_xlpm.Result,_xlfn.XLOOKUP(B104,Input!J:J,Input!AB:AB),IF(_xlpm.Result="","",_xlpm.Result))</f>
        <v/>
      </c>
      <c r="T104" s="13" t="str" cm="1">
        <f t="array" ref="T104">IFERROR(_xlfn.IFS(
   --S104&lt;55,"Battery Defect",
  -- S104&lt;=69,"Battery D",
  --S104&lt;=80,"Battery C",
 --S104&gt;80,""
),"")</f>
        <v/>
      </c>
      <c r="U104" s="13" t="str" cm="1">
        <f t="array" ref="U104:Z104">IFERROR(IF(_xlfn.XLOOKUP(B104,Input!J:J,Input!N:S)=0,"",
          _xlfn.XLOOKUP(B104,Input!J:J,Input!N:S)),"")</f>
        <v/>
      </c>
      <c r="V104" s="13" t="str">
        <v/>
      </c>
      <c r="W104" s="13" t="str">
        <v/>
      </c>
      <c r="X104" s="13" t="str">
        <v/>
      </c>
      <c r="Y104" s="13" t="str">
        <v/>
      </c>
      <c r="Z104" s="13" t="str">
        <v/>
      </c>
      <c r="AA104" t="str">
        <f t="shared" si="5"/>
        <v/>
      </c>
      <c r="AB104" t="str">
        <f>_xlfn.XLOOKUP(B:B,Disk_Pivot!G:G,Disk_Pivot!I:I)</f>
        <v>No</v>
      </c>
      <c r="AC104" t="str">
        <f>_xlfn.XLOOKUP(B104,Disk_Pivot!G:G,Disk_Pivot!N:N)</f>
        <v/>
      </c>
    </row>
    <row r="105" spans="6:29">
      <c r="F105">
        <f>_xlfn.XLOOKUP(H105,Models!B:B,Models!F:F,"")</f>
        <v>0</v>
      </c>
      <c r="K105">
        <f>_xlfn.XLOOKUP(B105,CPU_Formula!A:A,CPU_Formula!I:I)</f>
        <v>0</v>
      </c>
      <c r="L105" s="13" t="e">
        <f>INDEX(Input!$D$2:$AD$500,
       MATCH(B105, Input!$J$2:$J$500, 0),
       MATCH("Memory Capacity", Input!$D$1:$AD$1, 0))</f>
        <v>#N/A</v>
      </c>
      <c r="M105" s="13" t="e">
        <f>INDEX(Input!$D$2:$AD$500,
       MATCH(B105, Input!$J$2:$J$500, 0),
       MATCH("Memory Type", Input!$D$1:$AD$1, 0))</f>
        <v>#N/A</v>
      </c>
      <c r="N105" s="13" t="e">
        <f t="shared" si="3"/>
        <v>#N/A</v>
      </c>
      <c r="S105" s="13" t="str">
        <f>_xlfn.LET(_xlpm.Result,_xlfn.XLOOKUP(B105,Input!J:J,Input!AB:AB),IF(_xlpm.Result="","",_xlpm.Result))</f>
        <v/>
      </c>
      <c r="T105" s="13" t="str" cm="1">
        <f t="array" ref="T105">IFERROR(_xlfn.IFS(
   --S105&lt;55,"Battery Defect",
  -- S105&lt;=69,"Battery D",
  --S105&lt;=80,"Battery C",
 --S105&gt;80,""
),"")</f>
        <v/>
      </c>
      <c r="U105" s="13" t="str" cm="1">
        <f t="array" ref="U105:Z105">IFERROR(IF(_xlfn.XLOOKUP(B105,Input!J:J,Input!N:S)=0,"",
          _xlfn.XLOOKUP(B105,Input!J:J,Input!N:S)),"")</f>
        <v/>
      </c>
      <c r="V105" s="13" t="str">
        <v/>
      </c>
      <c r="W105" s="13" t="str">
        <v/>
      </c>
      <c r="X105" s="13" t="str">
        <v/>
      </c>
      <c r="Y105" s="13" t="str">
        <v/>
      </c>
      <c r="Z105" s="13" t="str">
        <v/>
      </c>
      <c r="AA105" t="str">
        <f t="shared" si="5"/>
        <v/>
      </c>
      <c r="AB105" t="str">
        <f>_xlfn.XLOOKUP(B:B,Disk_Pivot!G:G,Disk_Pivot!I:I)</f>
        <v>No</v>
      </c>
      <c r="AC105" t="str">
        <f>_xlfn.XLOOKUP(B105,Disk_Pivot!G:G,Disk_Pivot!N:N)</f>
        <v/>
      </c>
    </row>
    <row r="106" spans="6:29">
      <c r="F106">
        <f>_xlfn.XLOOKUP(H106,Models!B:B,Models!F:F,"")</f>
        <v>0</v>
      </c>
      <c r="K106">
        <f>_xlfn.XLOOKUP(B106,CPU_Formula!A:A,CPU_Formula!I:I)</f>
        <v>0</v>
      </c>
      <c r="L106" s="13" t="e">
        <f>INDEX(Input!$D$2:$AD$500,
       MATCH(B106, Input!$J$2:$J$500, 0),
       MATCH("Memory Capacity", Input!$D$1:$AD$1, 0))</f>
        <v>#N/A</v>
      </c>
      <c r="M106" s="13" t="e">
        <f>INDEX(Input!$D$2:$AD$500,
       MATCH(B106, Input!$J$2:$J$500, 0),
       MATCH("Memory Type", Input!$D$1:$AD$1, 0))</f>
        <v>#N/A</v>
      </c>
      <c r="N106" s="13" t="e">
        <f t="shared" si="3"/>
        <v>#N/A</v>
      </c>
      <c r="S106" s="13" t="str">
        <f>_xlfn.LET(_xlpm.Result,_xlfn.XLOOKUP(B106,Input!J:J,Input!AB:AB),IF(_xlpm.Result="","",_xlpm.Result))</f>
        <v/>
      </c>
      <c r="T106" s="13" t="str" cm="1">
        <f t="array" ref="T106">IFERROR(_xlfn.IFS(
   --S106&lt;55,"Battery Defect",
  -- S106&lt;=69,"Battery D",
  --S106&lt;=80,"Battery C",
 --S106&gt;80,""
),"")</f>
        <v/>
      </c>
      <c r="U106" s="13" t="str" cm="1">
        <f t="array" ref="U106:Z106">IFERROR(IF(_xlfn.XLOOKUP(B106,Input!J:J,Input!N:S)=0,"",
          _xlfn.XLOOKUP(B106,Input!J:J,Input!N:S)),"")</f>
        <v/>
      </c>
      <c r="V106" s="13" t="str">
        <v/>
      </c>
      <c r="W106" s="13" t="str">
        <v/>
      </c>
      <c r="X106" s="13" t="str">
        <v/>
      </c>
      <c r="Y106" s="13" t="str">
        <v/>
      </c>
      <c r="Z106" s="13" t="str">
        <v/>
      </c>
      <c r="AA106" t="str">
        <f t="shared" si="5"/>
        <v/>
      </c>
      <c r="AB106" t="str">
        <f>_xlfn.XLOOKUP(B:B,Disk_Pivot!G:G,Disk_Pivot!I:I)</f>
        <v>No</v>
      </c>
      <c r="AC106" t="str">
        <f>_xlfn.XLOOKUP(B106,Disk_Pivot!G:G,Disk_Pivot!N:N)</f>
        <v/>
      </c>
    </row>
    <row r="107" spans="6:29">
      <c r="F107" t="str">
        <f>_xlfn.XLOOKUP(H107,Models!B:B,Models!F:F,"")</f>
        <v/>
      </c>
      <c r="K107">
        <f>_xlfn.XLOOKUP(B107,CPU_Formula!A:A,CPU_Formula!I:I)</f>
        <v>0</v>
      </c>
      <c r="L107" s="13" t="e">
        <f>INDEX(Input!$D$2:$AD$500,
       MATCH(B107, Input!$J$2:$J$500, 0),
       MATCH("Memory Capacity", Input!$D$1:$AD$1, 0))</f>
        <v>#N/A</v>
      </c>
      <c r="M107" s="13" t="e">
        <f>INDEX(Input!$D$2:$AD$500,
       MATCH(B107, Input!$J$2:$J$500, 0),
       MATCH("Memory Type", Input!$D$1:$AD$1, 0))</f>
        <v>#N/A</v>
      </c>
      <c r="N107" s="13" t="e">
        <f t="shared" si="3"/>
        <v>#N/A</v>
      </c>
      <c r="S107" s="13" t="str">
        <f>_xlfn.LET(_xlpm.Result,_xlfn.XLOOKUP(B107,Input!J:J,Input!AB:AB),IF(_xlpm.Result="","",_xlpm.Result))</f>
        <v/>
      </c>
      <c r="T107" s="13" t="str" cm="1">
        <f t="array" ref="T107">IFERROR(_xlfn.IFS(
   --S107&lt;55,"Battery Defect",
  -- S107&lt;=69,"Battery D",
  --S107&lt;=80,"Battery C",
 --S107&gt;80,""
),"")</f>
        <v/>
      </c>
      <c r="U107" s="13" t="str" cm="1">
        <f t="array" ref="U107:Z107">IFERROR(IF(_xlfn.XLOOKUP(B107,Input!J:J,Input!N:S)=0,"",
          _xlfn.XLOOKUP(B107,Input!J:J,Input!N:S)),"")</f>
        <v/>
      </c>
      <c r="V107" s="13" t="str">
        <v/>
      </c>
      <c r="W107" s="13" t="str">
        <v/>
      </c>
      <c r="X107" s="13" t="str">
        <v/>
      </c>
      <c r="Y107" s="13" t="str">
        <v/>
      </c>
      <c r="Z107" s="13" t="str">
        <v/>
      </c>
      <c r="AA107" t="str">
        <f t="shared" si="5"/>
        <v/>
      </c>
      <c r="AB107" t="str">
        <f>_xlfn.XLOOKUP(B:B,Disk_Pivot!G:G,Disk_Pivot!I:I)</f>
        <v>No</v>
      </c>
      <c r="AC107" t="str">
        <f>_xlfn.XLOOKUP(B107,Disk_Pivot!G:G,Disk_Pivot!N:N)</f>
        <v/>
      </c>
    </row>
    <row r="108" spans="6:29">
      <c r="F108">
        <f>_xlfn.XLOOKUP(H108,Models!B:B,Models!F:F,"")</f>
        <v>0</v>
      </c>
      <c r="K108">
        <f>_xlfn.XLOOKUP(B108,CPU_Formula!A:A,CPU_Formula!I:I)</f>
        <v>0</v>
      </c>
      <c r="L108" s="13" t="e">
        <f>INDEX(Input!$D$2:$AD$500,
       MATCH(B108, Input!$J$2:$J$500, 0),
       MATCH("Memory Capacity", Input!$D$1:$AD$1, 0))</f>
        <v>#N/A</v>
      </c>
      <c r="M108" s="13" t="e">
        <f>INDEX(Input!$D$2:$AD$500,
       MATCH(B108, Input!$J$2:$J$500, 0),
       MATCH("Memory Type", Input!$D$1:$AD$1, 0))</f>
        <v>#N/A</v>
      </c>
      <c r="N108" s="13" t="e">
        <f t="shared" si="3"/>
        <v>#N/A</v>
      </c>
      <c r="S108" s="13" t="str">
        <f>_xlfn.LET(_xlpm.Result,_xlfn.XLOOKUP(B108,Input!J:J,Input!AB:AB),IF(_xlpm.Result="","",_xlpm.Result))</f>
        <v/>
      </c>
      <c r="T108" s="13" t="str" cm="1">
        <f t="array" ref="T108">IFERROR(_xlfn.IFS(
   --S108&lt;55,"Battery Defect",
  -- S108&lt;=69,"Battery D",
  --S108&lt;=80,"Battery C",
 --S108&gt;80,""
),"")</f>
        <v/>
      </c>
      <c r="U108" s="13" t="str" cm="1">
        <f t="array" ref="U108:Z108">IFERROR(IF(_xlfn.XLOOKUP(B108,Input!J:J,Input!N:S)=0,"",
          _xlfn.XLOOKUP(B108,Input!J:J,Input!N:S)),"")</f>
        <v/>
      </c>
      <c r="V108" s="13" t="str">
        <v/>
      </c>
      <c r="W108" s="13" t="str">
        <v/>
      </c>
      <c r="X108" s="13" t="str">
        <v/>
      </c>
      <c r="Y108" s="13" t="str">
        <v/>
      </c>
      <c r="Z108" s="13" t="str">
        <v/>
      </c>
      <c r="AA108" t="str">
        <f t="shared" si="5"/>
        <v/>
      </c>
      <c r="AB108" t="str">
        <f>_xlfn.XLOOKUP(B:B,Disk_Pivot!G:G,Disk_Pivot!I:I)</f>
        <v>No</v>
      </c>
      <c r="AC108" t="str">
        <f>_xlfn.XLOOKUP(B108,Disk_Pivot!G:G,Disk_Pivot!N:N)</f>
        <v/>
      </c>
    </row>
    <row r="109" spans="6:29">
      <c r="F109">
        <f>_xlfn.XLOOKUP(H109,Models!B:B,Models!F:F,"")</f>
        <v>0</v>
      </c>
      <c r="K109">
        <f>_xlfn.XLOOKUP(B109,CPU_Formula!A:A,CPU_Formula!I:I)</f>
        <v>0</v>
      </c>
      <c r="L109" s="13" t="e">
        <f>INDEX(Input!$D$2:$AD$500,
       MATCH(B109, Input!$J$2:$J$500, 0),
       MATCH("Memory Capacity", Input!$D$1:$AD$1, 0))</f>
        <v>#N/A</v>
      </c>
      <c r="M109" s="13" t="e">
        <f>INDEX(Input!$D$2:$AD$500,
       MATCH(B109, Input!$J$2:$J$500, 0),
       MATCH("Memory Type", Input!$D$1:$AD$1, 0))</f>
        <v>#N/A</v>
      </c>
      <c r="N109" s="13" t="e">
        <f t="shared" si="3"/>
        <v>#N/A</v>
      </c>
      <c r="S109" s="13" t="str">
        <f>_xlfn.LET(_xlpm.Result,_xlfn.XLOOKUP(B109,Input!J:J,Input!AB:AB),IF(_xlpm.Result="","",_xlpm.Result))</f>
        <v/>
      </c>
      <c r="T109" s="13" t="str" cm="1">
        <f t="array" ref="T109">IFERROR(_xlfn.IFS(
   --S109&lt;55,"Battery Defect",
  -- S109&lt;=69,"Battery D",
  --S109&lt;=80,"Battery C",
 --S109&gt;80,""
),"")</f>
        <v/>
      </c>
      <c r="U109" s="13" t="str" cm="1">
        <f t="array" ref="U109:Z109">IFERROR(IF(_xlfn.XLOOKUP(B109,Input!J:J,Input!N:S)=0,"",
          _xlfn.XLOOKUP(B109,Input!J:J,Input!N:S)),"")</f>
        <v/>
      </c>
      <c r="V109" s="13" t="str">
        <v/>
      </c>
      <c r="W109" s="13" t="str">
        <v/>
      </c>
      <c r="X109" s="13" t="str">
        <v/>
      </c>
      <c r="Y109" s="13" t="str">
        <v/>
      </c>
      <c r="Z109" s="13" t="str">
        <v/>
      </c>
      <c r="AA109" t="str">
        <f t="shared" si="5"/>
        <v/>
      </c>
      <c r="AB109" t="str">
        <f>_xlfn.XLOOKUP(B:B,Disk_Pivot!G:G,Disk_Pivot!I:I)</f>
        <v>No</v>
      </c>
      <c r="AC109" t="str">
        <f>_xlfn.XLOOKUP(B109,Disk_Pivot!G:G,Disk_Pivot!N:N)</f>
        <v/>
      </c>
    </row>
    <row r="110" spans="6:29">
      <c r="F110" t="str">
        <f>_xlfn.XLOOKUP(H110,Models!B:B,Models!F:F,"")</f>
        <v/>
      </c>
      <c r="K110">
        <f>_xlfn.XLOOKUP(B110,CPU_Formula!A:A,CPU_Formula!I:I)</f>
        <v>0</v>
      </c>
      <c r="L110" s="13" t="e">
        <f>INDEX(Input!$D$2:$AD$500,
       MATCH(B110, Input!$J$2:$J$500, 0),
       MATCH("Memory Capacity", Input!$D$1:$AD$1, 0))</f>
        <v>#N/A</v>
      </c>
      <c r="M110" s="13" t="e">
        <f>INDEX(Input!$D$2:$AD$500,
       MATCH(B110, Input!$J$2:$J$500, 0),
       MATCH("Memory Type", Input!$D$1:$AD$1, 0))</f>
        <v>#N/A</v>
      </c>
      <c r="N110" s="13" t="e">
        <f t="shared" si="3"/>
        <v>#N/A</v>
      </c>
      <c r="S110" s="13" t="str">
        <f>_xlfn.LET(_xlpm.Result,_xlfn.XLOOKUP(B110,Input!J:J,Input!AB:AB),IF(_xlpm.Result="","",_xlpm.Result))</f>
        <v/>
      </c>
      <c r="T110" s="13" t="str" cm="1">
        <f t="array" ref="T110">IFERROR(_xlfn.IFS(
   --S110&lt;55,"Battery Defect",
  -- S110&lt;=69,"Battery D",
  --S110&lt;=80,"Battery C",
 --S110&gt;80,""
),"")</f>
        <v/>
      </c>
      <c r="U110" s="13" t="str" cm="1">
        <f t="array" ref="U110:Z110">IFERROR(IF(_xlfn.XLOOKUP(B110,Input!J:J,Input!N:S)=0,"",
          _xlfn.XLOOKUP(B110,Input!J:J,Input!N:S)),"")</f>
        <v/>
      </c>
      <c r="V110" s="13" t="str">
        <v/>
      </c>
      <c r="W110" s="13" t="str">
        <v/>
      </c>
      <c r="X110" s="13" t="str">
        <v/>
      </c>
      <c r="Y110" s="13" t="str">
        <v/>
      </c>
      <c r="Z110" s="13" t="str">
        <v/>
      </c>
      <c r="AA110" t="str">
        <f t="shared" si="5"/>
        <v/>
      </c>
      <c r="AB110" t="str">
        <f>_xlfn.XLOOKUP(B:B,Disk_Pivot!G:G,Disk_Pivot!I:I)</f>
        <v>No</v>
      </c>
      <c r="AC110" t="str">
        <f>_xlfn.XLOOKUP(B110,Disk_Pivot!G:G,Disk_Pivot!N:N)</f>
        <v/>
      </c>
    </row>
    <row r="111" spans="6:29">
      <c r="F111">
        <f>_xlfn.XLOOKUP(H111,Models!B:B,Models!F:F,"")</f>
        <v>0</v>
      </c>
      <c r="K111">
        <f>_xlfn.XLOOKUP(B111,CPU_Formula!A:A,CPU_Formula!I:I)</f>
        <v>0</v>
      </c>
      <c r="L111" s="13" t="e">
        <f>INDEX(Input!$D$2:$AD$500,
       MATCH(B111, Input!$J$2:$J$500, 0),
       MATCH("Memory Capacity", Input!$D$1:$AD$1, 0))</f>
        <v>#N/A</v>
      </c>
      <c r="M111" s="13" t="e">
        <f>INDEX(Input!$D$2:$AD$500,
       MATCH(B111, Input!$J$2:$J$500, 0),
       MATCH("Memory Type", Input!$D$1:$AD$1, 0))</f>
        <v>#N/A</v>
      </c>
      <c r="N111" s="13" t="e">
        <f t="shared" si="3"/>
        <v>#N/A</v>
      </c>
      <c r="S111" s="13" t="str">
        <f>_xlfn.LET(_xlpm.Result,_xlfn.XLOOKUP(B111,Input!J:J,Input!AB:AB),IF(_xlpm.Result="","",_xlpm.Result))</f>
        <v/>
      </c>
      <c r="T111" s="13" t="str" cm="1">
        <f t="array" ref="T111">IFERROR(_xlfn.IFS(
   --S111&lt;55,"Battery Defect",
  -- S111&lt;=69,"Battery D",
  --S111&lt;=80,"Battery C",
 --S111&gt;80,""
),"")</f>
        <v/>
      </c>
      <c r="U111" s="13" t="str" cm="1">
        <f t="array" ref="U111:Z111">IFERROR(IF(_xlfn.XLOOKUP(B111,Input!J:J,Input!N:S)=0,"",
          _xlfn.XLOOKUP(B111,Input!J:J,Input!N:S)),"")</f>
        <v/>
      </c>
      <c r="V111" s="13" t="str">
        <v/>
      </c>
      <c r="W111" s="13" t="str">
        <v/>
      </c>
      <c r="X111" s="13" t="str">
        <v/>
      </c>
      <c r="Y111" s="13" t="str">
        <v/>
      </c>
      <c r="Z111" s="13" t="str">
        <v/>
      </c>
      <c r="AA111" t="str">
        <f t="shared" si="5"/>
        <v/>
      </c>
      <c r="AB111" t="str">
        <f>_xlfn.XLOOKUP(B:B,Disk_Pivot!G:G,Disk_Pivot!I:I)</f>
        <v>No</v>
      </c>
      <c r="AC111" t="str">
        <f>_xlfn.XLOOKUP(B111,Disk_Pivot!G:G,Disk_Pivot!N:N)</f>
        <v/>
      </c>
    </row>
    <row r="112" spans="6:29">
      <c r="F112">
        <f>_xlfn.XLOOKUP(H112,Models!B:B,Models!F:F,"")</f>
        <v>0</v>
      </c>
      <c r="K112">
        <f>_xlfn.XLOOKUP(B112,CPU_Formula!A:A,CPU_Formula!I:I)</f>
        <v>0</v>
      </c>
      <c r="L112" s="13" t="e">
        <f>INDEX(Input!$D$2:$AD$500,
       MATCH(B112, Input!$J$2:$J$500, 0),
       MATCH("Memory Capacity", Input!$D$1:$AD$1, 0))</f>
        <v>#N/A</v>
      </c>
      <c r="M112" s="13" t="e">
        <f>INDEX(Input!$D$2:$AD$500,
       MATCH(B112, Input!$J$2:$J$500, 0),
       MATCH("Memory Type", Input!$D$1:$AD$1, 0))</f>
        <v>#N/A</v>
      </c>
      <c r="N112" s="13" t="e">
        <f t="shared" si="3"/>
        <v>#N/A</v>
      </c>
      <c r="S112" s="13" t="str">
        <f>_xlfn.LET(_xlpm.Result,_xlfn.XLOOKUP(B112,Input!J:J,Input!AB:AB),IF(_xlpm.Result="","",_xlpm.Result))</f>
        <v/>
      </c>
      <c r="T112" s="13" t="str" cm="1">
        <f t="array" ref="T112">IFERROR(_xlfn.IFS(
   --S112&lt;55,"Battery Defect",
  -- S112&lt;=69,"Battery D",
  --S112&lt;=80,"Battery C",
 --S112&gt;80,""
),"")</f>
        <v/>
      </c>
      <c r="U112" s="13" t="str" cm="1">
        <f t="array" ref="U112:Z112">IFERROR(IF(_xlfn.XLOOKUP(B112,Input!J:J,Input!N:S)=0,"",
          _xlfn.XLOOKUP(B112,Input!J:J,Input!N:S)),"")</f>
        <v/>
      </c>
      <c r="V112" s="13" t="str">
        <v/>
      </c>
      <c r="W112" s="13" t="str">
        <v/>
      </c>
      <c r="X112" s="13" t="str">
        <v/>
      </c>
      <c r="Y112" s="13" t="str">
        <v/>
      </c>
      <c r="Z112" s="13" t="str">
        <v/>
      </c>
      <c r="AA112" t="str">
        <f t="shared" si="5"/>
        <v/>
      </c>
      <c r="AB112" t="str">
        <f>_xlfn.XLOOKUP(B:B,Disk_Pivot!G:G,Disk_Pivot!I:I)</f>
        <v>No</v>
      </c>
      <c r="AC112" t="str">
        <f>_xlfn.XLOOKUP(B112,Disk_Pivot!G:G,Disk_Pivot!N:N)</f>
        <v/>
      </c>
    </row>
    <row r="113" spans="6:29">
      <c r="F113" t="str">
        <f>_xlfn.XLOOKUP(H113,Models!B:B,Models!F:F,"")</f>
        <v/>
      </c>
      <c r="K113">
        <f>_xlfn.XLOOKUP(B113,CPU_Formula!A:A,CPU_Formula!I:I)</f>
        <v>0</v>
      </c>
      <c r="L113" s="13" t="e">
        <f>INDEX(Input!$D$2:$AD$500,
       MATCH(B113, Input!$J$2:$J$500, 0),
       MATCH("Memory Capacity", Input!$D$1:$AD$1, 0))</f>
        <v>#N/A</v>
      </c>
      <c r="M113" s="13" t="e">
        <f>INDEX(Input!$D$2:$AD$500,
       MATCH(B113, Input!$J$2:$J$500, 0),
       MATCH("Memory Type", Input!$D$1:$AD$1, 0))</f>
        <v>#N/A</v>
      </c>
      <c r="N113" s="13" t="e">
        <f t="shared" si="3"/>
        <v>#N/A</v>
      </c>
      <c r="S113" s="13" t="str">
        <f>_xlfn.LET(_xlpm.Result,_xlfn.XLOOKUP(B113,Input!J:J,Input!AB:AB),IF(_xlpm.Result="","",_xlpm.Result))</f>
        <v/>
      </c>
      <c r="T113" s="13" t="str" cm="1">
        <f t="array" ref="T113">IFERROR(_xlfn.IFS(
   --S113&lt;55,"Battery Defect",
  -- S113&lt;=69,"Battery D",
  --S113&lt;=80,"Battery C",
 --S113&gt;80,""
),"")</f>
        <v/>
      </c>
      <c r="U113" s="13" t="str" cm="1">
        <f t="array" ref="U113:Z113">IFERROR(IF(_xlfn.XLOOKUP(B113,Input!J:J,Input!N:S)=0,"",
          _xlfn.XLOOKUP(B113,Input!J:J,Input!N:S)),"")</f>
        <v/>
      </c>
      <c r="V113" s="13" t="str">
        <v/>
      </c>
      <c r="W113" s="13" t="str">
        <v/>
      </c>
      <c r="X113" s="13" t="str">
        <v/>
      </c>
      <c r="Y113" s="13" t="str">
        <v/>
      </c>
      <c r="Z113" s="13" t="str">
        <v/>
      </c>
      <c r="AA113" t="str">
        <f t="shared" si="5"/>
        <v/>
      </c>
      <c r="AB113" t="str">
        <f>_xlfn.XLOOKUP(B:B,Disk_Pivot!G:G,Disk_Pivot!I:I)</f>
        <v>No</v>
      </c>
      <c r="AC113" t="str">
        <f>_xlfn.XLOOKUP(B113,Disk_Pivot!G:G,Disk_Pivot!N:N)</f>
        <v/>
      </c>
    </row>
    <row r="114" spans="6:29">
      <c r="F114">
        <f>_xlfn.XLOOKUP(H114,Models!B:B,Models!F:F,"")</f>
        <v>0</v>
      </c>
      <c r="K114">
        <f>_xlfn.XLOOKUP(B114,CPU_Formula!A:A,CPU_Formula!I:I)</f>
        <v>0</v>
      </c>
      <c r="L114" s="13" t="e">
        <f>INDEX(Input!$D$2:$AD$500,
       MATCH(B114, Input!$J$2:$J$500, 0),
       MATCH("Memory Capacity", Input!$D$1:$AD$1, 0))</f>
        <v>#N/A</v>
      </c>
      <c r="M114" s="13" t="e">
        <f>INDEX(Input!$D$2:$AD$500,
       MATCH(B114, Input!$J$2:$J$500, 0),
       MATCH("Memory Type", Input!$D$1:$AD$1, 0))</f>
        <v>#N/A</v>
      </c>
      <c r="N114" s="13" t="e">
        <f t="shared" si="3"/>
        <v>#N/A</v>
      </c>
      <c r="S114" s="13" t="str">
        <f>_xlfn.LET(_xlpm.Result,_xlfn.XLOOKUP(B114,Input!J:J,Input!AB:AB),IF(_xlpm.Result="","",_xlpm.Result))</f>
        <v/>
      </c>
      <c r="T114" s="13" t="str" cm="1">
        <f t="array" ref="T114">IFERROR(_xlfn.IFS(
   --S114&lt;55,"Battery Defect",
  -- S114&lt;=69,"Battery D",
  --S114&lt;=80,"Battery C",
 --S114&gt;80,""
),"")</f>
        <v/>
      </c>
      <c r="U114" s="13" t="str" cm="1">
        <f t="array" ref="U114:Z114">IFERROR(IF(_xlfn.XLOOKUP(B114,Input!J:J,Input!N:S)=0,"",
          _xlfn.XLOOKUP(B114,Input!J:J,Input!N:S)),"")</f>
        <v/>
      </c>
      <c r="V114" s="13" t="str">
        <v/>
      </c>
      <c r="W114" s="13" t="str">
        <v/>
      </c>
      <c r="X114" s="13" t="str">
        <v/>
      </c>
      <c r="Y114" s="13" t="str">
        <v/>
      </c>
      <c r="Z114" s="13" t="str">
        <v/>
      </c>
      <c r="AA114" t="str">
        <f t="shared" si="5"/>
        <v/>
      </c>
      <c r="AB114" t="str">
        <f>_xlfn.XLOOKUP(B:B,Disk_Pivot!G:G,Disk_Pivot!I:I)</f>
        <v>No</v>
      </c>
      <c r="AC114" t="str">
        <f>_xlfn.XLOOKUP(B114,Disk_Pivot!G:G,Disk_Pivot!N:N)</f>
        <v/>
      </c>
    </row>
    <row r="115" spans="6:29">
      <c r="F115">
        <f>_xlfn.XLOOKUP(H115,Models!B:B,Models!F:F,"")</f>
        <v>0</v>
      </c>
      <c r="K115">
        <f>_xlfn.XLOOKUP(B115,CPU_Formula!A:A,CPU_Formula!I:I)</f>
        <v>0</v>
      </c>
      <c r="L115" s="13" t="e">
        <f>INDEX(Input!$D$2:$AD$500,
       MATCH(B115, Input!$J$2:$J$500, 0),
       MATCH("Memory Capacity", Input!$D$1:$AD$1, 0))</f>
        <v>#N/A</v>
      </c>
      <c r="M115" s="13" t="e">
        <f>INDEX(Input!$D$2:$AD$500,
       MATCH(B115, Input!$J$2:$J$500, 0),
       MATCH("Memory Type", Input!$D$1:$AD$1, 0))</f>
        <v>#N/A</v>
      </c>
      <c r="N115" s="13" t="e">
        <f t="shared" si="3"/>
        <v>#N/A</v>
      </c>
      <c r="S115" s="13" t="str">
        <f>_xlfn.LET(_xlpm.Result,_xlfn.XLOOKUP(B115,Input!J:J,Input!AB:AB),IF(_xlpm.Result="","",_xlpm.Result))</f>
        <v/>
      </c>
      <c r="T115" s="13" t="str" cm="1">
        <f t="array" ref="T115">IFERROR(_xlfn.IFS(
   --S115&lt;55,"Battery Defect",
  -- S115&lt;=69,"Battery D",
  --S115&lt;=80,"Battery C",
 --S115&gt;80,""
),"")</f>
        <v/>
      </c>
      <c r="U115" s="13" t="str" cm="1">
        <f t="array" ref="U115:Z115">IFERROR(IF(_xlfn.XLOOKUP(B115,Input!J:J,Input!N:S)=0,"",
          _xlfn.XLOOKUP(B115,Input!J:J,Input!N:S)),"")</f>
        <v/>
      </c>
      <c r="V115" s="13" t="str">
        <v/>
      </c>
      <c r="W115" s="13" t="str">
        <v/>
      </c>
      <c r="X115" s="13" t="str">
        <v/>
      </c>
      <c r="Y115" s="13" t="str">
        <v/>
      </c>
      <c r="Z115" s="13" t="str">
        <v/>
      </c>
      <c r="AA115" t="str">
        <f t="shared" si="5"/>
        <v/>
      </c>
      <c r="AB115" t="str">
        <f>_xlfn.XLOOKUP(B:B,Disk_Pivot!G:G,Disk_Pivot!I:I)</f>
        <v>No</v>
      </c>
      <c r="AC115" t="str">
        <f>_xlfn.XLOOKUP(B115,Disk_Pivot!G:G,Disk_Pivot!N:N)</f>
        <v/>
      </c>
    </row>
    <row r="116" spans="6:29">
      <c r="F116" t="str">
        <f>_xlfn.XLOOKUP(H116,Models!B:B,Models!F:F,"")</f>
        <v/>
      </c>
      <c r="K116">
        <f>_xlfn.XLOOKUP(B116,CPU_Formula!A:A,CPU_Formula!I:I)</f>
        <v>0</v>
      </c>
      <c r="L116" s="13" t="e">
        <f>INDEX(Input!$D$2:$AD$500,
       MATCH(B116, Input!$J$2:$J$500, 0),
       MATCH("Memory Capacity", Input!$D$1:$AD$1, 0))</f>
        <v>#N/A</v>
      </c>
      <c r="M116" s="13" t="e">
        <f>INDEX(Input!$D$2:$AD$500,
       MATCH(B116, Input!$J$2:$J$500, 0),
       MATCH("Memory Type", Input!$D$1:$AD$1, 0))</f>
        <v>#N/A</v>
      </c>
      <c r="N116" s="13" t="e">
        <f t="shared" si="3"/>
        <v>#N/A</v>
      </c>
      <c r="S116" s="13" t="str">
        <f>_xlfn.LET(_xlpm.Result,_xlfn.XLOOKUP(B116,Input!J:J,Input!AB:AB),IF(_xlpm.Result="","",_xlpm.Result))</f>
        <v/>
      </c>
      <c r="T116" s="13" t="str" cm="1">
        <f t="array" ref="T116">IFERROR(_xlfn.IFS(
   --S116&lt;55,"Battery Defect",
  -- S116&lt;=69,"Battery D",
  --S116&lt;=80,"Battery C",
 --S116&gt;80,""
),"")</f>
        <v/>
      </c>
      <c r="U116" s="13" t="str" cm="1">
        <f t="array" ref="U116:Z116">IFERROR(IF(_xlfn.XLOOKUP(B116,Input!J:J,Input!N:S)=0,"",
          _xlfn.XLOOKUP(B116,Input!J:J,Input!N:S)),"")</f>
        <v/>
      </c>
      <c r="V116" s="13" t="str">
        <v/>
      </c>
      <c r="W116" s="13" t="str">
        <v/>
      </c>
      <c r="X116" s="13" t="str">
        <v/>
      </c>
      <c r="Y116" s="13" t="str">
        <v/>
      </c>
      <c r="Z116" s="13" t="str">
        <v/>
      </c>
      <c r="AA116" t="str">
        <f t="shared" si="5"/>
        <v/>
      </c>
      <c r="AB116" t="str">
        <f>_xlfn.XLOOKUP(B:B,Disk_Pivot!G:G,Disk_Pivot!I:I)</f>
        <v>No</v>
      </c>
      <c r="AC116" t="str">
        <f>_xlfn.XLOOKUP(B116,Disk_Pivot!G:G,Disk_Pivot!N:N)</f>
        <v/>
      </c>
    </row>
    <row r="117" spans="6:29">
      <c r="F117">
        <f>_xlfn.XLOOKUP(H117,Models!B:B,Models!F:F,"")</f>
        <v>0</v>
      </c>
      <c r="K117">
        <f>_xlfn.XLOOKUP(B117,CPU_Formula!A:A,CPU_Formula!I:I)</f>
        <v>0</v>
      </c>
      <c r="L117" s="13" t="e">
        <f>INDEX(Input!$D$2:$AD$500,
       MATCH(B117, Input!$J$2:$J$500, 0),
       MATCH("Memory Capacity", Input!$D$1:$AD$1, 0))</f>
        <v>#N/A</v>
      </c>
      <c r="M117" s="13" t="e">
        <f>INDEX(Input!$D$2:$AD$500,
       MATCH(B117, Input!$J$2:$J$500, 0),
       MATCH("Memory Type", Input!$D$1:$AD$1, 0))</f>
        <v>#N/A</v>
      </c>
      <c r="N117" s="13" t="e">
        <f t="shared" si="3"/>
        <v>#N/A</v>
      </c>
      <c r="S117" s="13" t="str">
        <f>_xlfn.LET(_xlpm.Result,_xlfn.XLOOKUP(B117,Input!J:J,Input!AB:AB),IF(_xlpm.Result="","",_xlpm.Result))</f>
        <v/>
      </c>
      <c r="T117" s="13" t="str" cm="1">
        <f t="array" ref="T117">IFERROR(_xlfn.IFS(
   --S117&lt;55,"Battery Defect",
  -- S117&lt;=69,"Battery D",
  --S117&lt;=80,"Battery C",
 --S117&gt;80,""
),"")</f>
        <v/>
      </c>
      <c r="U117" s="13" t="str" cm="1">
        <f t="array" ref="U117:Z117">IFERROR(IF(_xlfn.XLOOKUP(B117,Input!J:J,Input!N:S)=0,"",
          _xlfn.XLOOKUP(B117,Input!J:J,Input!N:S)),"")</f>
        <v/>
      </c>
      <c r="V117" s="13" t="str">
        <v/>
      </c>
      <c r="W117" s="13" t="str">
        <v/>
      </c>
      <c r="X117" s="13" t="str">
        <v/>
      </c>
      <c r="Y117" s="13" t="str">
        <v/>
      </c>
      <c r="Z117" s="13" t="str">
        <v/>
      </c>
      <c r="AA117" t="str">
        <f t="shared" si="5"/>
        <v/>
      </c>
      <c r="AB117" t="str">
        <f>_xlfn.XLOOKUP(B:B,Disk_Pivot!G:G,Disk_Pivot!I:I)</f>
        <v>No</v>
      </c>
      <c r="AC117" t="str">
        <f>_xlfn.XLOOKUP(B117,Disk_Pivot!G:G,Disk_Pivot!N:N)</f>
        <v/>
      </c>
    </row>
    <row r="118" spans="6:29">
      <c r="F118">
        <f>_xlfn.XLOOKUP(H118,Models!B:B,Models!F:F,"")</f>
        <v>0</v>
      </c>
      <c r="K118">
        <f>_xlfn.XLOOKUP(B118,CPU_Formula!A:A,CPU_Formula!I:I)</f>
        <v>0</v>
      </c>
      <c r="L118" s="13" t="e">
        <f>INDEX(Input!$D$2:$AD$500,
       MATCH(B118, Input!$J$2:$J$500, 0),
       MATCH("Memory Capacity", Input!$D$1:$AD$1, 0))</f>
        <v>#N/A</v>
      </c>
      <c r="M118" s="13" t="e">
        <f>INDEX(Input!$D$2:$AD$500,
       MATCH(B118, Input!$J$2:$J$500, 0),
       MATCH("Memory Type", Input!$D$1:$AD$1, 0))</f>
        <v>#N/A</v>
      </c>
      <c r="N118" s="13" t="e">
        <f t="shared" si="3"/>
        <v>#N/A</v>
      </c>
      <c r="S118" s="13" t="str">
        <f>_xlfn.LET(_xlpm.Result,_xlfn.XLOOKUP(B118,Input!J:J,Input!AB:AB),IF(_xlpm.Result="","",_xlpm.Result))</f>
        <v/>
      </c>
      <c r="T118" s="13" t="str" cm="1">
        <f t="array" ref="T118">IFERROR(_xlfn.IFS(
   --S118&lt;55,"Battery Defect",
  -- S118&lt;=69,"Battery D",
  --S118&lt;=80,"Battery C",
 --S118&gt;80,""
),"")</f>
        <v/>
      </c>
      <c r="U118" s="13" t="str" cm="1">
        <f t="array" ref="U118:Z118">IFERROR(IF(_xlfn.XLOOKUP(B118,Input!J:J,Input!N:S)=0,"",
          _xlfn.XLOOKUP(B118,Input!J:J,Input!N:S)),"")</f>
        <v/>
      </c>
      <c r="V118" s="13" t="str">
        <v/>
      </c>
      <c r="W118" s="13" t="str">
        <v/>
      </c>
      <c r="X118" s="13" t="str">
        <v/>
      </c>
      <c r="Y118" s="13" t="str">
        <v/>
      </c>
      <c r="Z118" s="13" t="str">
        <v/>
      </c>
      <c r="AA118" t="str">
        <f t="shared" si="5"/>
        <v/>
      </c>
      <c r="AB118" t="str">
        <f>_xlfn.XLOOKUP(B:B,Disk_Pivot!G:G,Disk_Pivot!I:I)</f>
        <v>No</v>
      </c>
      <c r="AC118" t="str">
        <f>_xlfn.XLOOKUP(B118,Disk_Pivot!G:G,Disk_Pivot!N:N)</f>
        <v/>
      </c>
    </row>
    <row r="119" spans="6:29">
      <c r="F119" t="str">
        <f>_xlfn.XLOOKUP(H119,Models!B:B,Models!F:F,"")</f>
        <v/>
      </c>
      <c r="K119">
        <f>_xlfn.XLOOKUP(B119,CPU_Formula!A:A,CPU_Formula!I:I)</f>
        <v>0</v>
      </c>
      <c r="L119" s="13" t="e">
        <f>INDEX(Input!$D$2:$AD$500,
       MATCH(B119, Input!$J$2:$J$500, 0),
       MATCH("Memory Capacity", Input!$D$1:$AD$1, 0))</f>
        <v>#N/A</v>
      </c>
      <c r="M119" s="13" t="e">
        <f>INDEX(Input!$D$2:$AD$500,
       MATCH(B119, Input!$J$2:$J$500, 0),
       MATCH("Memory Type", Input!$D$1:$AD$1, 0))</f>
        <v>#N/A</v>
      </c>
      <c r="N119" s="13" t="e">
        <f t="shared" si="3"/>
        <v>#N/A</v>
      </c>
      <c r="S119" s="13" t="str">
        <f>_xlfn.LET(_xlpm.Result,_xlfn.XLOOKUP(B119,Input!J:J,Input!AB:AB),IF(_xlpm.Result="","",_xlpm.Result))</f>
        <v/>
      </c>
      <c r="T119" s="13" t="str" cm="1">
        <f t="array" ref="T119">IFERROR(_xlfn.IFS(
   --S119&lt;55,"Battery Defect",
  -- S119&lt;=69,"Battery D",
  --S119&lt;=80,"Battery C",
 --S119&gt;80,""
),"")</f>
        <v/>
      </c>
      <c r="U119" s="13" t="str" cm="1">
        <f t="array" ref="U119:Z119">IFERROR(IF(_xlfn.XLOOKUP(B119,Input!J:J,Input!N:S)=0,"",
          _xlfn.XLOOKUP(B119,Input!J:J,Input!N:S)),"")</f>
        <v/>
      </c>
      <c r="V119" s="13" t="str">
        <v/>
      </c>
      <c r="W119" s="13" t="str">
        <v/>
      </c>
      <c r="X119" s="13" t="str">
        <v/>
      </c>
      <c r="Y119" s="13" t="str">
        <v/>
      </c>
      <c r="Z119" s="13" t="str">
        <v/>
      </c>
      <c r="AA119" t="str">
        <f t="shared" si="5"/>
        <v/>
      </c>
      <c r="AB119" t="str">
        <f>_xlfn.XLOOKUP(B:B,Disk_Pivot!G:G,Disk_Pivot!I:I)</f>
        <v>No</v>
      </c>
      <c r="AC119" t="str">
        <f>_xlfn.XLOOKUP(B119,Disk_Pivot!G:G,Disk_Pivot!N:N)</f>
        <v/>
      </c>
    </row>
    <row r="120" spans="6:29">
      <c r="F120">
        <f>_xlfn.XLOOKUP(H120,Models!B:B,Models!F:F,"")</f>
        <v>0</v>
      </c>
      <c r="K120">
        <f>_xlfn.XLOOKUP(B120,CPU_Formula!A:A,CPU_Formula!I:I)</f>
        <v>0</v>
      </c>
      <c r="L120" s="13" t="e">
        <f>INDEX(Input!$D$2:$AD$500,
       MATCH(B120, Input!$J$2:$J$500, 0),
       MATCH("Memory Capacity", Input!$D$1:$AD$1, 0))</f>
        <v>#N/A</v>
      </c>
      <c r="M120" s="13" t="e">
        <f>INDEX(Input!$D$2:$AD$500,
       MATCH(B120, Input!$J$2:$J$500, 0),
       MATCH("Memory Type", Input!$D$1:$AD$1, 0))</f>
        <v>#N/A</v>
      </c>
      <c r="N120" s="13" t="e">
        <f t="shared" si="3"/>
        <v>#N/A</v>
      </c>
      <c r="S120" s="13" t="str">
        <f>_xlfn.LET(_xlpm.Result,_xlfn.XLOOKUP(B120,Input!J:J,Input!AB:AB),IF(_xlpm.Result="","",_xlpm.Result))</f>
        <v/>
      </c>
      <c r="T120" s="13" t="str" cm="1">
        <f t="array" ref="T120">IFERROR(_xlfn.IFS(
   --S120&lt;55,"Battery Defect",
  -- S120&lt;=69,"Battery D",
  --S120&lt;=80,"Battery C",
 --S120&gt;80,""
),"")</f>
        <v/>
      </c>
      <c r="U120" s="13" t="str" cm="1">
        <f t="array" ref="U120:Z120">IFERROR(IF(_xlfn.XLOOKUP(B120,Input!J:J,Input!N:S)=0,"",
          _xlfn.XLOOKUP(B120,Input!J:J,Input!N:S)),"")</f>
        <v/>
      </c>
      <c r="V120" s="13" t="str">
        <v/>
      </c>
      <c r="W120" s="13" t="str">
        <v/>
      </c>
      <c r="X120" s="13" t="str">
        <v/>
      </c>
      <c r="Y120" s="13" t="str">
        <v/>
      </c>
      <c r="Z120" s="13" t="str">
        <v/>
      </c>
      <c r="AA120" t="str">
        <f t="shared" si="5"/>
        <v/>
      </c>
      <c r="AB120" t="str">
        <f>_xlfn.XLOOKUP(B:B,Disk_Pivot!G:G,Disk_Pivot!I:I)</f>
        <v>No</v>
      </c>
      <c r="AC120" t="str">
        <f>_xlfn.XLOOKUP(B120,Disk_Pivot!G:G,Disk_Pivot!N:N)</f>
        <v/>
      </c>
    </row>
    <row r="121" spans="6:29">
      <c r="F121">
        <f>_xlfn.XLOOKUP(H121,Models!B:B,Models!F:F,"")</f>
        <v>0</v>
      </c>
      <c r="K121">
        <f>_xlfn.XLOOKUP(B121,CPU_Formula!A:A,CPU_Formula!I:I)</f>
        <v>0</v>
      </c>
      <c r="L121" s="13" t="e">
        <f>INDEX(Input!$D$2:$AD$500,
       MATCH(B121, Input!$J$2:$J$500, 0),
       MATCH("Memory Capacity", Input!$D$1:$AD$1, 0))</f>
        <v>#N/A</v>
      </c>
      <c r="M121" s="13" t="e">
        <f>INDEX(Input!$D$2:$AD$500,
       MATCH(B121, Input!$J$2:$J$500, 0),
       MATCH("Memory Type", Input!$D$1:$AD$1, 0))</f>
        <v>#N/A</v>
      </c>
      <c r="N121" s="13" t="e">
        <f t="shared" si="3"/>
        <v>#N/A</v>
      </c>
      <c r="S121" s="13" t="str">
        <f>_xlfn.LET(_xlpm.Result,_xlfn.XLOOKUP(B121,Input!J:J,Input!AB:AB),IF(_xlpm.Result="","",_xlpm.Result))</f>
        <v/>
      </c>
      <c r="T121" s="13" t="str" cm="1">
        <f t="array" ref="T121">IFERROR(_xlfn.IFS(
   --S121&lt;55,"Battery Defect",
  -- S121&lt;=69,"Battery D",
  --S121&lt;=80,"Battery C",
 --S121&gt;80,""
),"")</f>
        <v/>
      </c>
      <c r="U121" s="13" t="str" cm="1">
        <f t="array" ref="U121:Z121">IFERROR(IF(_xlfn.XLOOKUP(B121,Input!J:J,Input!N:S)=0,"",
          _xlfn.XLOOKUP(B121,Input!J:J,Input!N:S)),"")</f>
        <v/>
      </c>
      <c r="V121" s="13" t="str">
        <v/>
      </c>
      <c r="W121" s="13" t="str">
        <v/>
      </c>
      <c r="X121" s="13" t="str">
        <v/>
      </c>
      <c r="Y121" s="13" t="str">
        <v/>
      </c>
      <c r="Z121" s="13" t="str">
        <v/>
      </c>
      <c r="AA121" t="str">
        <f t="shared" si="5"/>
        <v/>
      </c>
      <c r="AB121" t="str">
        <f>_xlfn.XLOOKUP(B:B,Disk_Pivot!G:G,Disk_Pivot!I:I)</f>
        <v>No</v>
      </c>
      <c r="AC121" t="str">
        <f>_xlfn.XLOOKUP(B121,Disk_Pivot!G:G,Disk_Pivot!N:N)</f>
        <v/>
      </c>
    </row>
    <row r="122" spans="6:29">
      <c r="F122" t="str">
        <f>_xlfn.XLOOKUP(H122,Models!B:B,Models!F:F,"")</f>
        <v/>
      </c>
      <c r="K122">
        <f>_xlfn.XLOOKUP(B122,CPU_Formula!A:A,CPU_Formula!I:I)</f>
        <v>0</v>
      </c>
      <c r="L122" s="13" t="e">
        <f>INDEX(Input!$D$2:$AD$500,
       MATCH(B122, Input!$J$2:$J$500, 0),
       MATCH("Memory Capacity", Input!$D$1:$AD$1, 0))</f>
        <v>#N/A</v>
      </c>
      <c r="M122" s="13" t="e">
        <f>INDEX(Input!$D$2:$AD$500,
       MATCH(B122, Input!$J$2:$J$500, 0),
       MATCH("Memory Type", Input!$D$1:$AD$1, 0))</f>
        <v>#N/A</v>
      </c>
      <c r="N122" s="13" t="e">
        <f t="shared" si="3"/>
        <v>#N/A</v>
      </c>
      <c r="S122" s="13" t="str">
        <f>_xlfn.LET(_xlpm.Result,_xlfn.XLOOKUP(B122,Input!J:J,Input!AB:AB),IF(_xlpm.Result="","",_xlpm.Result))</f>
        <v/>
      </c>
      <c r="T122" s="13" t="str" cm="1">
        <f t="array" ref="T122">IFERROR(_xlfn.IFS(
   --S122&lt;55,"Battery Defect",
  -- S122&lt;=69,"Battery D",
  --S122&lt;=80,"Battery C",
 --S122&gt;80,""
),"")</f>
        <v/>
      </c>
      <c r="U122" s="13" t="str" cm="1">
        <f t="array" ref="U122:Z122">IFERROR(IF(_xlfn.XLOOKUP(B122,Input!J:J,Input!N:S)=0,"",
          _xlfn.XLOOKUP(B122,Input!J:J,Input!N:S)),"")</f>
        <v/>
      </c>
      <c r="V122" s="13" t="str">
        <v/>
      </c>
      <c r="W122" s="13" t="str">
        <v/>
      </c>
      <c r="X122" s="13" t="str">
        <v/>
      </c>
      <c r="Y122" s="13" t="str">
        <v/>
      </c>
      <c r="Z122" s="13" t="str">
        <v/>
      </c>
      <c r="AA122" t="str">
        <f t="shared" si="5"/>
        <v/>
      </c>
      <c r="AB122" t="str">
        <f>_xlfn.XLOOKUP(B:B,Disk_Pivot!G:G,Disk_Pivot!I:I)</f>
        <v>No</v>
      </c>
      <c r="AC122" t="str">
        <f>_xlfn.XLOOKUP(B122,Disk_Pivot!G:G,Disk_Pivot!N:N)</f>
        <v/>
      </c>
    </row>
    <row r="123" spans="6:29">
      <c r="F123">
        <f>_xlfn.XLOOKUP(H123,Models!B:B,Models!F:F,"")</f>
        <v>0</v>
      </c>
      <c r="K123">
        <f>_xlfn.XLOOKUP(B123,CPU_Formula!A:A,CPU_Formula!I:I)</f>
        <v>0</v>
      </c>
      <c r="L123" s="13" t="e">
        <f>INDEX(Input!$D$2:$AD$500,
       MATCH(B123, Input!$J$2:$J$500, 0),
       MATCH("Memory Capacity", Input!$D$1:$AD$1, 0))</f>
        <v>#N/A</v>
      </c>
      <c r="M123" s="13" t="e">
        <f>INDEX(Input!$D$2:$AD$500,
       MATCH(B123, Input!$J$2:$J$500, 0),
       MATCH("Memory Type", Input!$D$1:$AD$1, 0))</f>
        <v>#N/A</v>
      </c>
      <c r="N123" s="13" t="e">
        <f t="shared" si="3"/>
        <v>#N/A</v>
      </c>
      <c r="S123" s="13" t="str">
        <f>_xlfn.LET(_xlpm.Result,_xlfn.XLOOKUP(B123,Input!J:J,Input!AB:AB),IF(_xlpm.Result="","",_xlpm.Result))</f>
        <v/>
      </c>
      <c r="T123" s="13" t="str" cm="1">
        <f t="array" ref="T123">IFERROR(_xlfn.IFS(
   --S123&lt;55,"Battery Defect",
  -- S123&lt;=69,"Battery D",
  --S123&lt;=80,"Battery C",
 --S123&gt;80,""
),"")</f>
        <v/>
      </c>
      <c r="U123" s="13" t="str" cm="1">
        <f t="array" ref="U123:Z123">IFERROR(IF(_xlfn.XLOOKUP(B123,Input!J:J,Input!N:S)=0,"",
          _xlfn.XLOOKUP(B123,Input!J:J,Input!N:S)),"")</f>
        <v/>
      </c>
      <c r="V123" s="13" t="str">
        <v/>
      </c>
      <c r="W123" s="13" t="str">
        <v/>
      </c>
      <c r="X123" s="13" t="str">
        <v/>
      </c>
      <c r="Y123" s="13" t="str">
        <v/>
      </c>
      <c r="Z123" s="13" t="str">
        <v/>
      </c>
      <c r="AA123" t="str">
        <f t="shared" si="5"/>
        <v/>
      </c>
      <c r="AB123" t="str">
        <f>_xlfn.XLOOKUP(B:B,Disk_Pivot!G:G,Disk_Pivot!I:I)</f>
        <v>No</v>
      </c>
      <c r="AC123" t="str">
        <f>_xlfn.XLOOKUP(B123,Disk_Pivot!G:G,Disk_Pivot!N:N)</f>
        <v/>
      </c>
    </row>
    <row r="124" spans="6:29">
      <c r="F124">
        <f>_xlfn.XLOOKUP(H124,Models!B:B,Models!F:F,"")</f>
        <v>0</v>
      </c>
      <c r="K124">
        <f>_xlfn.XLOOKUP(B124,CPU_Formula!A:A,CPU_Formula!I:I)</f>
        <v>0</v>
      </c>
      <c r="L124" s="13" t="e">
        <f>INDEX(Input!$D$2:$AD$500,
       MATCH(B124, Input!$J$2:$J$500, 0),
       MATCH("Memory Capacity", Input!$D$1:$AD$1, 0))</f>
        <v>#N/A</v>
      </c>
      <c r="M124" s="13" t="e">
        <f>INDEX(Input!$D$2:$AD$500,
       MATCH(B124, Input!$J$2:$J$500, 0),
       MATCH("Memory Type", Input!$D$1:$AD$1, 0))</f>
        <v>#N/A</v>
      </c>
      <c r="N124" s="13" t="e">
        <f t="shared" si="3"/>
        <v>#N/A</v>
      </c>
      <c r="S124" s="13" t="str">
        <f>_xlfn.LET(_xlpm.Result,_xlfn.XLOOKUP(B124,Input!J:J,Input!AB:AB),IF(_xlpm.Result="","",_xlpm.Result))</f>
        <v/>
      </c>
      <c r="T124" s="13" t="str" cm="1">
        <f t="array" ref="T124">IFERROR(_xlfn.IFS(
   --S124&lt;55,"Battery Defect",
  -- S124&lt;=69,"Battery D",
  --S124&lt;=80,"Battery C",
 --S124&gt;80,""
),"")</f>
        <v/>
      </c>
      <c r="U124" s="13" t="str" cm="1">
        <f t="array" ref="U124:Z124">IFERROR(IF(_xlfn.XLOOKUP(B124,Input!J:J,Input!N:S)=0,"",
          _xlfn.XLOOKUP(B124,Input!J:J,Input!N:S)),"")</f>
        <v/>
      </c>
      <c r="V124" s="13" t="str">
        <v/>
      </c>
      <c r="W124" s="13" t="str">
        <v/>
      </c>
      <c r="X124" s="13" t="str">
        <v/>
      </c>
      <c r="Y124" s="13" t="str">
        <v/>
      </c>
      <c r="Z124" s="13" t="str">
        <v/>
      </c>
      <c r="AA124" t="str">
        <f t="shared" si="5"/>
        <v/>
      </c>
      <c r="AB124" t="str">
        <f>_xlfn.XLOOKUP(B:B,Disk_Pivot!G:G,Disk_Pivot!I:I)</f>
        <v>No</v>
      </c>
      <c r="AC124" t="str">
        <f>_xlfn.XLOOKUP(B124,Disk_Pivot!G:G,Disk_Pivot!N:N)</f>
        <v/>
      </c>
    </row>
    <row r="125" spans="6:29">
      <c r="F125" t="str">
        <f>_xlfn.XLOOKUP(H125,Models!B:B,Models!F:F,"")</f>
        <v/>
      </c>
      <c r="K125">
        <f>_xlfn.XLOOKUP(B125,CPU_Formula!A:A,CPU_Formula!I:I)</f>
        <v>0</v>
      </c>
      <c r="L125" s="13" t="e">
        <f>INDEX(Input!$D$2:$AD$500,
       MATCH(B125, Input!$J$2:$J$500, 0),
       MATCH("Memory Capacity", Input!$D$1:$AD$1, 0))</f>
        <v>#N/A</v>
      </c>
      <c r="M125" s="13" t="e">
        <f>INDEX(Input!$D$2:$AD$500,
       MATCH(B125, Input!$J$2:$J$500, 0),
       MATCH("Memory Type", Input!$D$1:$AD$1, 0))</f>
        <v>#N/A</v>
      </c>
      <c r="N125" s="13" t="e">
        <f t="shared" si="3"/>
        <v>#N/A</v>
      </c>
      <c r="S125" s="13" t="str">
        <f>_xlfn.LET(_xlpm.Result,_xlfn.XLOOKUP(B125,Input!J:J,Input!AB:AB),IF(_xlpm.Result="","",_xlpm.Result))</f>
        <v/>
      </c>
      <c r="T125" s="13" t="str" cm="1">
        <f t="array" ref="T125">IFERROR(_xlfn.IFS(
   --S125&lt;55,"Battery Defect",
  -- S125&lt;=69,"Battery D",
  --S125&lt;=80,"Battery C",
 --S125&gt;80,""
),"")</f>
        <v/>
      </c>
      <c r="U125" s="13" t="str" cm="1">
        <f t="array" ref="U125:Z125">IFERROR(IF(_xlfn.XLOOKUP(B125,Input!J:J,Input!N:S)=0,"",
          _xlfn.XLOOKUP(B125,Input!J:J,Input!N:S)),"")</f>
        <v/>
      </c>
      <c r="V125" s="13" t="str">
        <v/>
      </c>
      <c r="W125" s="13" t="str">
        <v/>
      </c>
      <c r="X125" s="13" t="str">
        <v/>
      </c>
      <c r="Y125" s="13" t="str">
        <v/>
      </c>
      <c r="Z125" s="13" t="str">
        <v/>
      </c>
      <c r="AA125" t="str">
        <f t="shared" si="5"/>
        <v/>
      </c>
      <c r="AB125" t="str">
        <f>_xlfn.XLOOKUP(B:B,Disk_Pivot!G:G,Disk_Pivot!I:I)</f>
        <v>No</v>
      </c>
      <c r="AC125" t="str">
        <f>_xlfn.XLOOKUP(B125,Disk_Pivot!G:G,Disk_Pivot!N:N)</f>
        <v/>
      </c>
    </row>
    <row r="126" spans="6:29">
      <c r="F126">
        <f>_xlfn.XLOOKUP(H126,Models!B:B,Models!F:F,"")</f>
        <v>0</v>
      </c>
      <c r="K126">
        <f>_xlfn.XLOOKUP(B126,CPU_Formula!A:A,CPU_Formula!I:I)</f>
        <v>0</v>
      </c>
      <c r="L126" s="13" t="e">
        <f>INDEX(Input!$D$2:$AD$500,
       MATCH(B126, Input!$J$2:$J$500, 0),
       MATCH("Memory Capacity", Input!$D$1:$AD$1, 0))</f>
        <v>#N/A</v>
      </c>
      <c r="M126" s="13" t="e">
        <f>INDEX(Input!$D$2:$AD$500,
       MATCH(B126, Input!$J$2:$J$500, 0),
       MATCH("Memory Type", Input!$D$1:$AD$1, 0))</f>
        <v>#N/A</v>
      </c>
      <c r="N126" s="13" t="e">
        <f t="shared" si="3"/>
        <v>#N/A</v>
      </c>
      <c r="S126" s="13" t="str">
        <f>_xlfn.LET(_xlpm.Result,_xlfn.XLOOKUP(B126,Input!J:J,Input!AB:AB),IF(_xlpm.Result="","",_xlpm.Result))</f>
        <v/>
      </c>
      <c r="T126" s="13" t="str" cm="1">
        <f t="array" ref="T126">IFERROR(_xlfn.IFS(
   --S126&lt;55,"Battery Defect",
  -- S126&lt;=69,"Battery D",
  --S126&lt;=80,"Battery C",
 --S126&gt;80,""
),"")</f>
        <v/>
      </c>
      <c r="U126" s="13" t="str" cm="1">
        <f t="array" ref="U126:Z126">IFERROR(IF(_xlfn.XLOOKUP(B126,Input!J:J,Input!N:S)=0,"",
          _xlfn.XLOOKUP(B126,Input!J:J,Input!N:S)),"")</f>
        <v/>
      </c>
      <c r="V126" s="13" t="str">
        <v/>
      </c>
      <c r="W126" s="13" t="str">
        <v/>
      </c>
      <c r="X126" s="13" t="str">
        <v/>
      </c>
      <c r="Y126" s="13" t="str">
        <v/>
      </c>
      <c r="Z126" s="13" t="str">
        <v/>
      </c>
      <c r="AA126" t="str">
        <f t="shared" si="5"/>
        <v/>
      </c>
      <c r="AB126" t="str">
        <f>_xlfn.XLOOKUP(B:B,Disk_Pivot!G:G,Disk_Pivot!I:I)</f>
        <v>No</v>
      </c>
      <c r="AC126" t="str">
        <f>_xlfn.XLOOKUP(B126,Disk_Pivot!G:G,Disk_Pivot!N:N)</f>
        <v/>
      </c>
    </row>
    <row r="127" spans="6:29">
      <c r="F127">
        <f>_xlfn.XLOOKUP(H127,Models!B:B,Models!F:F,"")</f>
        <v>0</v>
      </c>
      <c r="K127">
        <f>_xlfn.XLOOKUP(B127,CPU_Formula!A:A,CPU_Formula!I:I)</f>
        <v>0</v>
      </c>
      <c r="L127" s="13" t="e">
        <f>INDEX(Input!$D$2:$AD$500,
       MATCH(B127, Input!$J$2:$J$500, 0),
       MATCH("Memory Capacity", Input!$D$1:$AD$1, 0))</f>
        <v>#N/A</v>
      </c>
      <c r="M127" s="13" t="e">
        <f>INDEX(Input!$D$2:$AD$500,
       MATCH(B127, Input!$J$2:$J$500, 0),
       MATCH("Memory Type", Input!$D$1:$AD$1, 0))</f>
        <v>#N/A</v>
      </c>
      <c r="N127" s="13" t="e">
        <f t="shared" si="3"/>
        <v>#N/A</v>
      </c>
      <c r="S127" s="13" t="str">
        <f>_xlfn.LET(_xlpm.Result,_xlfn.XLOOKUP(B127,Input!J:J,Input!AB:AB),IF(_xlpm.Result="","",_xlpm.Result))</f>
        <v/>
      </c>
      <c r="T127" s="13" t="str" cm="1">
        <f t="array" ref="T127">IFERROR(_xlfn.IFS(
   --S127&lt;55,"Battery Defect",
  -- S127&lt;=69,"Battery D",
  --S127&lt;=80,"Battery C",
 --S127&gt;80,""
),"")</f>
        <v/>
      </c>
      <c r="U127" s="13" t="str" cm="1">
        <f t="array" ref="U127:Z127">IFERROR(IF(_xlfn.XLOOKUP(B127,Input!J:J,Input!N:S)=0,"",
          _xlfn.XLOOKUP(B127,Input!J:J,Input!N:S)),"")</f>
        <v/>
      </c>
      <c r="V127" s="13" t="str">
        <v/>
      </c>
      <c r="W127" s="13" t="str">
        <v/>
      </c>
      <c r="X127" s="13" t="str">
        <v/>
      </c>
      <c r="Y127" s="13" t="str">
        <v/>
      </c>
      <c r="Z127" s="13" t="str">
        <v/>
      </c>
      <c r="AA127" t="str">
        <f t="shared" si="5"/>
        <v/>
      </c>
      <c r="AB127" t="str">
        <f>_xlfn.XLOOKUP(B:B,Disk_Pivot!G:G,Disk_Pivot!I:I)</f>
        <v>No</v>
      </c>
      <c r="AC127" t="str">
        <f>_xlfn.XLOOKUP(B127,Disk_Pivot!G:G,Disk_Pivot!N:N)</f>
        <v/>
      </c>
    </row>
    <row r="128" spans="6:29">
      <c r="F128" t="str">
        <f>_xlfn.XLOOKUP(H128,Models!B:B,Models!F:F,"")</f>
        <v/>
      </c>
      <c r="K128">
        <f>_xlfn.XLOOKUP(B128,CPU_Formula!A:A,CPU_Formula!I:I)</f>
        <v>0</v>
      </c>
      <c r="L128" s="13" t="e">
        <f>INDEX(Input!$D$2:$AD$500,
       MATCH(B128, Input!$J$2:$J$500, 0),
       MATCH("Memory Capacity", Input!$D$1:$AD$1, 0))</f>
        <v>#N/A</v>
      </c>
      <c r="M128" s="13" t="e">
        <f>INDEX(Input!$D$2:$AD$500,
       MATCH(B128, Input!$J$2:$J$500, 0),
       MATCH("Memory Type", Input!$D$1:$AD$1, 0))</f>
        <v>#N/A</v>
      </c>
      <c r="N128" s="13" t="e">
        <f t="shared" si="3"/>
        <v>#N/A</v>
      </c>
      <c r="S128" s="13" t="str">
        <f>_xlfn.LET(_xlpm.Result,_xlfn.XLOOKUP(B128,Input!J:J,Input!AB:AB),IF(_xlpm.Result="","",_xlpm.Result))</f>
        <v/>
      </c>
      <c r="T128" s="13" t="str" cm="1">
        <f t="array" ref="T128">IFERROR(_xlfn.IFS(
   --S128&lt;55,"Battery Defect",
  -- S128&lt;=69,"Battery D",
  --S128&lt;=80,"Battery C",
 --S128&gt;80,""
),"")</f>
        <v/>
      </c>
      <c r="U128" s="13" t="str" cm="1">
        <f t="array" ref="U128:Z128">IFERROR(IF(_xlfn.XLOOKUP(B128,Input!J:J,Input!N:S)=0,"",
          _xlfn.XLOOKUP(B128,Input!J:J,Input!N:S)),"")</f>
        <v/>
      </c>
      <c r="V128" s="13" t="str">
        <v/>
      </c>
      <c r="W128" s="13" t="str">
        <v/>
      </c>
      <c r="X128" s="13" t="str">
        <v/>
      </c>
      <c r="Y128" s="13" t="str">
        <v/>
      </c>
      <c r="Z128" s="13" t="str">
        <v/>
      </c>
      <c r="AA128" t="str">
        <f t="shared" si="5"/>
        <v/>
      </c>
      <c r="AB128" t="str">
        <f>_xlfn.XLOOKUP(B:B,Disk_Pivot!G:G,Disk_Pivot!I:I)</f>
        <v>No</v>
      </c>
      <c r="AC128" t="str">
        <f>_xlfn.XLOOKUP(B128,Disk_Pivot!G:G,Disk_Pivot!N:N)</f>
        <v/>
      </c>
    </row>
    <row r="129" spans="6:29">
      <c r="F129">
        <f>_xlfn.XLOOKUP(H129,Models!B:B,Models!F:F,"")</f>
        <v>0</v>
      </c>
      <c r="K129">
        <f>_xlfn.XLOOKUP(B129,CPU_Formula!A:A,CPU_Formula!I:I)</f>
        <v>0</v>
      </c>
      <c r="L129" s="13" t="e">
        <f>INDEX(Input!$D$2:$AD$500,
       MATCH(B129, Input!$J$2:$J$500, 0),
       MATCH("Memory Capacity", Input!$D$1:$AD$1, 0))</f>
        <v>#N/A</v>
      </c>
      <c r="M129" s="13" t="e">
        <f>INDEX(Input!$D$2:$AD$500,
       MATCH(B129, Input!$J$2:$J$500, 0),
       MATCH("Memory Type", Input!$D$1:$AD$1, 0))</f>
        <v>#N/A</v>
      </c>
      <c r="N129" s="13" t="e">
        <f t="shared" si="3"/>
        <v>#N/A</v>
      </c>
      <c r="S129" s="13" t="str">
        <f>_xlfn.LET(_xlpm.Result,_xlfn.XLOOKUP(B129,Input!J:J,Input!AB:AB),IF(_xlpm.Result="","",_xlpm.Result))</f>
        <v/>
      </c>
      <c r="T129" s="13" t="str" cm="1">
        <f t="array" ref="T129">IFERROR(_xlfn.IFS(
   --S129&lt;55,"Battery Defect",
  -- S129&lt;=69,"Battery D",
  --S129&lt;=80,"Battery C",
 --S129&gt;80,""
),"")</f>
        <v/>
      </c>
      <c r="U129" s="13" t="str" cm="1">
        <f t="array" ref="U129:Z129">IFERROR(IF(_xlfn.XLOOKUP(B129,Input!J:J,Input!N:S)=0,"",
          _xlfn.XLOOKUP(B129,Input!J:J,Input!N:S)),"")</f>
        <v/>
      </c>
      <c r="V129" s="13" t="str">
        <v/>
      </c>
      <c r="W129" s="13" t="str">
        <v/>
      </c>
      <c r="X129" s="13" t="str">
        <v/>
      </c>
      <c r="Y129" s="13" t="str">
        <v/>
      </c>
      <c r="Z129" s="13" t="str">
        <v/>
      </c>
      <c r="AA129" t="str">
        <f t="shared" si="5"/>
        <v/>
      </c>
      <c r="AB129" t="str">
        <f>_xlfn.XLOOKUP(B:B,Disk_Pivot!G:G,Disk_Pivot!I:I)</f>
        <v>No</v>
      </c>
      <c r="AC129" t="str">
        <f>_xlfn.XLOOKUP(B129,Disk_Pivot!G:G,Disk_Pivot!N:N)</f>
        <v/>
      </c>
    </row>
    <row r="130" spans="6:29">
      <c r="F130">
        <f>_xlfn.XLOOKUP(H130,Models!B:B,Models!F:F,"")</f>
        <v>0</v>
      </c>
      <c r="K130">
        <f>_xlfn.XLOOKUP(B130,CPU_Formula!A:A,CPU_Formula!I:I)</f>
        <v>0</v>
      </c>
      <c r="L130" s="13" t="e">
        <f>INDEX(Input!$D$2:$AD$500,
       MATCH(B130, Input!$J$2:$J$500, 0),
       MATCH("Memory Capacity", Input!$D$1:$AD$1, 0))</f>
        <v>#N/A</v>
      </c>
      <c r="M130" s="13" t="e">
        <f>INDEX(Input!$D$2:$AD$500,
       MATCH(B130, Input!$J$2:$J$500, 0),
       MATCH("Memory Type", Input!$D$1:$AD$1, 0))</f>
        <v>#N/A</v>
      </c>
      <c r="N130" s="13" t="e">
        <f t="shared" si="3"/>
        <v>#N/A</v>
      </c>
      <c r="S130" s="13" t="str">
        <f>_xlfn.LET(_xlpm.Result,_xlfn.XLOOKUP(B130,Input!J:J,Input!AB:AB),IF(_xlpm.Result="","",_xlpm.Result))</f>
        <v/>
      </c>
      <c r="T130" s="13" t="str" cm="1">
        <f t="array" ref="T130">IFERROR(_xlfn.IFS(
   --S130&lt;55,"Battery Defect",
  -- S130&lt;=69,"Battery D",
  --S130&lt;=80,"Battery C",
 --S130&gt;80,""
),"")</f>
        <v/>
      </c>
      <c r="U130" s="13" t="str" cm="1">
        <f t="array" ref="U130:Z130">IFERROR(IF(_xlfn.XLOOKUP(B130,Input!J:J,Input!N:S)=0,"",
          _xlfn.XLOOKUP(B130,Input!J:J,Input!N:S)),"")</f>
        <v/>
      </c>
      <c r="V130" s="13" t="str">
        <v/>
      </c>
      <c r="W130" s="13" t="str">
        <v/>
      </c>
      <c r="X130" s="13" t="str">
        <v/>
      </c>
      <c r="Y130" s="13" t="str">
        <v/>
      </c>
      <c r="Z130" s="13" t="str">
        <v/>
      </c>
      <c r="AA130" t="str">
        <f t="shared" si="5"/>
        <v/>
      </c>
      <c r="AB130" t="str">
        <f>_xlfn.XLOOKUP(B:B,Disk_Pivot!G:G,Disk_Pivot!I:I)</f>
        <v>No</v>
      </c>
      <c r="AC130" t="str">
        <f>_xlfn.XLOOKUP(B130,Disk_Pivot!G:G,Disk_Pivot!N:N)</f>
        <v/>
      </c>
    </row>
    <row r="131" spans="6:29">
      <c r="F131" t="str">
        <f>_xlfn.XLOOKUP(H131,Models!B:B,Models!F:F,"")</f>
        <v/>
      </c>
      <c r="K131">
        <f>_xlfn.XLOOKUP(B131,CPU_Formula!A:A,CPU_Formula!I:I)</f>
        <v>0</v>
      </c>
      <c r="L131" s="13" t="e">
        <f>INDEX(Input!$D$2:$AD$500,
       MATCH(B131, Input!$J$2:$J$500, 0),
       MATCH("Memory Capacity", Input!$D$1:$AD$1, 0))</f>
        <v>#N/A</v>
      </c>
      <c r="M131" s="13" t="e">
        <f>INDEX(Input!$D$2:$AD$500,
       MATCH(B131, Input!$J$2:$J$500, 0),
       MATCH("Memory Type", Input!$D$1:$AD$1, 0))</f>
        <v>#N/A</v>
      </c>
      <c r="N131" s="13" t="e">
        <f t="shared" ref="N131:N194" si="7">IF(ISNUMBER(L131), L131, SUBSTITUTE(SUBSTITUTE(SUBSTITUTE(L131,"GiB","")," ",""),"/","+"))</f>
        <v>#N/A</v>
      </c>
      <c r="S131" s="13" t="str">
        <f>_xlfn.LET(_xlpm.Result,_xlfn.XLOOKUP(B131,Input!J:J,Input!AB:AB),IF(_xlpm.Result="","",_xlpm.Result))</f>
        <v/>
      </c>
      <c r="T131" s="13" t="str" cm="1">
        <f t="array" ref="T131">IFERROR(_xlfn.IFS(
   --S131&lt;55,"Battery Defect",
  -- S131&lt;=69,"Battery D",
  --S131&lt;=80,"Battery C",
 --S131&gt;80,""
),"")</f>
        <v/>
      </c>
      <c r="U131" s="13" t="str" cm="1">
        <f t="array" ref="U131:Z131">IFERROR(IF(_xlfn.XLOOKUP(B131,Input!J:J,Input!N:S)=0,"",
          _xlfn.XLOOKUP(B131,Input!J:J,Input!N:S)),"")</f>
        <v/>
      </c>
      <c r="V131" s="13" t="str">
        <v/>
      </c>
      <c r="W131" s="13" t="str">
        <v/>
      </c>
      <c r="X131" s="13" t="str">
        <v/>
      </c>
      <c r="Y131" s="13" t="str">
        <v/>
      </c>
      <c r="Z131" s="13" t="str">
        <v/>
      </c>
      <c r="AA131" t="str">
        <f t="shared" ref="AA131:AA194" si="8">_xlfn.TEXTJOIN(", ",TRUE,T131,U131,V131,W131,X131,Y131,Z131)</f>
        <v/>
      </c>
      <c r="AB131" t="str">
        <f>_xlfn.XLOOKUP(B:B,Disk_Pivot!G:G,Disk_Pivot!I:I)</f>
        <v>No</v>
      </c>
      <c r="AC131" t="str">
        <f>_xlfn.XLOOKUP(B131,Disk_Pivot!G:G,Disk_Pivot!N:N)</f>
        <v/>
      </c>
    </row>
    <row r="132" spans="6:29">
      <c r="F132" t="str">
        <f>_xlfn.XLOOKUP(H132,Models!B:B,Models!F:F,"")</f>
        <v/>
      </c>
      <c r="K132">
        <f>_xlfn.XLOOKUP(B132,CPU_Formula!A:A,CPU_Formula!I:I)</f>
        <v>0</v>
      </c>
      <c r="L132" s="13" t="e">
        <f>INDEX(Input!$D$2:$AD$500,
       MATCH(B132, Input!$J$2:$J$500, 0),
       MATCH("Memory Capacity", Input!$D$1:$AD$1, 0))</f>
        <v>#N/A</v>
      </c>
      <c r="M132" s="13" t="e">
        <f>INDEX(Input!$D$2:$AD$500,
       MATCH(B132, Input!$J$2:$J$500, 0),
       MATCH("Memory Type", Input!$D$1:$AD$1, 0))</f>
        <v>#N/A</v>
      </c>
      <c r="N132" s="13" t="e">
        <f t="shared" si="7"/>
        <v>#N/A</v>
      </c>
      <c r="S132" s="13" t="str">
        <f>_xlfn.LET(_xlpm.Result,_xlfn.XLOOKUP(B132,Input!J:J,Input!AB:AB),IF(_xlpm.Result="","",_xlpm.Result))</f>
        <v/>
      </c>
      <c r="T132" s="13" t="str" cm="1">
        <f t="array" ref="T132">IFERROR(_xlfn.IFS(
   --S132&lt;55,"Battery Defect",
  -- S132&lt;=69,"Battery D",
  --S132&lt;=80,"Battery C",
 --S132&gt;80,""
),"")</f>
        <v/>
      </c>
      <c r="U132" s="13" t="str" cm="1">
        <f t="array" ref="U132:Z132">IFERROR(IF(_xlfn.XLOOKUP(B132,Input!J:J,Input!N:S)=0,"",
          _xlfn.XLOOKUP(B132,Input!J:J,Input!N:S)),"")</f>
        <v/>
      </c>
      <c r="V132" s="13" t="str">
        <v/>
      </c>
      <c r="W132" s="13" t="str">
        <v/>
      </c>
      <c r="X132" s="13" t="str">
        <v/>
      </c>
      <c r="Y132" s="13" t="str">
        <v/>
      </c>
      <c r="Z132" s="13" t="str">
        <v/>
      </c>
      <c r="AA132" t="str">
        <f t="shared" si="8"/>
        <v/>
      </c>
      <c r="AB132" t="str">
        <f>_xlfn.XLOOKUP(B:B,Disk_Pivot!G:G,Disk_Pivot!I:I)</f>
        <v>No</v>
      </c>
      <c r="AC132" t="str">
        <f>_xlfn.XLOOKUP(B132,Disk_Pivot!G:G,Disk_Pivot!N:N)</f>
        <v/>
      </c>
    </row>
    <row r="133" spans="6:29">
      <c r="F133">
        <f>_xlfn.XLOOKUP(H133,Models!B:B,Models!F:F,"")</f>
        <v>0</v>
      </c>
      <c r="K133">
        <f>_xlfn.XLOOKUP(B133,CPU_Formula!A:A,CPU_Formula!I:I)</f>
        <v>0</v>
      </c>
      <c r="L133" s="13" t="e">
        <f>INDEX(Input!$D$2:$AD$500,
       MATCH(B133, Input!$J$2:$J$500, 0),
       MATCH("Memory Capacity", Input!$D$1:$AD$1, 0))</f>
        <v>#N/A</v>
      </c>
      <c r="M133" s="13" t="e">
        <f>INDEX(Input!$D$2:$AD$500,
       MATCH(B133, Input!$J$2:$J$500, 0),
       MATCH("Memory Type", Input!$D$1:$AD$1, 0))</f>
        <v>#N/A</v>
      </c>
      <c r="N133" s="13" t="e">
        <f t="shared" si="7"/>
        <v>#N/A</v>
      </c>
      <c r="S133" s="13" t="str">
        <f>_xlfn.LET(_xlpm.Result,_xlfn.XLOOKUP(B133,Input!J:J,Input!AB:AB),IF(_xlpm.Result="","",_xlpm.Result))</f>
        <v/>
      </c>
      <c r="T133" s="13" t="str" cm="1">
        <f t="array" ref="T133">IFERROR(_xlfn.IFS(
   --S133&lt;55,"Battery Defect",
  -- S133&lt;=69,"Battery D",
  --S133&lt;=80,"Battery C",
 --S133&gt;80,""
),"")</f>
        <v/>
      </c>
      <c r="U133" s="13" t="str" cm="1">
        <f t="array" ref="U133:Z133">IFERROR(IF(_xlfn.XLOOKUP(B133,Input!J:J,Input!N:S)=0,"",
          _xlfn.XLOOKUP(B133,Input!J:J,Input!N:S)),"")</f>
        <v/>
      </c>
      <c r="V133" s="13" t="str">
        <v/>
      </c>
      <c r="W133" s="13" t="str">
        <v/>
      </c>
      <c r="X133" s="13" t="str">
        <v/>
      </c>
      <c r="Y133" s="13" t="str">
        <v/>
      </c>
      <c r="Z133" s="13" t="str">
        <v/>
      </c>
      <c r="AA133" t="str">
        <f t="shared" si="8"/>
        <v/>
      </c>
      <c r="AB133" t="str">
        <f>_xlfn.XLOOKUP(B:B,Disk_Pivot!G:G,Disk_Pivot!I:I)</f>
        <v>No</v>
      </c>
      <c r="AC133" t="str">
        <f>_xlfn.XLOOKUP(B133,Disk_Pivot!G:G,Disk_Pivot!N:N)</f>
        <v/>
      </c>
    </row>
    <row r="134" spans="6:29">
      <c r="F134" t="str">
        <f>_xlfn.XLOOKUP(H134,Models!B:B,Models!F:F,"")</f>
        <v/>
      </c>
      <c r="K134">
        <f>_xlfn.XLOOKUP(B134,CPU_Formula!A:A,CPU_Formula!I:I)</f>
        <v>0</v>
      </c>
      <c r="L134" s="13" t="e">
        <f>INDEX(Input!$D$2:$AD$500,
       MATCH(B134, Input!$J$2:$J$500, 0),
       MATCH("Memory Capacity", Input!$D$1:$AD$1, 0))</f>
        <v>#N/A</v>
      </c>
      <c r="M134" s="13" t="e">
        <f>INDEX(Input!$D$2:$AD$500,
       MATCH(B134, Input!$J$2:$J$500, 0),
       MATCH("Memory Type", Input!$D$1:$AD$1, 0))</f>
        <v>#N/A</v>
      </c>
      <c r="N134" s="13" t="e">
        <f t="shared" si="7"/>
        <v>#N/A</v>
      </c>
      <c r="S134" s="13" t="str">
        <f>_xlfn.LET(_xlpm.Result,_xlfn.XLOOKUP(B134,Input!J:J,Input!AB:AB),IF(_xlpm.Result="","",_xlpm.Result))</f>
        <v/>
      </c>
      <c r="T134" s="13" t="str" cm="1">
        <f t="array" ref="T134">IFERROR(_xlfn.IFS(
   --S134&lt;55,"Battery Defect",
  -- S134&lt;=69,"Battery D",
  --S134&lt;=80,"Battery C",
 --S134&gt;80,""
),"")</f>
        <v/>
      </c>
      <c r="U134" s="13" t="str" cm="1">
        <f t="array" ref="U134:Z134">IFERROR(IF(_xlfn.XLOOKUP(B134,Input!J:J,Input!N:S)=0,"",
          _xlfn.XLOOKUP(B134,Input!J:J,Input!N:S)),"")</f>
        <v/>
      </c>
      <c r="V134" s="13" t="str">
        <v/>
      </c>
      <c r="W134" s="13" t="str">
        <v/>
      </c>
      <c r="X134" s="13" t="str">
        <v/>
      </c>
      <c r="Y134" s="13" t="str">
        <v/>
      </c>
      <c r="Z134" s="13" t="str">
        <v/>
      </c>
      <c r="AA134" t="str">
        <f t="shared" si="8"/>
        <v/>
      </c>
      <c r="AB134" t="str">
        <f>_xlfn.XLOOKUP(B:B,Disk_Pivot!G:G,Disk_Pivot!I:I)</f>
        <v>No</v>
      </c>
      <c r="AC134" t="str">
        <f>_xlfn.XLOOKUP(B134,Disk_Pivot!G:G,Disk_Pivot!N:N)</f>
        <v/>
      </c>
    </row>
    <row r="135" spans="6:29">
      <c r="F135" t="str">
        <f>_xlfn.XLOOKUP(H135,Models!B:B,Models!F:F,"")</f>
        <v/>
      </c>
      <c r="K135">
        <f>_xlfn.XLOOKUP(B135,CPU_Formula!A:A,CPU_Formula!I:I)</f>
        <v>0</v>
      </c>
      <c r="L135" s="13" t="e">
        <f>INDEX(Input!$D$2:$AD$500,
       MATCH(B135, Input!$J$2:$J$500, 0),
       MATCH("Memory Capacity", Input!$D$1:$AD$1, 0))</f>
        <v>#N/A</v>
      </c>
      <c r="M135" s="13" t="e">
        <f>INDEX(Input!$D$2:$AD$500,
       MATCH(B135, Input!$J$2:$J$500, 0),
       MATCH("Memory Type", Input!$D$1:$AD$1, 0))</f>
        <v>#N/A</v>
      </c>
      <c r="N135" s="13" t="e">
        <f t="shared" si="7"/>
        <v>#N/A</v>
      </c>
      <c r="S135" s="13" t="str">
        <f>_xlfn.LET(_xlpm.Result,_xlfn.XLOOKUP(B135,Input!J:J,Input!AB:AB),IF(_xlpm.Result="","",_xlpm.Result))</f>
        <v/>
      </c>
      <c r="T135" s="13" t="str" cm="1">
        <f t="array" ref="T135">IFERROR(_xlfn.IFS(
   --S135&lt;55,"Battery Defect",
  -- S135&lt;=69,"Battery D",
  --S135&lt;=80,"Battery C",
 --S135&gt;80,""
),"")</f>
        <v/>
      </c>
      <c r="U135" s="13" t="str" cm="1">
        <f t="array" ref="U135:Z135">IFERROR(IF(_xlfn.XLOOKUP(B135,Input!J:J,Input!N:S)=0,"",
          _xlfn.XLOOKUP(B135,Input!J:J,Input!N:S)),"")</f>
        <v/>
      </c>
      <c r="V135" s="13" t="str">
        <v/>
      </c>
      <c r="W135" s="13" t="str">
        <v/>
      </c>
      <c r="X135" s="13" t="str">
        <v/>
      </c>
      <c r="Y135" s="13" t="str">
        <v/>
      </c>
      <c r="Z135" s="13" t="str">
        <v/>
      </c>
      <c r="AA135" t="str">
        <f t="shared" si="8"/>
        <v/>
      </c>
      <c r="AB135" t="str">
        <f>_xlfn.XLOOKUP(B:B,Disk_Pivot!G:G,Disk_Pivot!I:I)</f>
        <v>No</v>
      </c>
      <c r="AC135" t="str">
        <f>_xlfn.XLOOKUP(B135,Disk_Pivot!G:G,Disk_Pivot!N:N)</f>
        <v/>
      </c>
    </row>
    <row r="136" spans="6:29">
      <c r="F136" t="str">
        <f>_xlfn.XLOOKUP(H136,Models!B:B,Models!F:F,"")</f>
        <v/>
      </c>
      <c r="K136">
        <f>_xlfn.XLOOKUP(B136,CPU_Formula!A:A,CPU_Formula!I:I)</f>
        <v>0</v>
      </c>
      <c r="L136" s="13" t="e">
        <f>INDEX(Input!$D$2:$AD$500,
       MATCH(B136, Input!$J$2:$J$500, 0),
       MATCH("Memory Capacity", Input!$D$1:$AD$1, 0))</f>
        <v>#N/A</v>
      </c>
      <c r="M136" s="13" t="e">
        <f>INDEX(Input!$D$2:$AD$500,
       MATCH(B136, Input!$J$2:$J$500, 0),
       MATCH("Memory Type", Input!$D$1:$AD$1, 0))</f>
        <v>#N/A</v>
      </c>
      <c r="N136" s="13" t="e">
        <f t="shared" si="7"/>
        <v>#N/A</v>
      </c>
      <c r="S136" s="13" t="str">
        <f>_xlfn.LET(_xlpm.Result,_xlfn.XLOOKUP(B136,Input!J:J,Input!AB:AB),IF(_xlpm.Result="","",_xlpm.Result))</f>
        <v/>
      </c>
      <c r="T136" s="13" t="str" cm="1">
        <f t="array" ref="T136">IFERROR(_xlfn.IFS(
   --S136&lt;55,"Battery Defect",
  -- S136&lt;=69,"Battery D",
  --S136&lt;=80,"Battery C",
 --S136&gt;80,""
),"")</f>
        <v/>
      </c>
      <c r="U136" s="13" t="str" cm="1">
        <f t="array" ref="U136:Z136">IFERROR(IF(_xlfn.XLOOKUP(B136,Input!J:J,Input!N:S)=0,"",
          _xlfn.XLOOKUP(B136,Input!J:J,Input!N:S)),"")</f>
        <v/>
      </c>
      <c r="V136" s="13" t="str">
        <v/>
      </c>
      <c r="W136" s="13" t="str">
        <v/>
      </c>
      <c r="X136" s="13" t="str">
        <v/>
      </c>
      <c r="Y136" s="13" t="str">
        <v/>
      </c>
      <c r="Z136" s="13" t="str">
        <v/>
      </c>
      <c r="AA136" t="str">
        <f t="shared" si="8"/>
        <v/>
      </c>
      <c r="AB136" t="str">
        <f>_xlfn.XLOOKUP(B:B,Disk_Pivot!G:G,Disk_Pivot!I:I)</f>
        <v>No</v>
      </c>
      <c r="AC136" t="str">
        <f>_xlfn.XLOOKUP(B136,Disk_Pivot!G:G,Disk_Pivot!N:N)</f>
        <v/>
      </c>
    </row>
    <row r="137" spans="6:29">
      <c r="F137" t="str">
        <f>_xlfn.XLOOKUP(H137,Models!B:B,Models!F:F,"")</f>
        <v/>
      </c>
      <c r="K137">
        <f>_xlfn.XLOOKUP(B137,CPU_Formula!A:A,CPU_Formula!I:I)</f>
        <v>0</v>
      </c>
      <c r="L137" s="13" t="e">
        <f>INDEX(Input!$D$2:$AD$500,
       MATCH(B137, Input!$J$2:$J$500, 0),
       MATCH("Memory Capacity", Input!$D$1:$AD$1, 0))</f>
        <v>#N/A</v>
      </c>
      <c r="M137" s="13" t="e">
        <f>INDEX(Input!$D$2:$AD$500,
       MATCH(B137, Input!$J$2:$J$500, 0),
       MATCH("Memory Type", Input!$D$1:$AD$1, 0))</f>
        <v>#N/A</v>
      </c>
      <c r="N137" s="13" t="e">
        <f t="shared" si="7"/>
        <v>#N/A</v>
      </c>
      <c r="S137" s="13" t="str">
        <f>_xlfn.LET(_xlpm.Result,_xlfn.XLOOKUP(B137,Input!J:J,Input!AB:AB),IF(_xlpm.Result="","",_xlpm.Result))</f>
        <v/>
      </c>
      <c r="T137" s="13" t="str" cm="1">
        <f t="array" ref="T137">IFERROR(_xlfn.IFS(
   --S137&lt;55,"Battery Defect",
  -- S137&lt;=69,"Battery D",
  --S137&lt;=80,"Battery C",
 --S137&gt;80,""
),"")</f>
        <v/>
      </c>
      <c r="U137" s="13" t="str" cm="1">
        <f t="array" ref="U137:Z137">IFERROR(IF(_xlfn.XLOOKUP(B137,Input!J:J,Input!N:S)=0,"",
          _xlfn.XLOOKUP(B137,Input!J:J,Input!N:S)),"")</f>
        <v/>
      </c>
      <c r="V137" s="13" t="str">
        <v/>
      </c>
      <c r="W137" s="13" t="str">
        <v/>
      </c>
      <c r="X137" s="13" t="str">
        <v/>
      </c>
      <c r="Y137" s="13" t="str">
        <v/>
      </c>
      <c r="Z137" s="13" t="str">
        <v/>
      </c>
      <c r="AA137" t="str">
        <f t="shared" si="8"/>
        <v/>
      </c>
      <c r="AB137" t="str">
        <f>_xlfn.XLOOKUP(B:B,Disk_Pivot!G:G,Disk_Pivot!I:I)</f>
        <v>No</v>
      </c>
      <c r="AC137" t="str">
        <f>_xlfn.XLOOKUP(B137,Disk_Pivot!G:G,Disk_Pivot!N:N)</f>
        <v/>
      </c>
    </row>
    <row r="138" spans="6:29">
      <c r="F138" t="str">
        <f>_xlfn.XLOOKUP(H138,Models!B:B,Models!F:F,"")</f>
        <v/>
      </c>
      <c r="K138">
        <f>_xlfn.XLOOKUP(B138,CPU_Formula!A:A,CPU_Formula!I:I)</f>
        <v>0</v>
      </c>
      <c r="L138" s="13" t="e">
        <f>INDEX(Input!$D$2:$AD$500,
       MATCH(B138, Input!$J$2:$J$500, 0),
       MATCH("Memory Capacity", Input!$D$1:$AD$1, 0))</f>
        <v>#N/A</v>
      </c>
      <c r="M138" s="13" t="e">
        <f>INDEX(Input!$D$2:$AD$500,
       MATCH(B138, Input!$J$2:$J$500, 0),
       MATCH("Memory Type", Input!$D$1:$AD$1, 0))</f>
        <v>#N/A</v>
      </c>
      <c r="N138" s="13" t="e">
        <f t="shared" si="7"/>
        <v>#N/A</v>
      </c>
      <c r="S138" s="13" t="str">
        <f>_xlfn.LET(_xlpm.Result,_xlfn.XLOOKUP(B138,Input!J:J,Input!AB:AB),IF(_xlpm.Result="","",_xlpm.Result))</f>
        <v/>
      </c>
      <c r="T138" s="13" t="str" cm="1">
        <f t="array" ref="T138">IFERROR(_xlfn.IFS(
   --S138&lt;55,"Battery Defect",
  -- S138&lt;=69,"Battery D",
  --S138&lt;=80,"Battery C",
 --S138&gt;80,""
),"")</f>
        <v/>
      </c>
      <c r="U138" s="13" t="str" cm="1">
        <f t="array" ref="U138:Z138">IFERROR(IF(_xlfn.XLOOKUP(B138,Input!J:J,Input!N:S)=0,"",
          _xlfn.XLOOKUP(B138,Input!J:J,Input!N:S)),"")</f>
        <v/>
      </c>
      <c r="V138" s="13" t="str">
        <v/>
      </c>
      <c r="W138" s="13" t="str">
        <v/>
      </c>
      <c r="X138" s="13" t="str">
        <v/>
      </c>
      <c r="Y138" s="13" t="str">
        <v/>
      </c>
      <c r="Z138" s="13" t="str">
        <v/>
      </c>
      <c r="AA138" t="str">
        <f t="shared" si="8"/>
        <v/>
      </c>
      <c r="AB138" t="str">
        <f>_xlfn.XLOOKUP(B:B,Disk_Pivot!G:G,Disk_Pivot!I:I)</f>
        <v>No</v>
      </c>
      <c r="AC138" t="str">
        <f>_xlfn.XLOOKUP(B138,Disk_Pivot!G:G,Disk_Pivot!N:N)</f>
        <v/>
      </c>
    </row>
    <row r="139" spans="6:29">
      <c r="F139" t="str">
        <f>_xlfn.XLOOKUP(H139,Models!B:B,Models!F:F,"")</f>
        <v/>
      </c>
      <c r="K139">
        <f>_xlfn.XLOOKUP(B139,CPU_Formula!A:A,CPU_Formula!I:I)</f>
        <v>0</v>
      </c>
      <c r="L139" s="13" t="e">
        <f>INDEX(Input!$D$2:$AD$500,
       MATCH(B139, Input!$J$2:$J$500, 0),
       MATCH("Memory Capacity", Input!$D$1:$AD$1, 0))</f>
        <v>#N/A</v>
      </c>
      <c r="M139" s="13" t="e">
        <f>INDEX(Input!$D$2:$AD$500,
       MATCH(B139, Input!$J$2:$J$500, 0),
       MATCH("Memory Type", Input!$D$1:$AD$1, 0))</f>
        <v>#N/A</v>
      </c>
      <c r="N139" s="13" t="e">
        <f t="shared" si="7"/>
        <v>#N/A</v>
      </c>
      <c r="S139" s="13" t="str">
        <f>_xlfn.LET(_xlpm.Result,_xlfn.XLOOKUP(B139,Input!J:J,Input!AB:AB),IF(_xlpm.Result="","",_xlpm.Result))</f>
        <v/>
      </c>
      <c r="T139" s="13" t="str" cm="1">
        <f t="array" ref="T139">IFERROR(_xlfn.IFS(
   --S139&lt;55,"Battery Defect",
  -- S139&lt;=69,"Battery D",
  --S139&lt;=80,"Battery C",
 --S139&gt;80,""
),"")</f>
        <v/>
      </c>
      <c r="U139" s="13" t="str" cm="1">
        <f t="array" ref="U139:Z139">IFERROR(IF(_xlfn.XLOOKUP(B139,Input!J:J,Input!N:S)=0,"",
          _xlfn.XLOOKUP(B139,Input!J:J,Input!N:S)),"")</f>
        <v/>
      </c>
      <c r="V139" s="13" t="str">
        <v/>
      </c>
      <c r="W139" s="13" t="str">
        <v/>
      </c>
      <c r="X139" s="13" t="str">
        <v/>
      </c>
      <c r="Y139" s="13" t="str">
        <v/>
      </c>
      <c r="Z139" s="13" t="str">
        <v/>
      </c>
      <c r="AA139" t="str">
        <f t="shared" si="8"/>
        <v/>
      </c>
      <c r="AB139" t="str">
        <f>_xlfn.XLOOKUP(B:B,Disk_Pivot!G:G,Disk_Pivot!I:I)</f>
        <v>No</v>
      </c>
      <c r="AC139" t="str">
        <f>_xlfn.XLOOKUP(B139,Disk_Pivot!G:G,Disk_Pivot!N:N)</f>
        <v/>
      </c>
    </row>
    <row r="140" spans="6:29">
      <c r="F140" t="str">
        <f>_xlfn.XLOOKUP(H140,Models!B:B,Models!F:F,"")</f>
        <v/>
      </c>
      <c r="K140">
        <f>_xlfn.XLOOKUP(B140,CPU_Formula!A:A,CPU_Formula!I:I)</f>
        <v>0</v>
      </c>
      <c r="L140" s="13" t="e">
        <f>INDEX(Input!$D$2:$AD$500,
       MATCH(B140, Input!$J$2:$J$500, 0),
       MATCH("Memory Capacity", Input!$D$1:$AD$1, 0))</f>
        <v>#N/A</v>
      </c>
      <c r="M140" s="13" t="e">
        <f>INDEX(Input!$D$2:$AD$500,
       MATCH(B140, Input!$J$2:$J$500, 0),
       MATCH("Memory Type", Input!$D$1:$AD$1, 0))</f>
        <v>#N/A</v>
      </c>
      <c r="N140" s="13" t="e">
        <f t="shared" si="7"/>
        <v>#N/A</v>
      </c>
      <c r="S140" s="13" t="str">
        <f>_xlfn.LET(_xlpm.Result,_xlfn.XLOOKUP(B140,Input!J:J,Input!AB:AB),IF(_xlpm.Result="","",_xlpm.Result))</f>
        <v/>
      </c>
      <c r="T140" s="13" t="str" cm="1">
        <f t="array" ref="T140">IFERROR(_xlfn.IFS(
   --S140&lt;55,"Battery Defect",
  -- S140&lt;=69,"Battery D",
  --S140&lt;=80,"Battery C",
 --S140&gt;80,""
),"")</f>
        <v/>
      </c>
      <c r="U140" s="13" t="str" cm="1">
        <f t="array" ref="U140:Z140">IFERROR(IF(_xlfn.XLOOKUP(B140,Input!J:J,Input!N:S)=0,"",
          _xlfn.XLOOKUP(B140,Input!J:J,Input!N:S)),"")</f>
        <v/>
      </c>
      <c r="V140" s="13" t="str">
        <v/>
      </c>
      <c r="W140" s="13" t="str">
        <v/>
      </c>
      <c r="X140" s="13" t="str">
        <v/>
      </c>
      <c r="Y140" s="13" t="str">
        <v/>
      </c>
      <c r="Z140" s="13" t="str">
        <v/>
      </c>
      <c r="AA140" t="str">
        <f t="shared" si="8"/>
        <v/>
      </c>
      <c r="AB140" t="str">
        <f>_xlfn.XLOOKUP(B:B,Disk_Pivot!G:G,Disk_Pivot!I:I)</f>
        <v>No</v>
      </c>
      <c r="AC140" t="str">
        <f>_xlfn.XLOOKUP(B140,Disk_Pivot!G:G,Disk_Pivot!N:N)</f>
        <v/>
      </c>
    </row>
    <row r="141" spans="6:29">
      <c r="F141" t="str">
        <f>_xlfn.XLOOKUP(H141,Models!B:B,Models!F:F,"")</f>
        <v/>
      </c>
      <c r="K141">
        <f>_xlfn.XLOOKUP(B141,CPU_Formula!A:A,CPU_Formula!I:I)</f>
        <v>0</v>
      </c>
      <c r="L141" s="13" t="e">
        <f>INDEX(Input!$D$2:$AD$500,
       MATCH(B141, Input!$J$2:$J$500, 0),
       MATCH("Memory Capacity", Input!$D$1:$AD$1, 0))</f>
        <v>#N/A</v>
      </c>
      <c r="M141" s="13" t="e">
        <f>INDEX(Input!$D$2:$AD$500,
       MATCH(B141, Input!$J$2:$J$500, 0),
       MATCH("Memory Type", Input!$D$1:$AD$1, 0))</f>
        <v>#N/A</v>
      </c>
      <c r="N141" s="13" t="e">
        <f t="shared" si="7"/>
        <v>#N/A</v>
      </c>
      <c r="S141" s="13" t="str">
        <f>_xlfn.LET(_xlpm.Result,_xlfn.XLOOKUP(B141,Input!J:J,Input!AB:AB),IF(_xlpm.Result="","",_xlpm.Result))</f>
        <v/>
      </c>
      <c r="T141" s="13" t="str" cm="1">
        <f t="array" ref="T141">IFERROR(_xlfn.IFS(
   --S141&lt;55,"Battery Defect",
  -- S141&lt;=69,"Battery D",
  --S141&lt;=80,"Battery C",
 --S141&gt;80,""
),"")</f>
        <v/>
      </c>
      <c r="U141" s="13" t="str" cm="1">
        <f t="array" ref="U141:Z141">IFERROR(IF(_xlfn.XLOOKUP(B141,Input!J:J,Input!N:S)=0,"",
          _xlfn.XLOOKUP(B141,Input!J:J,Input!N:S)),"")</f>
        <v/>
      </c>
      <c r="V141" s="13" t="str">
        <v/>
      </c>
      <c r="W141" s="13" t="str">
        <v/>
      </c>
      <c r="X141" s="13" t="str">
        <v/>
      </c>
      <c r="Y141" s="13" t="str">
        <v/>
      </c>
      <c r="Z141" s="13" t="str">
        <v/>
      </c>
      <c r="AA141" t="str">
        <f t="shared" si="8"/>
        <v/>
      </c>
      <c r="AB141" t="str">
        <f>_xlfn.XLOOKUP(B:B,Disk_Pivot!G:G,Disk_Pivot!I:I)</f>
        <v>No</v>
      </c>
      <c r="AC141" t="str">
        <f>_xlfn.XLOOKUP(B141,Disk_Pivot!G:G,Disk_Pivot!N:N)</f>
        <v/>
      </c>
    </row>
    <row r="142" spans="6:29">
      <c r="F142" t="str">
        <f>_xlfn.XLOOKUP(H142,Models!B:B,Models!F:F,"")</f>
        <v/>
      </c>
      <c r="K142">
        <f>_xlfn.XLOOKUP(B142,CPU_Formula!A:A,CPU_Formula!I:I)</f>
        <v>0</v>
      </c>
      <c r="L142" s="13" t="e">
        <f>INDEX(Input!$D$2:$AD$500,
       MATCH(B142, Input!$J$2:$J$500, 0),
       MATCH("Memory Capacity", Input!$D$1:$AD$1, 0))</f>
        <v>#N/A</v>
      </c>
      <c r="M142" s="13" t="e">
        <f>INDEX(Input!$D$2:$AD$500,
       MATCH(B142, Input!$J$2:$J$500, 0),
       MATCH("Memory Type", Input!$D$1:$AD$1, 0))</f>
        <v>#N/A</v>
      </c>
      <c r="N142" s="13" t="e">
        <f t="shared" si="7"/>
        <v>#N/A</v>
      </c>
      <c r="S142" s="13" t="str">
        <f>_xlfn.LET(_xlpm.Result,_xlfn.XLOOKUP(B142,Input!J:J,Input!AB:AB),IF(_xlpm.Result="","",_xlpm.Result))</f>
        <v/>
      </c>
      <c r="T142" s="13" t="str" cm="1">
        <f t="array" ref="T142">IFERROR(_xlfn.IFS(
   --S142&lt;55,"Battery Defect",
  -- S142&lt;=69,"Battery D",
  --S142&lt;=80,"Battery C",
 --S142&gt;80,""
),"")</f>
        <v/>
      </c>
      <c r="U142" s="13" t="str" cm="1">
        <f t="array" ref="U142:Z142">IFERROR(IF(_xlfn.XLOOKUP(B142,Input!J:J,Input!N:S)=0,"",
          _xlfn.XLOOKUP(B142,Input!J:J,Input!N:S)),"")</f>
        <v/>
      </c>
      <c r="V142" s="13" t="str">
        <v/>
      </c>
      <c r="W142" s="13" t="str">
        <v/>
      </c>
      <c r="X142" s="13" t="str">
        <v/>
      </c>
      <c r="Y142" s="13" t="str">
        <v/>
      </c>
      <c r="Z142" s="13" t="str">
        <v/>
      </c>
      <c r="AA142" t="str">
        <f t="shared" si="8"/>
        <v/>
      </c>
      <c r="AB142" t="str">
        <f>_xlfn.XLOOKUP(B:B,Disk_Pivot!G:G,Disk_Pivot!I:I)</f>
        <v>No</v>
      </c>
      <c r="AC142" t="str">
        <f>_xlfn.XLOOKUP(B142,Disk_Pivot!G:G,Disk_Pivot!N:N)</f>
        <v/>
      </c>
    </row>
    <row r="143" spans="6:29">
      <c r="F143" t="str">
        <f>_xlfn.XLOOKUP(H143,Models!B:B,Models!F:F,"")</f>
        <v/>
      </c>
      <c r="K143">
        <f>_xlfn.XLOOKUP(B143,CPU_Formula!A:A,CPU_Formula!I:I)</f>
        <v>0</v>
      </c>
      <c r="L143" s="13" t="e">
        <f>INDEX(Input!$D$2:$AD$500,
       MATCH(B143, Input!$J$2:$J$500, 0),
       MATCH("Memory Capacity", Input!$D$1:$AD$1, 0))</f>
        <v>#N/A</v>
      </c>
      <c r="M143" s="13" t="e">
        <f>INDEX(Input!$D$2:$AD$500,
       MATCH(B143, Input!$J$2:$J$500, 0),
       MATCH("Memory Type", Input!$D$1:$AD$1, 0))</f>
        <v>#N/A</v>
      </c>
      <c r="N143" s="13" t="e">
        <f t="shared" si="7"/>
        <v>#N/A</v>
      </c>
      <c r="S143" s="13" t="str">
        <f>_xlfn.LET(_xlpm.Result,_xlfn.XLOOKUP(B143,Input!J:J,Input!AB:AB),IF(_xlpm.Result="","",_xlpm.Result))</f>
        <v/>
      </c>
      <c r="T143" s="13" t="str" cm="1">
        <f t="array" ref="T143">IFERROR(_xlfn.IFS(
   --S143&lt;55,"Battery Defect",
  -- S143&lt;=69,"Battery D",
  --S143&lt;=80,"Battery C",
 --S143&gt;80,""
),"")</f>
        <v/>
      </c>
      <c r="U143" s="13" t="str" cm="1">
        <f t="array" ref="U143:Z143">IFERROR(IF(_xlfn.XLOOKUP(B143,Input!J:J,Input!N:S)=0,"",
          _xlfn.XLOOKUP(B143,Input!J:J,Input!N:S)),"")</f>
        <v/>
      </c>
      <c r="V143" s="13" t="str">
        <v/>
      </c>
      <c r="W143" s="13" t="str">
        <v/>
      </c>
      <c r="X143" s="13" t="str">
        <v/>
      </c>
      <c r="Y143" s="13" t="str">
        <v/>
      </c>
      <c r="Z143" s="13" t="str">
        <v/>
      </c>
      <c r="AA143" t="str">
        <f t="shared" si="8"/>
        <v/>
      </c>
      <c r="AB143" t="str">
        <f>_xlfn.XLOOKUP(B:B,Disk_Pivot!G:G,Disk_Pivot!I:I)</f>
        <v>No</v>
      </c>
      <c r="AC143" t="str">
        <f>_xlfn.XLOOKUP(B143,Disk_Pivot!G:G,Disk_Pivot!N:N)</f>
        <v/>
      </c>
    </row>
    <row r="144" spans="6:29">
      <c r="F144" t="str">
        <f>_xlfn.XLOOKUP(H144,Models!B:B,Models!F:F,"")</f>
        <v/>
      </c>
      <c r="K144">
        <f>_xlfn.XLOOKUP(B144,CPU_Formula!A:A,CPU_Formula!I:I)</f>
        <v>0</v>
      </c>
      <c r="L144" s="13" t="e">
        <f>INDEX(Input!$D$2:$AD$500,
       MATCH(B144, Input!$J$2:$J$500, 0),
       MATCH("Memory Capacity", Input!$D$1:$AD$1, 0))</f>
        <v>#N/A</v>
      </c>
      <c r="M144" s="13" t="e">
        <f>INDEX(Input!$D$2:$AD$500,
       MATCH(B144, Input!$J$2:$J$500, 0),
       MATCH("Memory Type", Input!$D$1:$AD$1, 0))</f>
        <v>#N/A</v>
      </c>
      <c r="N144" s="13" t="e">
        <f t="shared" si="7"/>
        <v>#N/A</v>
      </c>
      <c r="S144" s="13" t="str">
        <f>_xlfn.LET(_xlpm.Result,_xlfn.XLOOKUP(B144,Input!J:J,Input!AB:AB),IF(_xlpm.Result="","",_xlpm.Result))</f>
        <v/>
      </c>
      <c r="T144" s="13" t="str" cm="1">
        <f t="array" ref="T144">IFERROR(_xlfn.IFS(
   --S144&lt;55,"Battery Defect",
  -- S144&lt;=69,"Battery D",
  --S144&lt;=80,"Battery C",
 --S144&gt;80,""
),"")</f>
        <v/>
      </c>
      <c r="U144" s="13" t="str" cm="1">
        <f t="array" ref="U144:Z144">IFERROR(IF(_xlfn.XLOOKUP(B144,Input!J:J,Input!N:S)=0,"",
          _xlfn.XLOOKUP(B144,Input!J:J,Input!N:S)),"")</f>
        <v/>
      </c>
      <c r="V144" s="13" t="str">
        <v/>
      </c>
      <c r="W144" s="13" t="str">
        <v/>
      </c>
      <c r="X144" s="13" t="str">
        <v/>
      </c>
      <c r="Y144" s="13" t="str">
        <v/>
      </c>
      <c r="Z144" s="13" t="str">
        <v/>
      </c>
      <c r="AA144" t="str">
        <f t="shared" si="8"/>
        <v/>
      </c>
      <c r="AB144" t="str">
        <f>_xlfn.XLOOKUP(B:B,Disk_Pivot!G:G,Disk_Pivot!I:I)</f>
        <v>No</v>
      </c>
      <c r="AC144" t="str">
        <f>_xlfn.XLOOKUP(B144,Disk_Pivot!G:G,Disk_Pivot!N:N)</f>
        <v/>
      </c>
    </row>
    <row r="145" spans="6:29">
      <c r="F145" t="str">
        <f>_xlfn.XLOOKUP(H145,Models!B:B,Models!F:F,"")</f>
        <v/>
      </c>
      <c r="K145">
        <f>_xlfn.XLOOKUP(B145,CPU_Formula!A:A,CPU_Formula!I:I)</f>
        <v>0</v>
      </c>
      <c r="L145" s="13" t="e">
        <f>INDEX(Input!$D$2:$AD$500,
       MATCH(B145, Input!$J$2:$J$500, 0),
       MATCH("Memory Capacity", Input!$D$1:$AD$1, 0))</f>
        <v>#N/A</v>
      </c>
      <c r="M145" s="13" t="e">
        <f>INDEX(Input!$D$2:$AD$500,
       MATCH(B145, Input!$J$2:$J$500, 0),
       MATCH("Memory Type", Input!$D$1:$AD$1, 0))</f>
        <v>#N/A</v>
      </c>
      <c r="N145" s="13" t="e">
        <f t="shared" si="7"/>
        <v>#N/A</v>
      </c>
      <c r="S145" s="13" t="str">
        <f>_xlfn.LET(_xlpm.Result,_xlfn.XLOOKUP(B145,Input!J:J,Input!AB:AB),IF(_xlpm.Result="","",_xlpm.Result))</f>
        <v/>
      </c>
      <c r="T145" s="13" t="str" cm="1">
        <f t="array" ref="T145">IFERROR(_xlfn.IFS(
   --S145&lt;55,"Battery Defect",
  -- S145&lt;=69,"Battery D",
  --S145&lt;=80,"Battery C",
 --S145&gt;80,""
),"")</f>
        <v/>
      </c>
      <c r="U145" s="13" t="str" cm="1">
        <f t="array" ref="U145:Z145">IFERROR(IF(_xlfn.XLOOKUP(B145,Input!J:J,Input!N:S)=0,"",
          _xlfn.XLOOKUP(B145,Input!J:J,Input!N:S)),"")</f>
        <v/>
      </c>
      <c r="V145" s="13" t="str">
        <v/>
      </c>
      <c r="W145" s="13" t="str">
        <v/>
      </c>
      <c r="X145" s="13" t="str">
        <v/>
      </c>
      <c r="Y145" s="13" t="str">
        <v/>
      </c>
      <c r="Z145" s="13" t="str">
        <v/>
      </c>
      <c r="AA145" t="str">
        <f t="shared" si="8"/>
        <v/>
      </c>
      <c r="AB145" t="str">
        <f>_xlfn.XLOOKUP(B:B,Disk_Pivot!G:G,Disk_Pivot!I:I)</f>
        <v>No</v>
      </c>
      <c r="AC145" t="str">
        <f>_xlfn.XLOOKUP(B145,Disk_Pivot!G:G,Disk_Pivot!N:N)</f>
        <v/>
      </c>
    </row>
    <row r="146" spans="6:29">
      <c r="F146" t="str">
        <f>_xlfn.XLOOKUP(H146,Models!B:B,Models!F:F,"")</f>
        <v/>
      </c>
      <c r="K146">
        <f>_xlfn.XLOOKUP(B146,CPU_Formula!A:A,CPU_Formula!I:I)</f>
        <v>0</v>
      </c>
      <c r="L146" s="13" t="e">
        <f>INDEX(Input!$D$2:$AD$500,
       MATCH(B146, Input!$J$2:$J$500, 0),
       MATCH("Memory Capacity", Input!$D$1:$AD$1, 0))</f>
        <v>#N/A</v>
      </c>
      <c r="M146" s="13" t="e">
        <f>INDEX(Input!$D$2:$AD$500,
       MATCH(B146, Input!$J$2:$J$500, 0),
       MATCH("Memory Type", Input!$D$1:$AD$1, 0))</f>
        <v>#N/A</v>
      </c>
      <c r="N146" s="13" t="e">
        <f t="shared" si="7"/>
        <v>#N/A</v>
      </c>
      <c r="S146" s="13" t="str">
        <f>_xlfn.LET(_xlpm.Result,_xlfn.XLOOKUP(B146,Input!J:J,Input!AB:AB),IF(_xlpm.Result="","",_xlpm.Result))</f>
        <v/>
      </c>
      <c r="T146" s="13" t="str" cm="1">
        <f t="array" ref="T146">IFERROR(_xlfn.IFS(
   --S146&lt;55,"Battery Defect",
  -- S146&lt;=69,"Battery D",
  --S146&lt;=80,"Battery C",
 --S146&gt;80,""
),"")</f>
        <v/>
      </c>
      <c r="U146" s="13" t="str" cm="1">
        <f t="array" ref="U146:Z146">IFERROR(IF(_xlfn.XLOOKUP(B146,Input!J:J,Input!N:S)=0,"",
          _xlfn.XLOOKUP(B146,Input!J:J,Input!N:S)),"")</f>
        <v/>
      </c>
      <c r="V146" s="13" t="str">
        <v/>
      </c>
      <c r="W146" s="13" t="str">
        <v/>
      </c>
      <c r="X146" s="13" t="str">
        <v/>
      </c>
      <c r="Y146" s="13" t="str">
        <v/>
      </c>
      <c r="Z146" s="13" t="str">
        <v/>
      </c>
      <c r="AA146" t="str">
        <f t="shared" si="8"/>
        <v/>
      </c>
      <c r="AB146" t="str">
        <f>_xlfn.XLOOKUP(B:B,Disk_Pivot!G:G,Disk_Pivot!I:I)</f>
        <v>No</v>
      </c>
      <c r="AC146" t="str">
        <f>_xlfn.XLOOKUP(B146,Disk_Pivot!G:G,Disk_Pivot!N:N)</f>
        <v/>
      </c>
    </row>
    <row r="147" spans="6:29">
      <c r="F147" t="str">
        <f>_xlfn.XLOOKUP(H147,Models!B:B,Models!F:F,"")</f>
        <v/>
      </c>
      <c r="K147">
        <f>_xlfn.XLOOKUP(B147,CPU_Formula!A:A,CPU_Formula!I:I)</f>
        <v>0</v>
      </c>
      <c r="L147" s="13" t="e">
        <f>INDEX(Input!$D$2:$AD$500,
       MATCH(B147, Input!$J$2:$J$500, 0),
       MATCH("Memory Capacity", Input!$D$1:$AD$1, 0))</f>
        <v>#N/A</v>
      </c>
      <c r="M147" s="13" t="e">
        <f>INDEX(Input!$D$2:$AD$500,
       MATCH(B147, Input!$J$2:$J$500, 0),
       MATCH("Memory Type", Input!$D$1:$AD$1, 0))</f>
        <v>#N/A</v>
      </c>
      <c r="N147" s="13" t="e">
        <f t="shared" si="7"/>
        <v>#N/A</v>
      </c>
      <c r="S147" s="13" t="str">
        <f>_xlfn.LET(_xlpm.Result,_xlfn.XLOOKUP(B147,Input!J:J,Input!AB:AB),IF(_xlpm.Result="","",_xlpm.Result))</f>
        <v/>
      </c>
      <c r="T147" s="13" t="str" cm="1">
        <f t="array" ref="T147">IFERROR(_xlfn.IFS(
   --S147&lt;55,"Battery Defect",
  -- S147&lt;=69,"Battery D",
  --S147&lt;=80,"Battery C",
 --S147&gt;80,""
),"")</f>
        <v/>
      </c>
      <c r="U147" s="13" t="str" cm="1">
        <f t="array" ref="U147:Z147">IFERROR(IF(_xlfn.XLOOKUP(B147,Input!J:J,Input!N:S)=0,"",
          _xlfn.XLOOKUP(B147,Input!J:J,Input!N:S)),"")</f>
        <v/>
      </c>
      <c r="V147" s="13" t="str">
        <v/>
      </c>
      <c r="W147" s="13" t="str">
        <v/>
      </c>
      <c r="X147" s="13" t="str">
        <v/>
      </c>
      <c r="Y147" s="13" t="str">
        <v/>
      </c>
      <c r="Z147" s="13" t="str">
        <v/>
      </c>
      <c r="AA147" t="str">
        <f t="shared" si="8"/>
        <v/>
      </c>
      <c r="AB147" t="str">
        <f>_xlfn.XLOOKUP(B:B,Disk_Pivot!G:G,Disk_Pivot!I:I)</f>
        <v>No</v>
      </c>
      <c r="AC147" t="str">
        <f>_xlfn.XLOOKUP(B147,Disk_Pivot!G:G,Disk_Pivot!N:N)</f>
        <v/>
      </c>
    </row>
    <row r="148" spans="6:29">
      <c r="F148" t="str">
        <f>_xlfn.XLOOKUP(H148,Models!B:B,Models!F:F,"")</f>
        <v/>
      </c>
      <c r="K148">
        <f>_xlfn.XLOOKUP(B148,CPU_Formula!A:A,CPU_Formula!I:I)</f>
        <v>0</v>
      </c>
      <c r="L148" s="13" t="e">
        <f>INDEX(Input!$D$2:$AD$500,
       MATCH(B148, Input!$J$2:$J$500, 0),
       MATCH("Memory Capacity", Input!$D$1:$AD$1, 0))</f>
        <v>#N/A</v>
      </c>
      <c r="M148" s="13" t="e">
        <f>INDEX(Input!$D$2:$AD$500,
       MATCH(B148, Input!$J$2:$J$500, 0),
       MATCH("Memory Type", Input!$D$1:$AD$1, 0))</f>
        <v>#N/A</v>
      </c>
      <c r="N148" s="13" t="e">
        <f t="shared" si="7"/>
        <v>#N/A</v>
      </c>
      <c r="S148" s="13" t="str">
        <f>_xlfn.LET(_xlpm.Result,_xlfn.XLOOKUP(B148,Input!J:J,Input!AB:AB),IF(_xlpm.Result="","",_xlpm.Result))</f>
        <v/>
      </c>
      <c r="T148" s="13" t="str" cm="1">
        <f t="array" ref="T148">IFERROR(_xlfn.IFS(
   --S148&lt;55,"Battery Defect",
  -- S148&lt;=69,"Battery D",
  --S148&lt;=80,"Battery C",
 --S148&gt;80,""
),"")</f>
        <v/>
      </c>
      <c r="U148" s="13" t="str" cm="1">
        <f t="array" ref="U148:Z148">IFERROR(IF(_xlfn.XLOOKUP(B148,Input!J:J,Input!N:S)=0,"",
          _xlfn.XLOOKUP(B148,Input!J:J,Input!N:S)),"")</f>
        <v/>
      </c>
      <c r="V148" s="13" t="str">
        <v/>
      </c>
      <c r="W148" s="13" t="str">
        <v/>
      </c>
      <c r="X148" s="13" t="str">
        <v/>
      </c>
      <c r="Y148" s="13" t="str">
        <v/>
      </c>
      <c r="Z148" s="13" t="str">
        <v/>
      </c>
      <c r="AA148" t="str">
        <f t="shared" si="8"/>
        <v/>
      </c>
      <c r="AB148" t="str">
        <f>_xlfn.XLOOKUP(B:B,Disk_Pivot!G:G,Disk_Pivot!I:I)</f>
        <v>No</v>
      </c>
      <c r="AC148" t="str">
        <f>_xlfn.XLOOKUP(B148,Disk_Pivot!G:G,Disk_Pivot!N:N)</f>
        <v/>
      </c>
    </row>
    <row r="149" spans="6:29">
      <c r="F149" t="str">
        <f>_xlfn.XLOOKUP(H149,Models!B:B,Models!F:F,"")</f>
        <v/>
      </c>
      <c r="K149">
        <f>_xlfn.XLOOKUP(B149,CPU_Formula!A:A,CPU_Formula!I:I)</f>
        <v>0</v>
      </c>
      <c r="L149" s="13" t="e">
        <f>INDEX(Input!$D$2:$AD$500,
       MATCH(B149, Input!$J$2:$J$500, 0),
       MATCH("Memory Capacity", Input!$D$1:$AD$1, 0))</f>
        <v>#N/A</v>
      </c>
      <c r="M149" s="13" t="e">
        <f>INDEX(Input!$D$2:$AD$500,
       MATCH(B149, Input!$J$2:$J$500, 0),
       MATCH("Memory Type", Input!$D$1:$AD$1, 0))</f>
        <v>#N/A</v>
      </c>
      <c r="N149" s="13" t="e">
        <f t="shared" si="7"/>
        <v>#N/A</v>
      </c>
      <c r="S149" s="13" t="str">
        <f>_xlfn.LET(_xlpm.Result,_xlfn.XLOOKUP(B149,Input!J:J,Input!AB:AB),IF(_xlpm.Result="","",_xlpm.Result))</f>
        <v/>
      </c>
      <c r="T149" s="13" t="str" cm="1">
        <f t="array" ref="T149">IFERROR(_xlfn.IFS(
   --S149&lt;55,"Battery Defect",
  -- S149&lt;=69,"Battery D",
  --S149&lt;=80,"Battery C",
 --S149&gt;80,""
),"")</f>
        <v/>
      </c>
      <c r="U149" s="13" t="str" cm="1">
        <f t="array" ref="U149:Z149">IFERROR(IF(_xlfn.XLOOKUP(B149,Input!J:J,Input!N:S)=0,"",
          _xlfn.XLOOKUP(B149,Input!J:J,Input!N:S)),"")</f>
        <v/>
      </c>
      <c r="V149" s="13" t="str">
        <v/>
      </c>
      <c r="W149" s="13" t="str">
        <v/>
      </c>
      <c r="X149" s="13" t="str">
        <v/>
      </c>
      <c r="Y149" s="13" t="str">
        <v/>
      </c>
      <c r="Z149" s="13" t="str">
        <v/>
      </c>
      <c r="AA149" t="str">
        <f t="shared" si="8"/>
        <v/>
      </c>
      <c r="AB149" t="str">
        <f>_xlfn.XLOOKUP(B:B,Disk_Pivot!G:G,Disk_Pivot!I:I)</f>
        <v>No</v>
      </c>
      <c r="AC149" t="str">
        <f>_xlfn.XLOOKUP(B149,Disk_Pivot!G:G,Disk_Pivot!N:N)</f>
        <v/>
      </c>
    </row>
    <row r="150" spans="6:29">
      <c r="F150" t="str">
        <f>_xlfn.XLOOKUP(H150,Models!B:B,Models!F:F,"")</f>
        <v/>
      </c>
      <c r="K150">
        <f>_xlfn.XLOOKUP(B150,CPU_Formula!A:A,CPU_Formula!I:I)</f>
        <v>0</v>
      </c>
      <c r="L150" s="13" t="e">
        <f>INDEX(Input!$D$2:$AD$500,
       MATCH(B150, Input!$J$2:$J$500, 0),
       MATCH("Memory Capacity", Input!$D$1:$AD$1, 0))</f>
        <v>#N/A</v>
      </c>
      <c r="M150" s="13" t="e">
        <f>INDEX(Input!$D$2:$AD$500,
       MATCH(B150, Input!$J$2:$J$500, 0),
       MATCH("Memory Type", Input!$D$1:$AD$1, 0))</f>
        <v>#N/A</v>
      </c>
      <c r="N150" s="13" t="e">
        <f t="shared" si="7"/>
        <v>#N/A</v>
      </c>
      <c r="S150" s="13" t="str">
        <f>_xlfn.LET(_xlpm.Result,_xlfn.XLOOKUP(B150,Input!J:J,Input!AB:AB),IF(_xlpm.Result="","",_xlpm.Result))</f>
        <v/>
      </c>
      <c r="T150" s="13" t="str" cm="1">
        <f t="array" ref="T150">IFERROR(_xlfn.IFS(
   --S150&lt;55,"Battery Defect",
  -- S150&lt;=69,"Battery D",
  --S150&lt;=80,"Battery C",
 --S150&gt;80,""
),"")</f>
        <v/>
      </c>
      <c r="U150" s="13" t="str" cm="1">
        <f t="array" ref="U150:Z150">IFERROR(IF(_xlfn.XLOOKUP(B150,Input!J:J,Input!N:S)=0,"",
          _xlfn.XLOOKUP(B150,Input!J:J,Input!N:S)),"")</f>
        <v/>
      </c>
      <c r="V150" s="13" t="str">
        <v/>
      </c>
      <c r="W150" s="13" t="str">
        <v/>
      </c>
      <c r="X150" s="13" t="str">
        <v/>
      </c>
      <c r="Y150" s="13" t="str">
        <v/>
      </c>
      <c r="Z150" s="13" t="str">
        <v/>
      </c>
      <c r="AA150" t="str">
        <f t="shared" si="8"/>
        <v/>
      </c>
      <c r="AB150" t="str">
        <f>_xlfn.XLOOKUP(B:B,Disk_Pivot!G:G,Disk_Pivot!I:I)</f>
        <v>No</v>
      </c>
      <c r="AC150" t="str">
        <f>_xlfn.XLOOKUP(B150,Disk_Pivot!G:G,Disk_Pivot!N:N)</f>
        <v/>
      </c>
    </row>
    <row r="151" spans="6:29">
      <c r="F151" t="str">
        <f>_xlfn.XLOOKUP(H151,Models!B:B,Models!F:F,"")</f>
        <v/>
      </c>
      <c r="K151">
        <f>_xlfn.XLOOKUP(B151,CPU_Formula!A:A,CPU_Formula!I:I)</f>
        <v>0</v>
      </c>
      <c r="L151" s="13" t="e">
        <f>INDEX(Input!$D$2:$AD$500,
       MATCH(B151, Input!$J$2:$J$500, 0),
       MATCH("Memory Capacity", Input!$D$1:$AD$1, 0))</f>
        <v>#N/A</v>
      </c>
      <c r="M151" s="13" t="e">
        <f>INDEX(Input!$D$2:$AD$500,
       MATCH(B151, Input!$J$2:$J$500, 0),
       MATCH("Memory Type", Input!$D$1:$AD$1, 0))</f>
        <v>#N/A</v>
      </c>
      <c r="N151" s="13" t="e">
        <f t="shared" si="7"/>
        <v>#N/A</v>
      </c>
      <c r="S151" s="13" t="str">
        <f>_xlfn.LET(_xlpm.Result,_xlfn.XLOOKUP(B151,Input!J:J,Input!AB:AB),IF(_xlpm.Result="","",_xlpm.Result))</f>
        <v/>
      </c>
      <c r="T151" s="13" t="str" cm="1">
        <f t="array" ref="T151">IFERROR(_xlfn.IFS(
   --S151&lt;55,"Battery Defect",
  -- S151&lt;=69,"Battery D",
  --S151&lt;=80,"Battery C",
 --S151&gt;80,""
),"")</f>
        <v/>
      </c>
      <c r="U151" s="13" t="str" cm="1">
        <f t="array" ref="U151:Z151">IFERROR(IF(_xlfn.XLOOKUP(B151,Input!J:J,Input!N:S)=0,"",
          _xlfn.XLOOKUP(B151,Input!J:J,Input!N:S)),"")</f>
        <v/>
      </c>
      <c r="V151" s="13" t="str">
        <v/>
      </c>
      <c r="W151" s="13" t="str">
        <v/>
      </c>
      <c r="X151" s="13" t="str">
        <v/>
      </c>
      <c r="Y151" s="13" t="str">
        <v/>
      </c>
      <c r="Z151" s="13" t="str">
        <v/>
      </c>
      <c r="AA151" t="str">
        <f t="shared" si="8"/>
        <v/>
      </c>
      <c r="AB151" t="str">
        <f>_xlfn.XLOOKUP(B:B,Disk_Pivot!G:G,Disk_Pivot!I:I)</f>
        <v>No</v>
      </c>
      <c r="AC151" t="str">
        <f>_xlfn.XLOOKUP(B151,Disk_Pivot!G:G,Disk_Pivot!N:N)</f>
        <v/>
      </c>
    </row>
    <row r="152" spans="6:29">
      <c r="F152" t="str">
        <f>_xlfn.XLOOKUP(H152,Models!B:B,Models!F:F,"")</f>
        <v/>
      </c>
      <c r="K152">
        <f>_xlfn.XLOOKUP(B152,CPU_Formula!A:A,CPU_Formula!I:I)</f>
        <v>0</v>
      </c>
      <c r="L152" s="13" t="e">
        <f>INDEX(Input!$D$2:$AD$500,
       MATCH(B152, Input!$J$2:$J$500, 0),
       MATCH("Memory Capacity", Input!$D$1:$AD$1, 0))</f>
        <v>#N/A</v>
      </c>
      <c r="M152" s="13" t="e">
        <f>INDEX(Input!$D$2:$AD$500,
       MATCH(B152, Input!$J$2:$J$500, 0),
       MATCH("Memory Type", Input!$D$1:$AD$1, 0))</f>
        <v>#N/A</v>
      </c>
      <c r="N152" s="13" t="e">
        <f t="shared" si="7"/>
        <v>#N/A</v>
      </c>
      <c r="S152" s="13" t="str">
        <f>_xlfn.LET(_xlpm.Result,_xlfn.XLOOKUP(B152,Input!J:J,Input!AB:AB),IF(_xlpm.Result="","",_xlpm.Result))</f>
        <v/>
      </c>
      <c r="T152" s="13" t="str" cm="1">
        <f t="array" ref="T152">IFERROR(_xlfn.IFS(
   --S152&lt;55,"Battery Defect",
  -- S152&lt;=69,"Battery D",
  --S152&lt;=80,"Battery C",
 --S152&gt;80,""
),"")</f>
        <v/>
      </c>
      <c r="U152" s="13" t="str" cm="1">
        <f t="array" ref="U152:Z152">IFERROR(IF(_xlfn.XLOOKUP(B152,Input!J:J,Input!N:S)=0,"",
          _xlfn.XLOOKUP(B152,Input!J:J,Input!N:S)),"")</f>
        <v/>
      </c>
      <c r="V152" s="13" t="str">
        <v/>
      </c>
      <c r="W152" s="13" t="str">
        <v/>
      </c>
      <c r="X152" s="13" t="str">
        <v/>
      </c>
      <c r="Y152" s="13" t="str">
        <v/>
      </c>
      <c r="Z152" s="13" t="str">
        <v/>
      </c>
      <c r="AA152" t="str">
        <f t="shared" si="8"/>
        <v/>
      </c>
      <c r="AB152" t="str">
        <f>_xlfn.XLOOKUP(B:B,Disk_Pivot!G:G,Disk_Pivot!I:I)</f>
        <v>No</v>
      </c>
      <c r="AC152" t="str">
        <f>_xlfn.XLOOKUP(B152,Disk_Pivot!G:G,Disk_Pivot!N:N)</f>
        <v/>
      </c>
    </row>
    <row r="153" spans="6:29">
      <c r="F153" t="str">
        <f>_xlfn.XLOOKUP(H153,Models!B:B,Models!F:F,"")</f>
        <v/>
      </c>
      <c r="K153">
        <f>_xlfn.XLOOKUP(B153,CPU_Formula!A:A,CPU_Formula!I:I)</f>
        <v>0</v>
      </c>
      <c r="L153" s="13" t="e">
        <f>INDEX(Input!$D$2:$AD$500,
       MATCH(B153, Input!$J$2:$J$500, 0),
       MATCH("Memory Capacity", Input!$D$1:$AD$1, 0))</f>
        <v>#N/A</v>
      </c>
      <c r="M153" s="13" t="e">
        <f>INDEX(Input!$D$2:$AD$500,
       MATCH(B153, Input!$J$2:$J$500, 0),
       MATCH("Memory Type", Input!$D$1:$AD$1, 0))</f>
        <v>#N/A</v>
      </c>
      <c r="N153" s="13" t="e">
        <f t="shared" si="7"/>
        <v>#N/A</v>
      </c>
      <c r="S153" s="13" t="str">
        <f>_xlfn.LET(_xlpm.Result,_xlfn.XLOOKUP(B153,Input!J:J,Input!AB:AB),IF(_xlpm.Result="","",_xlpm.Result))</f>
        <v/>
      </c>
      <c r="T153" s="13" t="str" cm="1">
        <f t="array" ref="T153">IFERROR(_xlfn.IFS(
   --S153&lt;55,"Battery Defect",
  -- S153&lt;=69,"Battery D",
  --S153&lt;=80,"Battery C",
 --S153&gt;80,""
),"")</f>
        <v/>
      </c>
      <c r="U153" s="13" t="str" cm="1">
        <f t="array" ref="U153:Z153">IFERROR(IF(_xlfn.XLOOKUP(B153,Input!J:J,Input!N:S)=0,"",
          _xlfn.XLOOKUP(B153,Input!J:J,Input!N:S)),"")</f>
        <v/>
      </c>
      <c r="V153" s="13" t="str">
        <v/>
      </c>
      <c r="W153" s="13" t="str">
        <v/>
      </c>
      <c r="X153" s="13" t="str">
        <v/>
      </c>
      <c r="Y153" s="13" t="str">
        <v/>
      </c>
      <c r="Z153" s="13" t="str">
        <v/>
      </c>
      <c r="AA153" t="str">
        <f t="shared" si="8"/>
        <v/>
      </c>
      <c r="AB153" t="str">
        <f>_xlfn.XLOOKUP(B:B,Disk_Pivot!G:G,Disk_Pivot!I:I)</f>
        <v>No</v>
      </c>
      <c r="AC153" t="str">
        <f>_xlfn.XLOOKUP(B153,Disk_Pivot!G:G,Disk_Pivot!N:N)</f>
        <v/>
      </c>
    </row>
    <row r="154" spans="6:29">
      <c r="F154" t="str">
        <f>_xlfn.XLOOKUP(H154,Models!B:B,Models!F:F,"")</f>
        <v/>
      </c>
      <c r="K154">
        <f>_xlfn.XLOOKUP(B154,CPU_Formula!A:A,CPU_Formula!I:I)</f>
        <v>0</v>
      </c>
      <c r="L154" s="13" t="e">
        <f>INDEX(Input!$D$2:$AD$500,
       MATCH(B154, Input!$J$2:$J$500, 0),
       MATCH("Memory Capacity", Input!$D$1:$AD$1, 0))</f>
        <v>#N/A</v>
      </c>
      <c r="M154" s="13" t="e">
        <f>INDEX(Input!$D$2:$AD$500,
       MATCH(B154, Input!$J$2:$J$500, 0),
       MATCH("Memory Type", Input!$D$1:$AD$1, 0))</f>
        <v>#N/A</v>
      </c>
      <c r="N154" s="13" t="e">
        <f t="shared" si="7"/>
        <v>#N/A</v>
      </c>
      <c r="S154" s="13" t="str">
        <f>_xlfn.LET(_xlpm.Result,_xlfn.XLOOKUP(B154,Input!J:J,Input!AB:AB),IF(_xlpm.Result="","",_xlpm.Result))</f>
        <v/>
      </c>
      <c r="T154" s="13" t="str" cm="1">
        <f t="array" ref="T154">IFERROR(_xlfn.IFS(
   --S154&lt;55,"Battery Defect",
  -- S154&lt;=69,"Battery D",
  --S154&lt;=80,"Battery C",
 --S154&gt;80,""
),"")</f>
        <v/>
      </c>
      <c r="U154" s="13" t="str" cm="1">
        <f t="array" ref="U154:Z154">IFERROR(IF(_xlfn.XLOOKUP(B154,Input!J:J,Input!N:S)=0,"",
          _xlfn.XLOOKUP(B154,Input!J:J,Input!N:S)),"")</f>
        <v/>
      </c>
      <c r="V154" s="13" t="str">
        <v/>
      </c>
      <c r="W154" s="13" t="str">
        <v/>
      </c>
      <c r="X154" s="13" t="str">
        <v/>
      </c>
      <c r="Y154" s="13" t="str">
        <v/>
      </c>
      <c r="Z154" s="13" t="str">
        <v/>
      </c>
      <c r="AA154" t="str">
        <f t="shared" si="8"/>
        <v/>
      </c>
      <c r="AB154" t="str">
        <f>_xlfn.XLOOKUP(B:B,Disk_Pivot!G:G,Disk_Pivot!I:I)</f>
        <v>No</v>
      </c>
      <c r="AC154" t="str">
        <f>_xlfn.XLOOKUP(B154,Disk_Pivot!G:G,Disk_Pivot!N:N)</f>
        <v/>
      </c>
    </row>
    <row r="155" spans="6:29">
      <c r="F155" t="str">
        <f>_xlfn.XLOOKUP(H155,Models!B:B,Models!F:F,"")</f>
        <v/>
      </c>
      <c r="K155">
        <f>_xlfn.XLOOKUP(B155,CPU_Formula!A:A,CPU_Formula!I:I)</f>
        <v>0</v>
      </c>
      <c r="L155" s="13" t="e">
        <f>INDEX(Input!$D$2:$AD$500,
       MATCH(B155, Input!$J$2:$J$500, 0),
       MATCH("Memory Capacity", Input!$D$1:$AD$1, 0))</f>
        <v>#N/A</v>
      </c>
      <c r="M155" s="13" t="e">
        <f>INDEX(Input!$D$2:$AD$500,
       MATCH(B155, Input!$J$2:$J$500, 0),
       MATCH("Memory Type", Input!$D$1:$AD$1, 0))</f>
        <v>#N/A</v>
      </c>
      <c r="N155" s="13" t="e">
        <f t="shared" si="7"/>
        <v>#N/A</v>
      </c>
      <c r="S155" s="13" t="str">
        <f>_xlfn.LET(_xlpm.Result,_xlfn.XLOOKUP(B155,Input!J:J,Input!AB:AB),IF(_xlpm.Result="","",_xlpm.Result))</f>
        <v/>
      </c>
      <c r="T155" s="13" t="str" cm="1">
        <f t="array" ref="T155">IFERROR(_xlfn.IFS(
   --S155&lt;55,"Battery Defect",
  -- S155&lt;=69,"Battery D",
  --S155&lt;=80,"Battery C",
 --S155&gt;80,""
),"")</f>
        <v/>
      </c>
      <c r="U155" s="13" t="str" cm="1">
        <f t="array" ref="U155:Z155">IFERROR(IF(_xlfn.XLOOKUP(B155,Input!J:J,Input!N:S)=0,"",
          _xlfn.XLOOKUP(B155,Input!J:J,Input!N:S)),"")</f>
        <v/>
      </c>
      <c r="V155" s="13" t="str">
        <v/>
      </c>
      <c r="W155" s="13" t="str">
        <v/>
      </c>
      <c r="X155" s="13" t="str">
        <v/>
      </c>
      <c r="Y155" s="13" t="str">
        <v/>
      </c>
      <c r="Z155" s="13" t="str">
        <v/>
      </c>
      <c r="AA155" t="str">
        <f t="shared" si="8"/>
        <v/>
      </c>
      <c r="AB155" t="str">
        <f>_xlfn.XLOOKUP(B:B,Disk_Pivot!G:G,Disk_Pivot!I:I)</f>
        <v>No</v>
      </c>
      <c r="AC155" t="str">
        <f>_xlfn.XLOOKUP(B155,Disk_Pivot!G:G,Disk_Pivot!N:N)</f>
        <v/>
      </c>
    </row>
    <row r="156" spans="6:29">
      <c r="F156" t="str">
        <f>_xlfn.XLOOKUP(H156,Models!B:B,Models!F:F,"")</f>
        <v/>
      </c>
      <c r="K156">
        <f>_xlfn.XLOOKUP(B156,CPU_Formula!A:A,CPU_Formula!I:I)</f>
        <v>0</v>
      </c>
      <c r="L156" s="13" t="e">
        <f>INDEX(Input!$D$2:$AD$500,
       MATCH(B156, Input!$J$2:$J$500, 0),
       MATCH("Memory Capacity", Input!$D$1:$AD$1, 0))</f>
        <v>#N/A</v>
      </c>
      <c r="M156" s="13" t="e">
        <f>INDEX(Input!$D$2:$AD$500,
       MATCH(B156, Input!$J$2:$J$500, 0),
       MATCH("Memory Type", Input!$D$1:$AD$1, 0))</f>
        <v>#N/A</v>
      </c>
      <c r="N156" s="13" t="e">
        <f t="shared" si="7"/>
        <v>#N/A</v>
      </c>
      <c r="S156" s="13" t="str">
        <f>_xlfn.LET(_xlpm.Result,_xlfn.XLOOKUP(B156,Input!J:J,Input!AB:AB),IF(_xlpm.Result="","",_xlpm.Result))</f>
        <v/>
      </c>
      <c r="T156" s="13" t="str" cm="1">
        <f t="array" ref="T156">IFERROR(_xlfn.IFS(
   --S156&lt;55,"Battery Defect",
  -- S156&lt;=69,"Battery D",
  --S156&lt;=80,"Battery C",
 --S156&gt;80,""
),"")</f>
        <v/>
      </c>
      <c r="U156" s="13" t="str" cm="1">
        <f t="array" ref="U156:Z156">IFERROR(IF(_xlfn.XLOOKUP(B156,Input!J:J,Input!N:S)=0,"",
          _xlfn.XLOOKUP(B156,Input!J:J,Input!N:S)),"")</f>
        <v/>
      </c>
      <c r="V156" s="13" t="str">
        <v/>
      </c>
      <c r="W156" s="13" t="str">
        <v/>
      </c>
      <c r="X156" s="13" t="str">
        <v/>
      </c>
      <c r="Y156" s="13" t="str">
        <v/>
      </c>
      <c r="Z156" s="13" t="str">
        <v/>
      </c>
      <c r="AA156" t="str">
        <f t="shared" si="8"/>
        <v/>
      </c>
      <c r="AB156" t="str">
        <f>_xlfn.XLOOKUP(B:B,Disk_Pivot!G:G,Disk_Pivot!I:I)</f>
        <v>No</v>
      </c>
      <c r="AC156" t="str">
        <f>_xlfn.XLOOKUP(B156,Disk_Pivot!G:G,Disk_Pivot!N:N)</f>
        <v/>
      </c>
    </row>
    <row r="157" spans="6:29">
      <c r="F157" t="str">
        <f>_xlfn.XLOOKUP(H157,Models!B:B,Models!F:F,"")</f>
        <v/>
      </c>
      <c r="K157">
        <f>_xlfn.XLOOKUP(B157,CPU_Formula!A:A,CPU_Formula!I:I)</f>
        <v>0</v>
      </c>
      <c r="L157" s="13" t="e">
        <f>INDEX(Input!$D$2:$AD$500,
       MATCH(B157, Input!$J$2:$J$500, 0),
       MATCH("Memory Capacity", Input!$D$1:$AD$1, 0))</f>
        <v>#N/A</v>
      </c>
      <c r="M157" s="13" t="e">
        <f>INDEX(Input!$D$2:$AD$500,
       MATCH(B157, Input!$J$2:$J$500, 0),
       MATCH("Memory Type", Input!$D$1:$AD$1, 0))</f>
        <v>#N/A</v>
      </c>
      <c r="N157" s="13" t="e">
        <f t="shared" si="7"/>
        <v>#N/A</v>
      </c>
      <c r="S157" s="13" t="str">
        <f>_xlfn.LET(_xlpm.Result,_xlfn.XLOOKUP(B157,Input!J:J,Input!AB:AB),IF(_xlpm.Result="","",_xlpm.Result))</f>
        <v/>
      </c>
      <c r="T157" s="13" t="str" cm="1">
        <f t="array" ref="T157">IFERROR(_xlfn.IFS(
   --S157&lt;55,"Battery Defect",
  -- S157&lt;=69,"Battery D",
  --S157&lt;=80,"Battery C",
 --S157&gt;80,""
),"")</f>
        <v/>
      </c>
      <c r="U157" s="13" t="str" cm="1">
        <f t="array" ref="U157:Z157">IFERROR(IF(_xlfn.XLOOKUP(B157,Input!J:J,Input!N:S)=0,"",
          _xlfn.XLOOKUP(B157,Input!J:J,Input!N:S)),"")</f>
        <v/>
      </c>
      <c r="V157" s="13" t="str">
        <v/>
      </c>
      <c r="W157" s="13" t="str">
        <v/>
      </c>
      <c r="X157" s="13" t="str">
        <v/>
      </c>
      <c r="Y157" s="13" t="str">
        <v/>
      </c>
      <c r="Z157" s="13" t="str">
        <v/>
      </c>
      <c r="AA157" t="str">
        <f t="shared" si="8"/>
        <v/>
      </c>
      <c r="AB157" t="str">
        <f>_xlfn.XLOOKUP(B:B,Disk_Pivot!G:G,Disk_Pivot!I:I)</f>
        <v>No</v>
      </c>
      <c r="AC157" t="str">
        <f>_xlfn.XLOOKUP(B157,Disk_Pivot!G:G,Disk_Pivot!N:N)</f>
        <v/>
      </c>
    </row>
    <row r="158" spans="6:29">
      <c r="F158" t="str">
        <f>_xlfn.XLOOKUP(H158,Models!B:B,Models!F:F,"")</f>
        <v/>
      </c>
      <c r="K158">
        <f>_xlfn.XLOOKUP(B158,CPU_Formula!A:A,CPU_Formula!I:I)</f>
        <v>0</v>
      </c>
      <c r="L158" s="13" t="e">
        <f>INDEX(Input!$D$2:$AD$500,
       MATCH(B158, Input!$J$2:$J$500, 0),
       MATCH("Memory Capacity", Input!$D$1:$AD$1, 0))</f>
        <v>#N/A</v>
      </c>
      <c r="M158" s="13" t="e">
        <f>INDEX(Input!$D$2:$AD$500,
       MATCH(B158, Input!$J$2:$J$500, 0),
       MATCH("Memory Type", Input!$D$1:$AD$1, 0))</f>
        <v>#N/A</v>
      </c>
      <c r="N158" s="13" t="e">
        <f t="shared" si="7"/>
        <v>#N/A</v>
      </c>
      <c r="S158" s="13" t="str">
        <f>_xlfn.LET(_xlpm.Result,_xlfn.XLOOKUP(B158,Input!J:J,Input!AB:AB),IF(_xlpm.Result="","",_xlpm.Result))</f>
        <v/>
      </c>
      <c r="T158" s="13" t="str" cm="1">
        <f t="array" ref="T158">IFERROR(_xlfn.IFS(
   --S158&lt;55,"Battery Defect",
  -- S158&lt;=69,"Battery D",
  --S158&lt;=80,"Battery C",
 --S158&gt;80,""
),"")</f>
        <v/>
      </c>
      <c r="U158" s="13" t="str" cm="1">
        <f t="array" ref="U158:Z158">IFERROR(IF(_xlfn.XLOOKUP(B158,Input!J:J,Input!N:S)=0,"",
          _xlfn.XLOOKUP(B158,Input!J:J,Input!N:S)),"")</f>
        <v/>
      </c>
      <c r="V158" s="13" t="str">
        <v/>
      </c>
      <c r="W158" s="13" t="str">
        <v/>
      </c>
      <c r="X158" s="13" t="str">
        <v/>
      </c>
      <c r="Y158" s="13" t="str">
        <v/>
      </c>
      <c r="Z158" s="13" t="str">
        <v/>
      </c>
      <c r="AA158" t="str">
        <f t="shared" si="8"/>
        <v/>
      </c>
      <c r="AB158" t="str">
        <f>_xlfn.XLOOKUP(B:B,Disk_Pivot!G:G,Disk_Pivot!I:I)</f>
        <v>No</v>
      </c>
      <c r="AC158" t="str">
        <f>_xlfn.XLOOKUP(B158,Disk_Pivot!G:G,Disk_Pivot!N:N)</f>
        <v/>
      </c>
    </row>
    <row r="159" spans="6:29">
      <c r="F159" t="str">
        <f>_xlfn.XLOOKUP(H159,Models!B:B,Models!F:F,"")</f>
        <v/>
      </c>
      <c r="K159">
        <f>_xlfn.XLOOKUP(B159,CPU_Formula!A:A,CPU_Formula!I:I)</f>
        <v>0</v>
      </c>
      <c r="L159" s="13" t="e">
        <f>INDEX(Input!$D$2:$AD$500,
       MATCH(B159, Input!$J$2:$J$500, 0),
       MATCH("Memory Capacity", Input!$D$1:$AD$1, 0))</f>
        <v>#N/A</v>
      </c>
      <c r="M159" s="13" t="e">
        <f>INDEX(Input!$D$2:$AD$500,
       MATCH(B159, Input!$J$2:$J$500, 0),
       MATCH("Memory Type", Input!$D$1:$AD$1, 0))</f>
        <v>#N/A</v>
      </c>
      <c r="N159" s="13" t="e">
        <f t="shared" si="7"/>
        <v>#N/A</v>
      </c>
      <c r="S159" s="13" t="str">
        <f>_xlfn.LET(_xlpm.Result,_xlfn.XLOOKUP(B159,Input!J:J,Input!AB:AB),IF(_xlpm.Result="","",_xlpm.Result))</f>
        <v/>
      </c>
      <c r="T159" s="13" t="str" cm="1">
        <f t="array" ref="T159">IFERROR(_xlfn.IFS(
   --S159&lt;55,"Battery Defect",
  -- S159&lt;=69,"Battery D",
  --S159&lt;=80,"Battery C",
 --S159&gt;80,""
),"")</f>
        <v/>
      </c>
      <c r="U159" s="13" t="str" cm="1">
        <f t="array" ref="U159:Z159">IFERROR(IF(_xlfn.XLOOKUP(B159,Input!J:J,Input!N:S)=0,"",
          _xlfn.XLOOKUP(B159,Input!J:J,Input!N:S)),"")</f>
        <v/>
      </c>
      <c r="V159" s="13" t="str">
        <v/>
      </c>
      <c r="W159" s="13" t="str">
        <v/>
      </c>
      <c r="X159" s="13" t="str">
        <v/>
      </c>
      <c r="Y159" s="13" t="str">
        <v/>
      </c>
      <c r="Z159" s="13" t="str">
        <v/>
      </c>
      <c r="AA159" t="str">
        <f t="shared" si="8"/>
        <v/>
      </c>
      <c r="AB159" t="str">
        <f>_xlfn.XLOOKUP(B:B,Disk_Pivot!G:G,Disk_Pivot!I:I)</f>
        <v>No</v>
      </c>
      <c r="AC159" t="str">
        <f>_xlfn.XLOOKUP(B159,Disk_Pivot!G:G,Disk_Pivot!N:N)</f>
        <v/>
      </c>
    </row>
    <row r="160" spans="6:29">
      <c r="F160" t="str">
        <f>_xlfn.XLOOKUP(H160,Models!B:B,Models!F:F,"")</f>
        <v/>
      </c>
      <c r="K160">
        <f>_xlfn.XLOOKUP(B160,CPU_Formula!A:A,CPU_Formula!I:I)</f>
        <v>0</v>
      </c>
      <c r="L160" s="13" t="e">
        <f>INDEX(Input!$D$2:$AD$500,
       MATCH(B160, Input!$J$2:$J$500, 0),
       MATCH("Memory Capacity", Input!$D$1:$AD$1, 0))</f>
        <v>#N/A</v>
      </c>
      <c r="M160" s="13" t="e">
        <f>INDEX(Input!$D$2:$AD$500,
       MATCH(B160, Input!$J$2:$J$500, 0),
       MATCH("Memory Type", Input!$D$1:$AD$1, 0))</f>
        <v>#N/A</v>
      </c>
      <c r="N160" s="13" t="e">
        <f t="shared" si="7"/>
        <v>#N/A</v>
      </c>
      <c r="S160" s="13" t="str">
        <f>_xlfn.LET(_xlpm.Result,_xlfn.XLOOKUP(B160,Input!J:J,Input!AB:AB),IF(_xlpm.Result="","",_xlpm.Result))</f>
        <v/>
      </c>
      <c r="T160" s="13" t="str" cm="1">
        <f t="array" ref="T160">IFERROR(_xlfn.IFS(
   --S160&lt;55,"Battery Defect",
  -- S160&lt;=69,"Battery D",
  --S160&lt;=80,"Battery C",
 --S160&gt;80,""
),"")</f>
        <v/>
      </c>
      <c r="U160" s="13" t="str" cm="1">
        <f t="array" ref="U160:Z160">IFERROR(IF(_xlfn.XLOOKUP(B160,Input!J:J,Input!N:S)=0,"",
          _xlfn.XLOOKUP(B160,Input!J:J,Input!N:S)),"")</f>
        <v/>
      </c>
      <c r="V160" s="13" t="str">
        <v/>
      </c>
      <c r="W160" s="13" t="str">
        <v/>
      </c>
      <c r="X160" s="13" t="str">
        <v/>
      </c>
      <c r="Y160" s="13" t="str">
        <v/>
      </c>
      <c r="Z160" s="13" t="str">
        <v/>
      </c>
      <c r="AA160" t="str">
        <f t="shared" si="8"/>
        <v/>
      </c>
      <c r="AB160" t="str">
        <f>_xlfn.XLOOKUP(B:B,Disk_Pivot!G:G,Disk_Pivot!I:I)</f>
        <v>No</v>
      </c>
      <c r="AC160" t="str">
        <f>_xlfn.XLOOKUP(B160,Disk_Pivot!G:G,Disk_Pivot!N:N)</f>
        <v/>
      </c>
    </row>
    <row r="161" spans="6:29">
      <c r="F161" t="str">
        <f>_xlfn.XLOOKUP(H161,Models!B:B,Models!F:F,"")</f>
        <v/>
      </c>
      <c r="K161">
        <f>_xlfn.XLOOKUP(B161,CPU_Formula!A:A,CPU_Formula!I:I)</f>
        <v>0</v>
      </c>
      <c r="L161" s="13" t="e">
        <f>INDEX(Input!$D$2:$AD$500,
       MATCH(B161, Input!$J$2:$J$500, 0),
       MATCH("Memory Capacity", Input!$D$1:$AD$1, 0))</f>
        <v>#N/A</v>
      </c>
      <c r="M161" s="13" t="e">
        <f>INDEX(Input!$D$2:$AD$500,
       MATCH(B161, Input!$J$2:$J$500, 0),
       MATCH("Memory Type", Input!$D$1:$AD$1, 0))</f>
        <v>#N/A</v>
      </c>
      <c r="N161" s="13" t="e">
        <f t="shared" si="7"/>
        <v>#N/A</v>
      </c>
      <c r="S161" s="13" t="str">
        <f>_xlfn.LET(_xlpm.Result,_xlfn.XLOOKUP(B161,Input!J:J,Input!AB:AB),IF(_xlpm.Result="","",_xlpm.Result))</f>
        <v/>
      </c>
      <c r="T161" s="13" t="str" cm="1">
        <f t="array" ref="T161">IFERROR(_xlfn.IFS(
   --S161&lt;55,"Battery Defect",
  -- S161&lt;=69,"Battery D",
  --S161&lt;=80,"Battery C",
 --S161&gt;80,""
),"")</f>
        <v/>
      </c>
      <c r="U161" s="13" t="str" cm="1">
        <f t="array" ref="U161:Z161">IFERROR(IF(_xlfn.XLOOKUP(B161,Input!J:J,Input!N:S)=0,"",
          _xlfn.XLOOKUP(B161,Input!J:J,Input!N:S)),"")</f>
        <v/>
      </c>
      <c r="V161" s="13" t="str">
        <v/>
      </c>
      <c r="W161" s="13" t="str">
        <v/>
      </c>
      <c r="X161" s="13" t="str">
        <v/>
      </c>
      <c r="Y161" s="13" t="str">
        <v/>
      </c>
      <c r="Z161" s="13" t="str">
        <v/>
      </c>
      <c r="AA161" t="str">
        <f t="shared" si="8"/>
        <v/>
      </c>
      <c r="AB161" t="str">
        <f>_xlfn.XLOOKUP(B:B,Disk_Pivot!G:G,Disk_Pivot!I:I)</f>
        <v>No</v>
      </c>
      <c r="AC161" t="str">
        <f>_xlfn.XLOOKUP(B161,Disk_Pivot!G:G,Disk_Pivot!N:N)</f>
        <v/>
      </c>
    </row>
    <row r="162" spans="6:29">
      <c r="F162" t="str">
        <f>_xlfn.XLOOKUP(H162,Models!B:B,Models!F:F,"")</f>
        <v/>
      </c>
      <c r="K162">
        <f>_xlfn.XLOOKUP(B162,CPU_Formula!A:A,CPU_Formula!I:I)</f>
        <v>0</v>
      </c>
      <c r="L162" s="13" t="e">
        <f>INDEX(Input!$D$2:$AD$500,
       MATCH(B162, Input!$J$2:$J$500, 0),
       MATCH("Memory Capacity", Input!$D$1:$AD$1, 0))</f>
        <v>#N/A</v>
      </c>
      <c r="M162" s="13" t="e">
        <f>INDEX(Input!$D$2:$AD$500,
       MATCH(B162, Input!$J$2:$J$500, 0),
       MATCH("Memory Type", Input!$D$1:$AD$1, 0))</f>
        <v>#N/A</v>
      </c>
      <c r="N162" s="13" t="e">
        <f t="shared" si="7"/>
        <v>#N/A</v>
      </c>
      <c r="S162" s="13" t="str">
        <f>_xlfn.LET(_xlpm.Result,_xlfn.XLOOKUP(B162,Input!J:J,Input!AB:AB),IF(_xlpm.Result="","",_xlpm.Result))</f>
        <v/>
      </c>
      <c r="T162" s="13" t="str" cm="1">
        <f t="array" ref="T162">IFERROR(_xlfn.IFS(
   --S162&lt;55,"Battery Defect",
  -- S162&lt;=69,"Battery D",
  --S162&lt;=80,"Battery C",
 --S162&gt;80,""
),"")</f>
        <v/>
      </c>
      <c r="U162" s="13" t="str" cm="1">
        <f t="array" ref="U162:Z162">IFERROR(IF(_xlfn.XLOOKUP(B162,Input!J:J,Input!N:S)=0,"",
          _xlfn.XLOOKUP(B162,Input!J:J,Input!N:S)),"")</f>
        <v/>
      </c>
      <c r="V162" s="13" t="str">
        <v/>
      </c>
      <c r="W162" s="13" t="str">
        <v/>
      </c>
      <c r="X162" s="13" t="str">
        <v/>
      </c>
      <c r="Y162" s="13" t="str">
        <v/>
      </c>
      <c r="Z162" s="13" t="str">
        <v/>
      </c>
      <c r="AA162" t="str">
        <f t="shared" si="8"/>
        <v/>
      </c>
      <c r="AB162" t="str">
        <f>_xlfn.XLOOKUP(B:B,Disk_Pivot!G:G,Disk_Pivot!I:I)</f>
        <v>No</v>
      </c>
      <c r="AC162" t="str">
        <f>_xlfn.XLOOKUP(B162,Disk_Pivot!G:G,Disk_Pivot!N:N)</f>
        <v/>
      </c>
    </row>
    <row r="163" spans="6:29">
      <c r="F163" t="str">
        <f>_xlfn.XLOOKUP(H163,Models!B:B,Models!F:F,"")</f>
        <v/>
      </c>
      <c r="K163">
        <f>_xlfn.XLOOKUP(B163,CPU_Formula!A:A,CPU_Formula!I:I)</f>
        <v>0</v>
      </c>
      <c r="L163" s="13" t="e">
        <f>INDEX(Input!$D$2:$AD$500,
       MATCH(B163, Input!$J$2:$J$500, 0),
       MATCH("Memory Capacity", Input!$D$1:$AD$1, 0))</f>
        <v>#N/A</v>
      </c>
      <c r="M163" s="13" t="e">
        <f>INDEX(Input!$D$2:$AD$500,
       MATCH(B163, Input!$J$2:$J$500, 0),
       MATCH("Memory Type", Input!$D$1:$AD$1, 0))</f>
        <v>#N/A</v>
      </c>
      <c r="N163" s="13" t="e">
        <f t="shared" si="7"/>
        <v>#N/A</v>
      </c>
      <c r="S163" s="13" t="str">
        <f>_xlfn.LET(_xlpm.Result,_xlfn.XLOOKUP(B163,Input!J:J,Input!AB:AB),IF(_xlpm.Result="","",_xlpm.Result))</f>
        <v/>
      </c>
      <c r="T163" s="13" t="str" cm="1">
        <f t="array" ref="T163">IFERROR(_xlfn.IFS(
   --S163&lt;55,"Battery Defect",
  -- S163&lt;=69,"Battery D",
  --S163&lt;=80,"Battery C",
 --S163&gt;80,""
),"")</f>
        <v/>
      </c>
      <c r="U163" s="13" t="str" cm="1">
        <f t="array" ref="U163:Z163">IFERROR(IF(_xlfn.XLOOKUP(B163,Input!J:J,Input!N:S)=0,"",
          _xlfn.XLOOKUP(B163,Input!J:J,Input!N:S)),"")</f>
        <v/>
      </c>
      <c r="V163" s="13" t="str">
        <v/>
      </c>
      <c r="W163" s="13" t="str">
        <v/>
      </c>
      <c r="X163" s="13" t="str">
        <v/>
      </c>
      <c r="Y163" s="13" t="str">
        <v/>
      </c>
      <c r="Z163" s="13" t="str">
        <v/>
      </c>
      <c r="AA163" t="str">
        <f t="shared" si="8"/>
        <v/>
      </c>
      <c r="AB163" t="str">
        <f>_xlfn.XLOOKUP(B:B,Disk_Pivot!G:G,Disk_Pivot!I:I)</f>
        <v>No</v>
      </c>
      <c r="AC163" t="str">
        <f>_xlfn.XLOOKUP(B163,Disk_Pivot!G:G,Disk_Pivot!N:N)</f>
        <v/>
      </c>
    </row>
    <row r="164" spans="6:29">
      <c r="F164" t="str">
        <f>_xlfn.XLOOKUP(H164,Models!B:B,Models!F:F,"")</f>
        <v/>
      </c>
      <c r="K164">
        <f>_xlfn.XLOOKUP(B164,CPU_Formula!A:A,CPU_Formula!I:I)</f>
        <v>0</v>
      </c>
      <c r="L164" s="13" t="e">
        <f>INDEX(Input!$D$2:$AD$500,
       MATCH(B164, Input!$J$2:$J$500, 0),
       MATCH("Memory Capacity", Input!$D$1:$AD$1, 0))</f>
        <v>#N/A</v>
      </c>
      <c r="M164" s="13" t="e">
        <f>INDEX(Input!$D$2:$AD$500,
       MATCH(B164, Input!$J$2:$J$500, 0),
       MATCH("Memory Type", Input!$D$1:$AD$1, 0))</f>
        <v>#N/A</v>
      </c>
      <c r="N164" s="13" t="e">
        <f t="shared" si="7"/>
        <v>#N/A</v>
      </c>
      <c r="S164" s="13" t="str">
        <f>_xlfn.LET(_xlpm.Result,_xlfn.XLOOKUP(B164,Input!J:J,Input!AB:AB),IF(_xlpm.Result="","",_xlpm.Result))</f>
        <v/>
      </c>
      <c r="T164" s="13" t="str" cm="1">
        <f t="array" ref="T164">IFERROR(_xlfn.IFS(
   --S164&lt;55,"Battery Defect",
  -- S164&lt;=69,"Battery D",
  --S164&lt;=80,"Battery C",
 --S164&gt;80,""
),"")</f>
        <v/>
      </c>
      <c r="U164" s="13" t="str" cm="1">
        <f t="array" ref="U164:Z164">IFERROR(IF(_xlfn.XLOOKUP(B164,Input!J:J,Input!N:S)=0,"",
          _xlfn.XLOOKUP(B164,Input!J:J,Input!N:S)),"")</f>
        <v/>
      </c>
      <c r="V164" s="13" t="str">
        <v/>
      </c>
      <c r="W164" s="13" t="str">
        <v/>
      </c>
      <c r="X164" s="13" t="str">
        <v/>
      </c>
      <c r="Y164" s="13" t="str">
        <v/>
      </c>
      <c r="Z164" s="13" t="str">
        <v/>
      </c>
      <c r="AA164" t="str">
        <f t="shared" si="8"/>
        <v/>
      </c>
      <c r="AB164" t="str">
        <f>_xlfn.XLOOKUP(B:B,Disk_Pivot!G:G,Disk_Pivot!I:I)</f>
        <v>No</v>
      </c>
      <c r="AC164" t="str">
        <f>_xlfn.XLOOKUP(B164,Disk_Pivot!G:G,Disk_Pivot!N:N)</f>
        <v/>
      </c>
    </row>
    <row r="165" spans="6:29">
      <c r="F165" t="str">
        <f>_xlfn.XLOOKUP(H165,Models!B:B,Models!F:F,"")</f>
        <v/>
      </c>
      <c r="K165">
        <f>_xlfn.XLOOKUP(B165,CPU_Formula!A:A,CPU_Formula!I:I)</f>
        <v>0</v>
      </c>
      <c r="L165" s="13" t="e">
        <f>INDEX(Input!$D$2:$AD$500,
       MATCH(B165, Input!$J$2:$J$500, 0),
       MATCH("Memory Capacity", Input!$D$1:$AD$1, 0))</f>
        <v>#N/A</v>
      </c>
      <c r="M165" s="13" t="e">
        <f>INDEX(Input!$D$2:$AD$500,
       MATCH(B165, Input!$J$2:$J$500, 0),
       MATCH("Memory Type", Input!$D$1:$AD$1, 0))</f>
        <v>#N/A</v>
      </c>
      <c r="N165" s="13" t="e">
        <f t="shared" si="7"/>
        <v>#N/A</v>
      </c>
      <c r="S165" s="13" t="str">
        <f>_xlfn.LET(_xlpm.Result,_xlfn.XLOOKUP(B165,Input!J:J,Input!AB:AB),IF(_xlpm.Result="","",_xlpm.Result))</f>
        <v/>
      </c>
      <c r="T165" s="13" t="str" cm="1">
        <f t="array" ref="T165">IFERROR(_xlfn.IFS(
   --S165&lt;55,"Battery Defect",
  -- S165&lt;=69,"Battery D",
  --S165&lt;=80,"Battery C",
 --S165&gt;80,""
),"")</f>
        <v/>
      </c>
      <c r="U165" s="13" t="str" cm="1">
        <f t="array" ref="U165:Z165">IFERROR(IF(_xlfn.XLOOKUP(B165,Input!J:J,Input!N:S)=0,"",
          _xlfn.XLOOKUP(B165,Input!J:J,Input!N:S)),"")</f>
        <v/>
      </c>
      <c r="V165" s="13" t="str">
        <v/>
      </c>
      <c r="W165" s="13" t="str">
        <v/>
      </c>
      <c r="X165" s="13" t="str">
        <v/>
      </c>
      <c r="Y165" s="13" t="str">
        <v/>
      </c>
      <c r="Z165" s="13" t="str">
        <v/>
      </c>
      <c r="AA165" t="str">
        <f t="shared" si="8"/>
        <v/>
      </c>
      <c r="AB165" t="str">
        <f>_xlfn.XLOOKUP(B:B,Disk_Pivot!G:G,Disk_Pivot!I:I)</f>
        <v>No</v>
      </c>
      <c r="AC165" t="str">
        <f>_xlfn.XLOOKUP(B165,Disk_Pivot!G:G,Disk_Pivot!N:N)</f>
        <v/>
      </c>
    </row>
    <row r="166" spans="6:29">
      <c r="F166" t="str">
        <f>_xlfn.XLOOKUP(H166,Models!B:B,Models!F:F,"")</f>
        <v/>
      </c>
      <c r="K166">
        <f>_xlfn.XLOOKUP(B166,CPU_Formula!A:A,CPU_Formula!I:I)</f>
        <v>0</v>
      </c>
      <c r="L166" s="13" t="e">
        <f>INDEX(Input!$D$2:$AD$500,
       MATCH(B166, Input!$J$2:$J$500, 0),
       MATCH("Memory Capacity", Input!$D$1:$AD$1, 0))</f>
        <v>#N/A</v>
      </c>
      <c r="M166" s="13" t="e">
        <f>INDEX(Input!$D$2:$AD$500,
       MATCH(B166, Input!$J$2:$J$500, 0),
       MATCH("Memory Type", Input!$D$1:$AD$1, 0))</f>
        <v>#N/A</v>
      </c>
      <c r="N166" s="13" t="e">
        <f t="shared" si="7"/>
        <v>#N/A</v>
      </c>
      <c r="S166" s="13" t="str">
        <f>_xlfn.LET(_xlpm.Result,_xlfn.XLOOKUP(B166,Input!J:J,Input!AB:AB),IF(_xlpm.Result="","",_xlpm.Result))</f>
        <v/>
      </c>
      <c r="T166" s="13" t="str" cm="1">
        <f t="array" ref="T166">IFERROR(_xlfn.IFS(
   --S166&lt;55,"Battery Defect",
  -- S166&lt;=69,"Battery D",
  --S166&lt;=80,"Battery C",
 --S166&gt;80,""
),"")</f>
        <v/>
      </c>
      <c r="U166" s="13" t="str" cm="1">
        <f t="array" ref="U166:Z166">IFERROR(IF(_xlfn.XLOOKUP(B166,Input!J:J,Input!N:S)=0,"",
          _xlfn.XLOOKUP(B166,Input!J:J,Input!N:S)),"")</f>
        <v/>
      </c>
      <c r="V166" s="13" t="str">
        <v/>
      </c>
      <c r="W166" s="13" t="str">
        <v/>
      </c>
      <c r="X166" s="13" t="str">
        <v/>
      </c>
      <c r="Y166" s="13" t="str">
        <v/>
      </c>
      <c r="Z166" s="13" t="str">
        <v/>
      </c>
      <c r="AA166" t="str">
        <f t="shared" si="8"/>
        <v/>
      </c>
      <c r="AB166" t="str">
        <f>_xlfn.XLOOKUP(B:B,Disk_Pivot!G:G,Disk_Pivot!I:I)</f>
        <v>No</v>
      </c>
      <c r="AC166" t="str">
        <f>_xlfn.XLOOKUP(B166,Disk_Pivot!G:G,Disk_Pivot!N:N)</f>
        <v/>
      </c>
    </row>
    <row r="167" spans="6:29">
      <c r="F167" t="str">
        <f>_xlfn.XLOOKUP(H167,Models!B:B,Models!F:F,"")</f>
        <v/>
      </c>
      <c r="K167">
        <f>_xlfn.XLOOKUP(B167,CPU_Formula!A:A,CPU_Formula!I:I)</f>
        <v>0</v>
      </c>
      <c r="L167" s="13" t="e">
        <f>INDEX(Input!$D$2:$AD$500,
       MATCH(B167, Input!$J$2:$J$500, 0),
       MATCH("Memory Capacity", Input!$D$1:$AD$1, 0))</f>
        <v>#N/A</v>
      </c>
      <c r="M167" s="13" t="e">
        <f>INDEX(Input!$D$2:$AD$500,
       MATCH(B167, Input!$J$2:$J$500, 0),
       MATCH("Memory Type", Input!$D$1:$AD$1, 0))</f>
        <v>#N/A</v>
      </c>
      <c r="N167" s="13" t="e">
        <f t="shared" si="7"/>
        <v>#N/A</v>
      </c>
      <c r="S167" s="13" t="str">
        <f>_xlfn.LET(_xlpm.Result,_xlfn.XLOOKUP(B167,Input!J:J,Input!AB:AB),IF(_xlpm.Result="","",_xlpm.Result))</f>
        <v/>
      </c>
      <c r="T167" s="13" t="str" cm="1">
        <f t="array" ref="T167">IFERROR(_xlfn.IFS(
   --S167&lt;55,"Battery Defect",
  -- S167&lt;=69,"Battery D",
  --S167&lt;=80,"Battery C",
 --S167&gt;80,""
),"")</f>
        <v/>
      </c>
      <c r="U167" s="13" t="str" cm="1">
        <f t="array" ref="U167:Z167">IFERROR(IF(_xlfn.XLOOKUP(B167,Input!J:J,Input!N:S)=0,"",
          _xlfn.XLOOKUP(B167,Input!J:J,Input!N:S)),"")</f>
        <v/>
      </c>
      <c r="V167" s="13" t="str">
        <v/>
      </c>
      <c r="W167" s="13" t="str">
        <v/>
      </c>
      <c r="X167" s="13" t="str">
        <v/>
      </c>
      <c r="Y167" s="13" t="str">
        <v/>
      </c>
      <c r="Z167" s="13" t="str">
        <v/>
      </c>
      <c r="AA167" t="str">
        <f t="shared" si="8"/>
        <v/>
      </c>
      <c r="AB167" t="str">
        <f>_xlfn.XLOOKUP(B:B,Disk_Pivot!G:G,Disk_Pivot!I:I)</f>
        <v>No</v>
      </c>
      <c r="AC167" t="str">
        <f>_xlfn.XLOOKUP(B167,Disk_Pivot!G:G,Disk_Pivot!N:N)</f>
        <v/>
      </c>
    </row>
    <row r="168" spans="6:29">
      <c r="F168" t="str">
        <f>_xlfn.XLOOKUP(H168,Models!B:B,Models!F:F,"")</f>
        <v/>
      </c>
      <c r="K168">
        <f>_xlfn.XLOOKUP(B168,CPU_Formula!A:A,CPU_Formula!I:I)</f>
        <v>0</v>
      </c>
      <c r="L168" s="13" t="e">
        <f>INDEX(Input!$D$2:$AD$500,
       MATCH(B168, Input!$J$2:$J$500, 0),
       MATCH("Memory Capacity", Input!$D$1:$AD$1, 0))</f>
        <v>#N/A</v>
      </c>
      <c r="M168" s="13" t="e">
        <f>INDEX(Input!$D$2:$AD$500,
       MATCH(B168, Input!$J$2:$J$500, 0),
       MATCH("Memory Type", Input!$D$1:$AD$1, 0))</f>
        <v>#N/A</v>
      </c>
      <c r="N168" s="13" t="e">
        <f t="shared" si="7"/>
        <v>#N/A</v>
      </c>
      <c r="S168" s="13" t="str">
        <f>_xlfn.LET(_xlpm.Result,_xlfn.XLOOKUP(B168,Input!J:J,Input!AB:AB),IF(_xlpm.Result="","",_xlpm.Result))</f>
        <v/>
      </c>
      <c r="T168" s="13" t="str" cm="1">
        <f t="array" ref="T168">IFERROR(_xlfn.IFS(
   --S168&lt;55,"Battery Defect",
  -- S168&lt;=69,"Battery D",
  --S168&lt;=80,"Battery C",
 --S168&gt;80,""
),"")</f>
        <v/>
      </c>
      <c r="U168" s="13" t="str" cm="1">
        <f t="array" ref="U168:Z168">IFERROR(IF(_xlfn.XLOOKUP(B168,Input!J:J,Input!N:S)=0,"",
          _xlfn.XLOOKUP(B168,Input!J:J,Input!N:S)),"")</f>
        <v/>
      </c>
      <c r="V168" s="13" t="str">
        <v/>
      </c>
      <c r="W168" s="13" t="str">
        <v/>
      </c>
      <c r="X168" s="13" t="str">
        <v/>
      </c>
      <c r="Y168" s="13" t="str">
        <v/>
      </c>
      <c r="Z168" s="13" t="str">
        <v/>
      </c>
      <c r="AA168" t="str">
        <f t="shared" si="8"/>
        <v/>
      </c>
      <c r="AB168" t="str">
        <f>_xlfn.XLOOKUP(B:B,Disk_Pivot!G:G,Disk_Pivot!I:I)</f>
        <v>No</v>
      </c>
      <c r="AC168" t="str">
        <f>_xlfn.XLOOKUP(B168,Disk_Pivot!G:G,Disk_Pivot!N:N)</f>
        <v/>
      </c>
    </row>
    <row r="169" spans="6:29">
      <c r="F169" t="str">
        <f>_xlfn.XLOOKUP(H169,Models!B:B,Models!F:F,"")</f>
        <v/>
      </c>
      <c r="K169">
        <f>_xlfn.XLOOKUP(B169,CPU_Formula!A:A,CPU_Formula!I:I)</f>
        <v>0</v>
      </c>
      <c r="L169" s="13" t="e">
        <f>INDEX(Input!$D$2:$AD$500,
       MATCH(B169, Input!$J$2:$J$500, 0),
       MATCH("Memory Capacity", Input!$D$1:$AD$1, 0))</f>
        <v>#N/A</v>
      </c>
      <c r="M169" s="13" t="e">
        <f>INDEX(Input!$D$2:$AD$500,
       MATCH(B169, Input!$J$2:$J$500, 0),
       MATCH("Memory Type", Input!$D$1:$AD$1, 0))</f>
        <v>#N/A</v>
      </c>
      <c r="N169" s="13" t="e">
        <f t="shared" si="7"/>
        <v>#N/A</v>
      </c>
      <c r="S169" s="13" t="str">
        <f>_xlfn.LET(_xlpm.Result,_xlfn.XLOOKUP(B169,Input!J:J,Input!AB:AB),IF(_xlpm.Result="","",_xlpm.Result))</f>
        <v/>
      </c>
      <c r="T169" s="13" t="str" cm="1">
        <f t="array" ref="T169">IFERROR(_xlfn.IFS(
   --S169&lt;55,"Battery Defect",
  -- S169&lt;=69,"Battery D",
  --S169&lt;=80,"Battery C",
 --S169&gt;80,""
),"")</f>
        <v/>
      </c>
      <c r="U169" s="13" t="str" cm="1">
        <f t="array" ref="U169:Z169">IFERROR(IF(_xlfn.XLOOKUP(B169,Input!J:J,Input!N:S)=0,"",
          _xlfn.XLOOKUP(B169,Input!J:J,Input!N:S)),"")</f>
        <v/>
      </c>
      <c r="V169" s="13" t="str">
        <v/>
      </c>
      <c r="W169" s="13" t="str">
        <v/>
      </c>
      <c r="X169" s="13" t="str">
        <v/>
      </c>
      <c r="Y169" s="13" t="str">
        <v/>
      </c>
      <c r="Z169" s="13" t="str">
        <v/>
      </c>
      <c r="AA169" t="str">
        <f t="shared" si="8"/>
        <v/>
      </c>
      <c r="AB169" t="str">
        <f>_xlfn.XLOOKUP(B:B,Disk_Pivot!G:G,Disk_Pivot!I:I)</f>
        <v>No</v>
      </c>
      <c r="AC169" t="str">
        <f>_xlfn.XLOOKUP(B169,Disk_Pivot!G:G,Disk_Pivot!N:N)</f>
        <v/>
      </c>
    </row>
    <row r="170" spans="6:29">
      <c r="F170" t="str">
        <f>_xlfn.XLOOKUP(H170,Models!B:B,Models!F:F,"")</f>
        <v/>
      </c>
      <c r="K170">
        <f>_xlfn.XLOOKUP(B170,CPU_Formula!A:A,CPU_Formula!I:I)</f>
        <v>0</v>
      </c>
      <c r="L170" s="13" t="e">
        <f>INDEX(Input!$D$2:$AD$500,
       MATCH(B170, Input!$J$2:$J$500, 0),
       MATCH("Memory Capacity", Input!$D$1:$AD$1, 0))</f>
        <v>#N/A</v>
      </c>
      <c r="M170" s="13" t="e">
        <f>INDEX(Input!$D$2:$AD$500,
       MATCH(B170, Input!$J$2:$J$500, 0),
       MATCH("Memory Type", Input!$D$1:$AD$1, 0))</f>
        <v>#N/A</v>
      </c>
      <c r="N170" s="13" t="e">
        <f t="shared" si="7"/>
        <v>#N/A</v>
      </c>
      <c r="S170" s="13" t="str">
        <f>_xlfn.LET(_xlpm.Result,_xlfn.XLOOKUP(B170,Input!J:J,Input!AB:AB),IF(_xlpm.Result="","",_xlpm.Result))</f>
        <v/>
      </c>
      <c r="T170" s="13" t="str" cm="1">
        <f t="array" ref="T170">IFERROR(_xlfn.IFS(
   --S170&lt;55,"Battery Defect",
  -- S170&lt;=69,"Battery D",
  --S170&lt;=80,"Battery C",
 --S170&gt;80,""
),"")</f>
        <v/>
      </c>
      <c r="U170" s="13" t="str" cm="1">
        <f t="array" ref="U170:Z170">IFERROR(IF(_xlfn.XLOOKUP(B170,Input!J:J,Input!N:S)=0,"",
          _xlfn.XLOOKUP(B170,Input!J:J,Input!N:S)),"")</f>
        <v/>
      </c>
      <c r="V170" s="13" t="str">
        <v/>
      </c>
      <c r="W170" s="13" t="str">
        <v/>
      </c>
      <c r="X170" s="13" t="str">
        <v/>
      </c>
      <c r="Y170" s="13" t="str">
        <v/>
      </c>
      <c r="Z170" s="13" t="str">
        <v/>
      </c>
      <c r="AA170" t="str">
        <f t="shared" si="8"/>
        <v/>
      </c>
      <c r="AB170" t="str">
        <f>_xlfn.XLOOKUP(B:B,Disk_Pivot!G:G,Disk_Pivot!I:I)</f>
        <v>No</v>
      </c>
      <c r="AC170" t="str">
        <f>_xlfn.XLOOKUP(B170,Disk_Pivot!G:G,Disk_Pivot!N:N)</f>
        <v/>
      </c>
    </row>
    <row r="171" spans="6:29">
      <c r="F171" t="str">
        <f>_xlfn.XLOOKUP(H171,Models!B:B,Models!F:F,"")</f>
        <v/>
      </c>
      <c r="K171">
        <f>_xlfn.XLOOKUP(B171,CPU_Formula!A:A,CPU_Formula!I:I)</f>
        <v>0</v>
      </c>
      <c r="L171" s="13" t="e">
        <f>INDEX(Input!$D$2:$AD$500,
       MATCH(B171, Input!$J$2:$J$500, 0),
       MATCH("Memory Capacity", Input!$D$1:$AD$1, 0))</f>
        <v>#N/A</v>
      </c>
      <c r="M171" s="13" t="e">
        <f>INDEX(Input!$D$2:$AD$500,
       MATCH(B171, Input!$J$2:$J$500, 0),
       MATCH("Memory Type", Input!$D$1:$AD$1, 0))</f>
        <v>#N/A</v>
      </c>
      <c r="N171" s="13" t="e">
        <f t="shared" si="7"/>
        <v>#N/A</v>
      </c>
      <c r="S171" s="13" t="str">
        <f>_xlfn.LET(_xlpm.Result,_xlfn.XLOOKUP(B171,Input!J:J,Input!AB:AB),IF(_xlpm.Result="","",_xlpm.Result))</f>
        <v/>
      </c>
      <c r="T171" s="13" t="str" cm="1">
        <f t="array" ref="T171">IFERROR(_xlfn.IFS(
   --S171&lt;55,"Battery Defect",
  -- S171&lt;=69,"Battery D",
  --S171&lt;=80,"Battery C",
 --S171&gt;80,""
),"")</f>
        <v/>
      </c>
      <c r="U171" s="13" t="str" cm="1">
        <f t="array" ref="U171:Z171">IFERROR(IF(_xlfn.XLOOKUP(B171,Input!J:J,Input!N:S)=0,"",
          _xlfn.XLOOKUP(B171,Input!J:J,Input!N:S)),"")</f>
        <v/>
      </c>
      <c r="V171" s="13" t="str">
        <v/>
      </c>
      <c r="W171" s="13" t="str">
        <v/>
      </c>
      <c r="X171" s="13" t="str">
        <v/>
      </c>
      <c r="Y171" s="13" t="str">
        <v/>
      </c>
      <c r="Z171" s="13" t="str">
        <v/>
      </c>
      <c r="AA171" t="str">
        <f t="shared" si="8"/>
        <v/>
      </c>
      <c r="AB171" t="str">
        <f>_xlfn.XLOOKUP(B:B,Disk_Pivot!G:G,Disk_Pivot!I:I)</f>
        <v>No</v>
      </c>
      <c r="AC171" t="str">
        <f>_xlfn.XLOOKUP(B171,Disk_Pivot!G:G,Disk_Pivot!N:N)</f>
        <v/>
      </c>
    </row>
    <row r="172" spans="6:29">
      <c r="F172" t="str">
        <f>_xlfn.XLOOKUP(H172,Models!B:B,Models!F:F,"")</f>
        <v/>
      </c>
      <c r="K172">
        <f>_xlfn.XLOOKUP(B172,CPU_Formula!A:A,CPU_Formula!I:I)</f>
        <v>0</v>
      </c>
      <c r="L172" s="13" t="e">
        <f>INDEX(Input!$D$2:$AD$500,
       MATCH(B172, Input!$J$2:$J$500, 0),
       MATCH("Memory Capacity", Input!$D$1:$AD$1, 0))</f>
        <v>#N/A</v>
      </c>
      <c r="M172" s="13" t="e">
        <f>INDEX(Input!$D$2:$AD$500,
       MATCH(B172, Input!$J$2:$J$500, 0),
       MATCH("Memory Type", Input!$D$1:$AD$1, 0))</f>
        <v>#N/A</v>
      </c>
      <c r="N172" s="13" t="e">
        <f t="shared" si="7"/>
        <v>#N/A</v>
      </c>
      <c r="S172" s="13" t="str">
        <f>_xlfn.LET(_xlpm.Result,_xlfn.XLOOKUP(B172,Input!J:J,Input!AB:AB),IF(_xlpm.Result="","",_xlpm.Result))</f>
        <v/>
      </c>
      <c r="T172" s="13" t="str" cm="1">
        <f t="array" ref="T172">IFERROR(_xlfn.IFS(
   --S172&lt;55,"Battery Defect",
  -- S172&lt;=69,"Battery D",
  --S172&lt;=80,"Battery C",
 --S172&gt;80,""
),"")</f>
        <v/>
      </c>
      <c r="U172" s="13" t="str" cm="1">
        <f t="array" ref="U172:Z172">IFERROR(IF(_xlfn.XLOOKUP(B172,Input!J:J,Input!N:S)=0,"",
          _xlfn.XLOOKUP(B172,Input!J:J,Input!N:S)),"")</f>
        <v/>
      </c>
      <c r="V172" s="13" t="str">
        <v/>
      </c>
      <c r="W172" s="13" t="str">
        <v/>
      </c>
      <c r="X172" s="13" t="str">
        <v/>
      </c>
      <c r="Y172" s="13" t="str">
        <v/>
      </c>
      <c r="Z172" s="13" t="str">
        <v/>
      </c>
      <c r="AA172" t="str">
        <f t="shared" si="8"/>
        <v/>
      </c>
      <c r="AB172" t="str">
        <f>_xlfn.XLOOKUP(B:B,Disk_Pivot!G:G,Disk_Pivot!I:I)</f>
        <v>No</v>
      </c>
      <c r="AC172" t="str">
        <f>_xlfn.XLOOKUP(B172,Disk_Pivot!G:G,Disk_Pivot!N:N)</f>
        <v/>
      </c>
    </row>
    <row r="173" spans="6:29">
      <c r="F173" t="str">
        <f>_xlfn.XLOOKUP(H173,Models!B:B,Models!F:F,"")</f>
        <v/>
      </c>
      <c r="K173">
        <f>_xlfn.XLOOKUP(B173,CPU_Formula!A:A,CPU_Formula!I:I)</f>
        <v>0</v>
      </c>
      <c r="L173" s="13" t="e">
        <f>INDEX(Input!$D$2:$AD$500,
       MATCH(B173, Input!$J$2:$J$500, 0),
       MATCH("Memory Capacity", Input!$D$1:$AD$1, 0))</f>
        <v>#N/A</v>
      </c>
      <c r="M173" s="13" t="e">
        <f>INDEX(Input!$D$2:$AD$500,
       MATCH(B173, Input!$J$2:$J$500, 0),
       MATCH("Memory Type", Input!$D$1:$AD$1, 0))</f>
        <v>#N/A</v>
      </c>
      <c r="N173" s="13" t="e">
        <f t="shared" si="7"/>
        <v>#N/A</v>
      </c>
      <c r="S173" s="13" t="str">
        <f>_xlfn.LET(_xlpm.Result,_xlfn.XLOOKUP(B173,Input!J:J,Input!AB:AB),IF(_xlpm.Result="","",_xlpm.Result))</f>
        <v/>
      </c>
      <c r="T173" s="13" t="str" cm="1">
        <f t="array" ref="T173">IFERROR(_xlfn.IFS(
   --S173&lt;55,"Battery Defect",
  -- S173&lt;=69,"Battery D",
  --S173&lt;=80,"Battery C",
 --S173&gt;80,""
),"")</f>
        <v/>
      </c>
      <c r="U173" s="13" t="str" cm="1">
        <f t="array" ref="U173:Z173">IFERROR(IF(_xlfn.XLOOKUP(B173,Input!J:J,Input!N:S)=0,"",
          _xlfn.XLOOKUP(B173,Input!J:J,Input!N:S)),"")</f>
        <v/>
      </c>
      <c r="V173" s="13" t="str">
        <v/>
      </c>
      <c r="W173" s="13" t="str">
        <v/>
      </c>
      <c r="X173" s="13" t="str">
        <v/>
      </c>
      <c r="Y173" s="13" t="str">
        <v/>
      </c>
      <c r="Z173" s="13" t="str">
        <v/>
      </c>
      <c r="AA173" t="str">
        <f t="shared" si="8"/>
        <v/>
      </c>
      <c r="AB173" t="str">
        <f>_xlfn.XLOOKUP(B:B,Disk_Pivot!G:G,Disk_Pivot!I:I)</f>
        <v>No</v>
      </c>
      <c r="AC173" t="str">
        <f>_xlfn.XLOOKUP(B173,Disk_Pivot!G:G,Disk_Pivot!N:N)</f>
        <v/>
      </c>
    </row>
    <row r="174" spans="6:29">
      <c r="F174" t="str">
        <f>_xlfn.XLOOKUP(H174,Models!B:B,Models!F:F,"")</f>
        <v/>
      </c>
      <c r="K174">
        <f>_xlfn.XLOOKUP(B174,CPU_Formula!A:A,CPU_Formula!I:I)</f>
        <v>0</v>
      </c>
      <c r="L174" s="13" t="e">
        <f>INDEX(Input!$D$2:$AD$500,
       MATCH(B174, Input!$J$2:$J$500, 0),
       MATCH("Memory Capacity", Input!$D$1:$AD$1, 0))</f>
        <v>#N/A</v>
      </c>
      <c r="M174" s="13" t="e">
        <f>INDEX(Input!$D$2:$AD$500,
       MATCH(B174, Input!$J$2:$J$500, 0),
       MATCH("Memory Type", Input!$D$1:$AD$1, 0))</f>
        <v>#N/A</v>
      </c>
      <c r="N174" s="13" t="e">
        <f t="shared" si="7"/>
        <v>#N/A</v>
      </c>
      <c r="S174" s="13" t="str">
        <f>_xlfn.LET(_xlpm.Result,_xlfn.XLOOKUP(B174,Input!J:J,Input!AB:AB),IF(_xlpm.Result="","",_xlpm.Result))</f>
        <v/>
      </c>
      <c r="T174" s="13" t="str" cm="1">
        <f t="array" ref="T174">IFERROR(_xlfn.IFS(
   --S174&lt;55,"Battery Defect",
  -- S174&lt;=69,"Battery D",
  --S174&lt;=80,"Battery C",
 --S174&gt;80,""
),"")</f>
        <v/>
      </c>
      <c r="U174" s="13" t="str" cm="1">
        <f t="array" ref="U174:Z174">IFERROR(IF(_xlfn.XLOOKUP(B174,Input!J:J,Input!N:S)=0,"",
          _xlfn.XLOOKUP(B174,Input!J:J,Input!N:S)),"")</f>
        <v/>
      </c>
      <c r="V174" s="13" t="str">
        <v/>
      </c>
      <c r="W174" s="13" t="str">
        <v/>
      </c>
      <c r="X174" s="13" t="str">
        <v/>
      </c>
      <c r="Y174" s="13" t="str">
        <v/>
      </c>
      <c r="Z174" s="13" t="str">
        <v/>
      </c>
      <c r="AA174" t="str">
        <f t="shared" si="8"/>
        <v/>
      </c>
      <c r="AB174" t="str">
        <f>_xlfn.XLOOKUP(B:B,Disk_Pivot!G:G,Disk_Pivot!I:I)</f>
        <v>No</v>
      </c>
      <c r="AC174" t="str">
        <f>_xlfn.XLOOKUP(B174,Disk_Pivot!G:G,Disk_Pivot!N:N)</f>
        <v/>
      </c>
    </row>
    <row r="175" spans="6:29">
      <c r="F175" t="str">
        <f>_xlfn.XLOOKUP(H175,Models!B:B,Models!F:F,"")</f>
        <v/>
      </c>
      <c r="K175">
        <f>_xlfn.XLOOKUP(B175,CPU_Formula!A:A,CPU_Formula!I:I)</f>
        <v>0</v>
      </c>
      <c r="L175" s="13" t="e">
        <f>INDEX(Input!$D$2:$AD$500,
       MATCH(B175, Input!$J$2:$J$500, 0),
       MATCH("Memory Capacity", Input!$D$1:$AD$1, 0))</f>
        <v>#N/A</v>
      </c>
      <c r="M175" s="13" t="e">
        <f>INDEX(Input!$D$2:$AD$500,
       MATCH(B175, Input!$J$2:$J$500, 0),
       MATCH("Memory Type", Input!$D$1:$AD$1, 0))</f>
        <v>#N/A</v>
      </c>
      <c r="N175" s="13" t="e">
        <f t="shared" si="7"/>
        <v>#N/A</v>
      </c>
      <c r="S175" s="13" t="str">
        <f>_xlfn.LET(_xlpm.Result,_xlfn.XLOOKUP(B175,Input!J:J,Input!AB:AB),IF(_xlpm.Result="","",_xlpm.Result))</f>
        <v/>
      </c>
      <c r="T175" s="13" t="str" cm="1">
        <f t="array" ref="T175">IFERROR(_xlfn.IFS(
   --S175&lt;55,"Battery Defect",
  -- S175&lt;=69,"Battery D",
  --S175&lt;=80,"Battery C",
 --S175&gt;80,""
),"")</f>
        <v/>
      </c>
      <c r="U175" s="13" t="str" cm="1">
        <f t="array" ref="U175:Z175">IFERROR(IF(_xlfn.XLOOKUP(B175,Input!J:J,Input!N:S)=0,"",
          _xlfn.XLOOKUP(B175,Input!J:J,Input!N:S)),"")</f>
        <v/>
      </c>
      <c r="V175" s="13" t="str">
        <v/>
      </c>
      <c r="W175" s="13" t="str">
        <v/>
      </c>
      <c r="X175" s="13" t="str">
        <v/>
      </c>
      <c r="Y175" s="13" t="str">
        <v/>
      </c>
      <c r="Z175" s="13" t="str">
        <v/>
      </c>
      <c r="AA175" t="str">
        <f t="shared" si="8"/>
        <v/>
      </c>
      <c r="AB175" t="str">
        <f>_xlfn.XLOOKUP(B:B,Disk_Pivot!G:G,Disk_Pivot!I:I)</f>
        <v>No</v>
      </c>
      <c r="AC175" t="str">
        <f>_xlfn.XLOOKUP(B175,Disk_Pivot!G:G,Disk_Pivot!N:N)</f>
        <v/>
      </c>
    </row>
    <row r="176" spans="6:29">
      <c r="F176" t="str">
        <f>_xlfn.XLOOKUP(H176,Models!B:B,Models!F:F,"")</f>
        <v/>
      </c>
      <c r="K176">
        <f>_xlfn.XLOOKUP(B176,CPU_Formula!A:A,CPU_Formula!I:I)</f>
        <v>0</v>
      </c>
      <c r="L176" s="13" t="e">
        <f>INDEX(Input!$D$2:$AD$500,
       MATCH(B176, Input!$J$2:$J$500, 0),
       MATCH("Memory Capacity", Input!$D$1:$AD$1, 0))</f>
        <v>#N/A</v>
      </c>
      <c r="M176" s="13" t="e">
        <f>INDEX(Input!$D$2:$AD$500,
       MATCH(B176, Input!$J$2:$J$500, 0),
       MATCH("Memory Type", Input!$D$1:$AD$1, 0))</f>
        <v>#N/A</v>
      </c>
      <c r="N176" s="13" t="e">
        <f t="shared" si="7"/>
        <v>#N/A</v>
      </c>
      <c r="S176" s="13" t="str">
        <f>_xlfn.LET(_xlpm.Result,_xlfn.XLOOKUP(B176,Input!J:J,Input!AB:AB),IF(_xlpm.Result="","",_xlpm.Result))</f>
        <v/>
      </c>
      <c r="T176" s="13" t="str" cm="1">
        <f t="array" ref="T176">IFERROR(_xlfn.IFS(
   --S176&lt;55,"Battery Defect",
  -- S176&lt;=69,"Battery D",
  --S176&lt;=80,"Battery C",
 --S176&gt;80,""
),"")</f>
        <v/>
      </c>
      <c r="U176" s="13" t="str" cm="1">
        <f t="array" ref="U176:Z176">IFERROR(IF(_xlfn.XLOOKUP(B176,Input!J:J,Input!N:S)=0,"",
          _xlfn.XLOOKUP(B176,Input!J:J,Input!N:S)),"")</f>
        <v/>
      </c>
      <c r="V176" s="13" t="str">
        <v/>
      </c>
      <c r="W176" s="13" t="str">
        <v/>
      </c>
      <c r="X176" s="13" t="str">
        <v/>
      </c>
      <c r="Y176" s="13" t="str">
        <v/>
      </c>
      <c r="Z176" s="13" t="str">
        <v/>
      </c>
      <c r="AA176" t="str">
        <f t="shared" si="8"/>
        <v/>
      </c>
      <c r="AB176" t="str">
        <f>_xlfn.XLOOKUP(B:B,Disk_Pivot!G:G,Disk_Pivot!I:I)</f>
        <v>No</v>
      </c>
      <c r="AC176" t="str">
        <f>_xlfn.XLOOKUP(B176,Disk_Pivot!G:G,Disk_Pivot!N:N)</f>
        <v/>
      </c>
    </row>
    <row r="177" spans="6:29">
      <c r="F177" t="str">
        <f>_xlfn.XLOOKUP(H177,Models!B:B,Models!F:F,"")</f>
        <v/>
      </c>
      <c r="K177">
        <f>_xlfn.XLOOKUP(B177,CPU_Formula!A:A,CPU_Formula!I:I)</f>
        <v>0</v>
      </c>
      <c r="L177" s="13" t="e">
        <f>INDEX(Input!$D$2:$AD$500,
       MATCH(B177, Input!$J$2:$J$500, 0),
       MATCH("Memory Capacity", Input!$D$1:$AD$1, 0))</f>
        <v>#N/A</v>
      </c>
      <c r="M177" s="13" t="e">
        <f>INDEX(Input!$D$2:$AD$500,
       MATCH(B177, Input!$J$2:$J$500, 0),
       MATCH("Memory Type", Input!$D$1:$AD$1, 0))</f>
        <v>#N/A</v>
      </c>
      <c r="N177" s="13" t="e">
        <f t="shared" si="7"/>
        <v>#N/A</v>
      </c>
      <c r="S177" s="13" t="str">
        <f>_xlfn.LET(_xlpm.Result,_xlfn.XLOOKUP(B177,Input!J:J,Input!AB:AB),IF(_xlpm.Result="","",_xlpm.Result))</f>
        <v/>
      </c>
      <c r="T177" s="13" t="str" cm="1">
        <f t="array" ref="T177">IFERROR(_xlfn.IFS(
   --S177&lt;55,"Battery Defect",
  -- S177&lt;=69,"Battery D",
  --S177&lt;=80,"Battery C",
 --S177&gt;80,""
),"")</f>
        <v/>
      </c>
      <c r="U177" s="13" t="str" cm="1">
        <f t="array" ref="U177:Z177">IFERROR(IF(_xlfn.XLOOKUP(B177,Input!J:J,Input!N:S)=0,"",
          _xlfn.XLOOKUP(B177,Input!J:J,Input!N:S)),"")</f>
        <v/>
      </c>
      <c r="V177" s="13" t="str">
        <v/>
      </c>
      <c r="W177" s="13" t="str">
        <v/>
      </c>
      <c r="X177" s="13" t="str">
        <v/>
      </c>
      <c r="Y177" s="13" t="str">
        <v/>
      </c>
      <c r="Z177" s="13" t="str">
        <v/>
      </c>
      <c r="AA177" t="str">
        <f t="shared" si="8"/>
        <v/>
      </c>
      <c r="AB177" t="str">
        <f>_xlfn.XLOOKUP(B:B,Disk_Pivot!G:G,Disk_Pivot!I:I)</f>
        <v>No</v>
      </c>
      <c r="AC177" t="str">
        <f>_xlfn.XLOOKUP(B177,Disk_Pivot!G:G,Disk_Pivot!N:N)</f>
        <v/>
      </c>
    </row>
    <row r="178" spans="6:29">
      <c r="F178" t="str">
        <f>_xlfn.XLOOKUP(H178,Models!B:B,Models!F:F,"")</f>
        <v/>
      </c>
      <c r="K178">
        <f>_xlfn.XLOOKUP(B178,CPU_Formula!A:A,CPU_Formula!I:I)</f>
        <v>0</v>
      </c>
      <c r="L178" s="13" t="e">
        <f>INDEX(Input!$D$2:$AD$500,
       MATCH(B178, Input!$J$2:$J$500, 0),
       MATCH("Memory Capacity", Input!$D$1:$AD$1, 0))</f>
        <v>#N/A</v>
      </c>
      <c r="M178" s="13" t="e">
        <f>INDEX(Input!$D$2:$AD$500,
       MATCH(B178, Input!$J$2:$J$500, 0),
       MATCH("Memory Type", Input!$D$1:$AD$1, 0))</f>
        <v>#N/A</v>
      </c>
      <c r="N178" s="13" t="e">
        <f t="shared" si="7"/>
        <v>#N/A</v>
      </c>
      <c r="S178" s="13" t="str">
        <f>_xlfn.LET(_xlpm.Result,_xlfn.XLOOKUP(B178,Input!J:J,Input!AB:AB),IF(_xlpm.Result="","",_xlpm.Result))</f>
        <v/>
      </c>
      <c r="T178" s="13" t="str" cm="1">
        <f t="array" ref="T178">IFERROR(_xlfn.IFS(
   --S178&lt;55,"Battery Defect",
  -- S178&lt;=69,"Battery D",
  --S178&lt;=80,"Battery C",
 --S178&gt;80,""
),"")</f>
        <v/>
      </c>
      <c r="U178" s="13" t="str" cm="1">
        <f t="array" ref="U178:Z178">IFERROR(IF(_xlfn.XLOOKUP(B178,Input!J:J,Input!N:S)=0,"",
          _xlfn.XLOOKUP(B178,Input!J:J,Input!N:S)),"")</f>
        <v/>
      </c>
      <c r="V178" s="13" t="str">
        <v/>
      </c>
      <c r="W178" s="13" t="str">
        <v/>
      </c>
      <c r="X178" s="13" t="str">
        <v/>
      </c>
      <c r="Y178" s="13" t="str">
        <v/>
      </c>
      <c r="Z178" s="13" t="str">
        <v/>
      </c>
      <c r="AA178" t="str">
        <f t="shared" si="8"/>
        <v/>
      </c>
      <c r="AB178" t="str">
        <f>_xlfn.XLOOKUP(B:B,Disk_Pivot!G:G,Disk_Pivot!I:I)</f>
        <v>No</v>
      </c>
      <c r="AC178" t="str">
        <f>_xlfn.XLOOKUP(B178,Disk_Pivot!G:G,Disk_Pivot!N:N)</f>
        <v/>
      </c>
    </row>
    <row r="179" spans="6:29">
      <c r="F179" t="str">
        <f>_xlfn.XLOOKUP(H179,Models!B:B,Models!F:F,"")</f>
        <v/>
      </c>
      <c r="K179">
        <f>_xlfn.XLOOKUP(B179,CPU_Formula!A:A,CPU_Formula!I:I)</f>
        <v>0</v>
      </c>
      <c r="L179" s="13" t="e">
        <f>INDEX(Input!$D$2:$AD$500,
       MATCH(B179, Input!$J$2:$J$500, 0),
       MATCH("Memory Capacity", Input!$D$1:$AD$1, 0))</f>
        <v>#N/A</v>
      </c>
      <c r="M179" s="13" t="e">
        <f>INDEX(Input!$D$2:$AD$500,
       MATCH(B179, Input!$J$2:$J$500, 0),
       MATCH("Memory Type", Input!$D$1:$AD$1, 0))</f>
        <v>#N/A</v>
      </c>
      <c r="N179" s="13" t="e">
        <f t="shared" si="7"/>
        <v>#N/A</v>
      </c>
      <c r="S179" s="13" t="str">
        <f>_xlfn.LET(_xlpm.Result,_xlfn.XLOOKUP(B179,Input!J:J,Input!AB:AB),IF(_xlpm.Result="","",_xlpm.Result))</f>
        <v/>
      </c>
      <c r="T179" s="13" t="str" cm="1">
        <f t="array" ref="T179">IFERROR(_xlfn.IFS(
   --S179&lt;55,"Battery Defect",
  -- S179&lt;=69,"Battery D",
  --S179&lt;=80,"Battery C",
 --S179&gt;80,""
),"")</f>
        <v/>
      </c>
      <c r="U179" s="13" t="str" cm="1">
        <f t="array" ref="U179:Z179">IFERROR(IF(_xlfn.XLOOKUP(B179,Input!J:J,Input!N:S)=0,"",
          _xlfn.XLOOKUP(B179,Input!J:J,Input!N:S)),"")</f>
        <v/>
      </c>
      <c r="V179" s="13" t="str">
        <v/>
      </c>
      <c r="W179" s="13" t="str">
        <v/>
      </c>
      <c r="X179" s="13" t="str">
        <v/>
      </c>
      <c r="Y179" s="13" t="str">
        <v/>
      </c>
      <c r="Z179" s="13" t="str">
        <v/>
      </c>
      <c r="AA179" t="str">
        <f t="shared" si="8"/>
        <v/>
      </c>
      <c r="AB179" t="str">
        <f>_xlfn.XLOOKUP(B:B,Disk_Pivot!G:G,Disk_Pivot!I:I)</f>
        <v>No</v>
      </c>
      <c r="AC179" t="str">
        <f>_xlfn.XLOOKUP(B179,Disk_Pivot!G:G,Disk_Pivot!N:N)</f>
        <v/>
      </c>
    </row>
    <row r="180" spans="6:29">
      <c r="F180" t="str">
        <f>_xlfn.XLOOKUP(H180,Models!B:B,Models!F:F,"")</f>
        <v/>
      </c>
      <c r="K180">
        <f>_xlfn.XLOOKUP(B180,CPU_Formula!A:A,CPU_Formula!I:I)</f>
        <v>0</v>
      </c>
      <c r="L180" s="13" t="e">
        <f>INDEX(Input!$D$2:$AD$500,
       MATCH(B180, Input!$J$2:$J$500, 0),
       MATCH("Memory Capacity", Input!$D$1:$AD$1, 0))</f>
        <v>#N/A</v>
      </c>
      <c r="M180" s="13" t="e">
        <f>INDEX(Input!$D$2:$AD$500,
       MATCH(B180, Input!$J$2:$J$500, 0),
       MATCH("Memory Type", Input!$D$1:$AD$1, 0))</f>
        <v>#N/A</v>
      </c>
      <c r="N180" s="13" t="e">
        <f t="shared" si="7"/>
        <v>#N/A</v>
      </c>
      <c r="S180" s="13" t="str">
        <f>_xlfn.LET(_xlpm.Result,_xlfn.XLOOKUP(B180,Input!J:J,Input!AB:AB),IF(_xlpm.Result="","",_xlpm.Result))</f>
        <v/>
      </c>
      <c r="T180" s="13" t="str" cm="1">
        <f t="array" ref="T180">IFERROR(_xlfn.IFS(
   --S180&lt;55,"Battery Defect",
  -- S180&lt;=69,"Battery D",
  --S180&lt;=80,"Battery C",
 --S180&gt;80,""
),"")</f>
        <v/>
      </c>
      <c r="U180" s="13" t="str" cm="1">
        <f t="array" ref="U180:Z180">IFERROR(IF(_xlfn.XLOOKUP(B180,Input!J:J,Input!N:S)=0,"",
          _xlfn.XLOOKUP(B180,Input!J:J,Input!N:S)),"")</f>
        <v/>
      </c>
      <c r="V180" s="13" t="str">
        <v/>
      </c>
      <c r="W180" s="13" t="str">
        <v/>
      </c>
      <c r="X180" s="13" t="str">
        <v/>
      </c>
      <c r="Y180" s="13" t="str">
        <v/>
      </c>
      <c r="Z180" s="13" t="str">
        <v/>
      </c>
      <c r="AA180" t="str">
        <f t="shared" si="8"/>
        <v/>
      </c>
      <c r="AB180" t="str">
        <f>_xlfn.XLOOKUP(B:B,Disk_Pivot!G:G,Disk_Pivot!I:I)</f>
        <v>No</v>
      </c>
      <c r="AC180" t="str">
        <f>_xlfn.XLOOKUP(B180,Disk_Pivot!G:G,Disk_Pivot!N:N)</f>
        <v/>
      </c>
    </row>
    <row r="181" spans="6:29">
      <c r="F181" t="str">
        <f>_xlfn.XLOOKUP(H181,Models!B:B,Models!F:F,"")</f>
        <v/>
      </c>
      <c r="K181">
        <f>_xlfn.XLOOKUP(B181,CPU_Formula!A:A,CPU_Formula!I:I)</f>
        <v>0</v>
      </c>
      <c r="L181" s="13" t="e">
        <f>INDEX(Input!$D$2:$AD$500,
       MATCH(B181, Input!$J$2:$J$500, 0),
       MATCH("Memory Capacity", Input!$D$1:$AD$1, 0))</f>
        <v>#N/A</v>
      </c>
      <c r="M181" s="13" t="e">
        <f>INDEX(Input!$D$2:$AD$500,
       MATCH(B181, Input!$J$2:$J$500, 0),
       MATCH("Memory Type", Input!$D$1:$AD$1, 0))</f>
        <v>#N/A</v>
      </c>
      <c r="N181" s="13" t="e">
        <f t="shared" si="7"/>
        <v>#N/A</v>
      </c>
      <c r="S181" s="13" t="str">
        <f>_xlfn.LET(_xlpm.Result,_xlfn.XLOOKUP(B181,Input!J:J,Input!AB:AB),IF(_xlpm.Result="","",_xlpm.Result))</f>
        <v/>
      </c>
      <c r="T181" s="13" t="str" cm="1">
        <f t="array" ref="T181">IFERROR(_xlfn.IFS(
   --S181&lt;55,"Battery Defect",
  -- S181&lt;=69,"Battery D",
  --S181&lt;=80,"Battery C",
 --S181&gt;80,""
),"")</f>
        <v/>
      </c>
      <c r="U181" s="13" t="str" cm="1">
        <f t="array" ref="U181:Z181">IFERROR(IF(_xlfn.XLOOKUP(B181,Input!J:J,Input!N:S)=0,"",
          _xlfn.XLOOKUP(B181,Input!J:J,Input!N:S)),"")</f>
        <v/>
      </c>
      <c r="V181" s="13" t="str">
        <v/>
      </c>
      <c r="W181" s="13" t="str">
        <v/>
      </c>
      <c r="X181" s="13" t="str">
        <v/>
      </c>
      <c r="Y181" s="13" t="str">
        <v/>
      </c>
      <c r="Z181" s="13" t="str">
        <v/>
      </c>
      <c r="AA181" t="str">
        <f t="shared" si="8"/>
        <v/>
      </c>
      <c r="AB181" t="str">
        <f>_xlfn.XLOOKUP(B:B,Disk_Pivot!G:G,Disk_Pivot!I:I)</f>
        <v>No</v>
      </c>
      <c r="AC181" t="str">
        <f>_xlfn.XLOOKUP(B181,Disk_Pivot!G:G,Disk_Pivot!N:N)</f>
        <v/>
      </c>
    </row>
    <row r="182" spans="6:29">
      <c r="F182" t="str">
        <f>_xlfn.XLOOKUP(H182,Models!B:B,Models!F:F,"")</f>
        <v/>
      </c>
      <c r="K182">
        <f>_xlfn.XLOOKUP(B182,CPU_Formula!A:A,CPU_Formula!I:I)</f>
        <v>0</v>
      </c>
      <c r="L182" s="13" t="e">
        <f>INDEX(Input!$D$2:$AD$500,
       MATCH(B182, Input!$J$2:$J$500, 0),
       MATCH("Memory Capacity", Input!$D$1:$AD$1, 0))</f>
        <v>#N/A</v>
      </c>
      <c r="M182" s="13" t="e">
        <f>INDEX(Input!$D$2:$AD$500,
       MATCH(B182, Input!$J$2:$J$500, 0),
       MATCH("Memory Type", Input!$D$1:$AD$1, 0))</f>
        <v>#N/A</v>
      </c>
      <c r="N182" s="13" t="e">
        <f t="shared" si="7"/>
        <v>#N/A</v>
      </c>
      <c r="S182" s="13" t="str">
        <f>_xlfn.LET(_xlpm.Result,_xlfn.XLOOKUP(B182,Input!J:J,Input!AB:AB),IF(_xlpm.Result="","",_xlpm.Result))</f>
        <v/>
      </c>
      <c r="T182" s="13" t="str" cm="1">
        <f t="array" ref="T182">IFERROR(_xlfn.IFS(
   --S182&lt;55,"Battery Defect",
  -- S182&lt;=69,"Battery D",
  --S182&lt;=80,"Battery C",
 --S182&gt;80,""
),"")</f>
        <v/>
      </c>
      <c r="U182" s="13" t="str" cm="1">
        <f t="array" ref="U182:Z182">IFERROR(IF(_xlfn.XLOOKUP(B182,Input!J:J,Input!N:S)=0,"",
          _xlfn.XLOOKUP(B182,Input!J:J,Input!N:S)),"")</f>
        <v/>
      </c>
      <c r="V182" s="13" t="str">
        <v/>
      </c>
      <c r="W182" s="13" t="str">
        <v/>
      </c>
      <c r="X182" s="13" t="str">
        <v/>
      </c>
      <c r="Y182" s="13" t="str">
        <v/>
      </c>
      <c r="Z182" s="13" t="str">
        <v/>
      </c>
      <c r="AA182" t="str">
        <f t="shared" si="8"/>
        <v/>
      </c>
      <c r="AB182" t="str">
        <f>_xlfn.XLOOKUP(B:B,Disk_Pivot!G:G,Disk_Pivot!I:I)</f>
        <v>No</v>
      </c>
      <c r="AC182" t="str">
        <f>_xlfn.XLOOKUP(B182,Disk_Pivot!G:G,Disk_Pivot!N:N)</f>
        <v/>
      </c>
    </row>
    <row r="183" spans="6:29">
      <c r="F183" t="str">
        <f>_xlfn.XLOOKUP(H183,Models!B:B,Models!F:F,"")</f>
        <v/>
      </c>
      <c r="K183">
        <f>_xlfn.XLOOKUP(B183,CPU_Formula!A:A,CPU_Formula!I:I)</f>
        <v>0</v>
      </c>
      <c r="L183" s="13" t="e">
        <f>INDEX(Input!$D$2:$AD$500,
       MATCH(B183, Input!$J$2:$J$500, 0),
       MATCH("Memory Capacity", Input!$D$1:$AD$1, 0))</f>
        <v>#N/A</v>
      </c>
      <c r="M183" s="13" t="e">
        <f>INDEX(Input!$D$2:$AD$500,
       MATCH(B183, Input!$J$2:$J$500, 0),
       MATCH("Memory Type", Input!$D$1:$AD$1, 0))</f>
        <v>#N/A</v>
      </c>
      <c r="N183" s="13" t="e">
        <f t="shared" si="7"/>
        <v>#N/A</v>
      </c>
      <c r="S183" s="13" t="str">
        <f>_xlfn.LET(_xlpm.Result,_xlfn.XLOOKUP(B183,Input!J:J,Input!AB:AB),IF(_xlpm.Result="","",_xlpm.Result))</f>
        <v/>
      </c>
      <c r="T183" s="13" t="str" cm="1">
        <f t="array" ref="T183">IFERROR(_xlfn.IFS(
   --S183&lt;55,"Battery Defect",
  -- S183&lt;=69,"Battery D",
  --S183&lt;=80,"Battery C",
 --S183&gt;80,""
),"")</f>
        <v/>
      </c>
      <c r="U183" s="13" t="str" cm="1">
        <f t="array" ref="U183:Z183">IFERROR(IF(_xlfn.XLOOKUP(B183,Input!J:J,Input!N:S)=0,"",
          _xlfn.XLOOKUP(B183,Input!J:J,Input!N:S)),"")</f>
        <v/>
      </c>
      <c r="V183" s="13" t="str">
        <v/>
      </c>
      <c r="W183" s="13" t="str">
        <v/>
      </c>
      <c r="X183" s="13" t="str">
        <v/>
      </c>
      <c r="Y183" s="13" t="str">
        <v/>
      </c>
      <c r="Z183" s="13" t="str">
        <v/>
      </c>
      <c r="AA183" t="str">
        <f t="shared" si="8"/>
        <v/>
      </c>
      <c r="AB183" t="str">
        <f>_xlfn.XLOOKUP(B:B,Disk_Pivot!G:G,Disk_Pivot!I:I)</f>
        <v>No</v>
      </c>
      <c r="AC183" t="str">
        <f>_xlfn.XLOOKUP(B183,Disk_Pivot!G:G,Disk_Pivot!N:N)</f>
        <v/>
      </c>
    </row>
    <row r="184" spans="6:29">
      <c r="F184" t="str">
        <f>_xlfn.XLOOKUP(H184,Models!B:B,Models!F:F,"")</f>
        <v/>
      </c>
      <c r="K184">
        <f>_xlfn.XLOOKUP(B184,CPU_Formula!A:A,CPU_Formula!I:I)</f>
        <v>0</v>
      </c>
      <c r="L184" s="13" t="e">
        <f>INDEX(Input!$D$2:$AD$500,
       MATCH(B184, Input!$J$2:$J$500, 0),
       MATCH("Memory Capacity", Input!$D$1:$AD$1, 0))</f>
        <v>#N/A</v>
      </c>
      <c r="M184" s="13" t="e">
        <f>INDEX(Input!$D$2:$AD$500,
       MATCH(B184, Input!$J$2:$J$500, 0),
       MATCH("Memory Type", Input!$D$1:$AD$1, 0))</f>
        <v>#N/A</v>
      </c>
      <c r="N184" s="13" t="e">
        <f t="shared" si="7"/>
        <v>#N/A</v>
      </c>
      <c r="S184" s="13" t="str">
        <f>_xlfn.LET(_xlpm.Result,_xlfn.XLOOKUP(B184,Input!J:J,Input!AB:AB),IF(_xlpm.Result="","",_xlpm.Result))</f>
        <v/>
      </c>
      <c r="T184" s="13" t="str" cm="1">
        <f t="array" ref="T184">IFERROR(_xlfn.IFS(
   --S184&lt;55,"Battery Defect",
  -- S184&lt;=69,"Battery D",
  --S184&lt;=80,"Battery C",
 --S184&gt;80,""
),"")</f>
        <v/>
      </c>
      <c r="U184" s="13" t="str" cm="1">
        <f t="array" ref="U184:Z184">IFERROR(IF(_xlfn.XLOOKUP(B184,Input!J:J,Input!N:S)=0,"",
          _xlfn.XLOOKUP(B184,Input!J:J,Input!N:S)),"")</f>
        <v/>
      </c>
      <c r="V184" s="13" t="str">
        <v/>
      </c>
      <c r="W184" s="13" t="str">
        <v/>
      </c>
      <c r="X184" s="13" t="str">
        <v/>
      </c>
      <c r="Y184" s="13" t="str">
        <v/>
      </c>
      <c r="Z184" s="13" t="str">
        <v/>
      </c>
      <c r="AA184" t="str">
        <f t="shared" si="8"/>
        <v/>
      </c>
      <c r="AB184" t="str">
        <f>_xlfn.XLOOKUP(B:B,Disk_Pivot!G:G,Disk_Pivot!I:I)</f>
        <v>No</v>
      </c>
      <c r="AC184" t="str">
        <f>_xlfn.XLOOKUP(B184,Disk_Pivot!G:G,Disk_Pivot!N:N)</f>
        <v/>
      </c>
    </row>
    <row r="185" spans="6:29">
      <c r="F185" t="str">
        <f>_xlfn.XLOOKUP(H185,Models!B:B,Models!F:F,"")</f>
        <v/>
      </c>
      <c r="K185">
        <f>_xlfn.XLOOKUP(B185,CPU_Formula!A:A,CPU_Formula!I:I)</f>
        <v>0</v>
      </c>
      <c r="L185" s="13" t="e">
        <f>INDEX(Input!$D$2:$AD$500,
       MATCH(B185, Input!$J$2:$J$500, 0),
       MATCH("Memory Capacity", Input!$D$1:$AD$1, 0))</f>
        <v>#N/A</v>
      </c>
      <c r="M185" s="13" t="e">
        <f>INDEX(Input!$D$2:$AD$500,
       MATCH(B185, Input!$J$2:$J$500, 0),
       MATCH("Memory Type", Input!$D$1:$AD$1, 0))</f>
        <v>#N/A</v>
      </c>
      <c r="N185" s="13" t="e">
        <f t="shared" si="7"/>
        <v>#N/A</v>
      </c>
      <c r="S185" s="13" t="str">
        <f>_xlfn.LET(_xlpm.Result,_xlfn.XLOOKUP(B185,Input!J:J,Input!AB:AB),IF(_xlpm.Result="","",_xlpm.Result))</f>
        <v/>
      </c>
      <c r="T185" s="13" t="str" cm="1">
        <f t="array" ref="T185">IFERROR(_xlfn.IFS(
   --S185&lt;55,"Battery Defect",
  -- S185&lt;=69,"Battery D",
  --S185&lt;=80,"Battery C",
 --S185&gt;80,""
),"")</f>
        <v/>
      </c>
      <c r="U185" s="13" t="str" cm="1">
        <f t="array" ref="U185:Z185">IFERROR(IF(_xlfn.XLOOKUP(B185,Input!J:J,Input!N:S)=0,"",
          _xlfn.XLOOKUP(B185,Input!J:J,Input!N:S)),"")</f>
        <v/>
      </c>
      <c r="V185" s="13" t="str">
        <v/>
      </c>
      <c r="W185" s="13" t="str">
        <v/>
      </c>
      <c r="X185" s="13" t="str">
        <v/>
      </c>
      <c r="Y185" s="13" t="str">
        <v/>
      </c>
      <c r="Z185" s="13" t="str">
        <v/>
      </c>
      <c r="AA185" t="str">
        <f t="shared" si="8"/>
        <v/>
      </c>
      <c r="AB185" t="str">
        <f>_xlfn.XLOOKUP(B:B,Disk_Pivot!G:G,Disk_Pivot!I:I)</f>
        <v>No</v>
      </c>
      <c r="AC185" t="str">
        <f>_xlfn.XLOOKUP(B185,Disk_Pivot!G:G,Disk_Pivot!N:N)</f>
        <v/>
      </c>
    </row>
    <row r="186" spans="6:29">
      <c r="F186" t="str">
        <f>_xlfn.XLOOKUP(H186,Models!B:B,Models!F:F,"")</f>
        <v/>
      </c>
      <c r="K186">
        <f>_xlfn.XLOOKUP(B186,CPU_Formula!A:A,CPU_Formula!I:I)</f>
        <v>0</v>
      </c>
      <c r="L186" s="13" t="e">
        <f>INDEX(Input!$D$2:$AD$500,
       MATCH(B186, Input!$J$2:$J$500, 0),
       MATCH("Memory Capacity", Input!$D$1:$AD$1, 0))</f>
        <v>#N/A</v>
      </c>
      <c r="M186" s="13" t="e">
        <f>INDEX(Input!$D$2:$AD$500,
       MATCH(B186, Input!$J$2:$J$500, 0),
       MATCH("Memory Type", Input!$D$1:$AD$1, 0))</f>
        <v>#N/A</v>
      </c>
      <c r="N186" s="13" t="e">
        <f t="shared" si="7"/>
        <v>#N/A</v>
      </c>
      <c r="S186" s="13" t="str">
        <f>_xlfn.LET(_xlpm.Result,_xlfn.XLOOKUP(B186,Input!J:J,Input!AB:AB),IF(_xlpm.Result="","",_xlpm.Result))</f>
        <v/>
      </c>
      <c r="T186" s="13" t="str" cm="1">
        <f t="array" ref="T186">IFERROR(_xlfn.IFS(
   --S186&lt;55,"Battery Defect",
  -- S186&lt;=69,"Battery D",
  --S186&lt;=80,"Battery C",
 --S186&gt;80,""
),"")</f>
        <v/>
      </c>
      <c r="U186" s="13" t="str" cm="1">
        <f t="array" ref="U186:Z186">IFERROR(IF(_xlfn.XLOOKUP(B186,Input!J:J,Input!N:S)=0,"",
          _xlfn.XLOOKUP(B186,Input!J:J,Input!N:S)),"")</f>
        <v/>
      </c>
      <c r="V186" s="13" t="str">
        <v/>
      </c>
      <c r="W186" s="13" t="str">
        <v/>
      </c>
      <c r="X186" s="13" t="str">
        <v/>
      </c>
      <c r="Y186" s="13" t="str">
        <v/>
      </c>
      <c r="Z186" s="13" t="str">
        <v/>
      </c>
      <c r="AA186" t="str">
        <f t="shared" si="8"/>
        <v/>
      </c>
      <c r="AB186" t="str">
        <f>_xlfn.XLOOKUP(B:B,Disk_Pivot!G:G,Disk_Pivot!I:I)</f>
        <v>No</v>
      </c>
      <c r="AC186" t="str">
        <f>_xlfn.XLOOKUP(B186,Disk_Pivot!G:G,Disk_Pivot!N:N)</f>
        <v/>
      </c>
    </row>
    <row r="187" spans="6:29">
      <c r="F187" t="str">
        <f>_xlfn.XLOOKUP(H187,Models!B:B,Models!F:F,"")</f>
        <v/>
      </c>
      <c r="K187">
        <f>_xlfn.XLOOKUP(B187,CPU_Formula!A:A,CPU_Formula!I:I)</f>
        <v>0</v>
      </c>
      <c r="L187" s="13" t="e">
        <f>INDEX(Input!$D$2:$AD$500,
       MATCH(B187, Input!$J$2:$J$500, 0),
       MATCH("Memory Capacity", Input!$D$1:$AD$1, 0))</f>
        <v>#N/A</v>
      </c>
      <c r="M187" s="13" t="e">
        <f>INDEX(Input!$D$2:$AD$500,
       MATCH(B187, Input!$J$2:$J$500, 0),
       MATCH("Memory Type", Input!$D$1:$AD$1, 0))</f>
        <v>#N/A</v>
      </c>
      <c r="N187" s="13" t="e">
        <f t="shared" si="7"/>
        <v>#N/A</v>
      </c>
      <c r="S187" s="13" t="str">
        <f>_xlfn.LET(_xlpm.Result,_xlfn.XLOOKUP(B187,Input!J:J,Input!AB:AB),IF(_xlpm.Result="","",_xlpm.Result))</f>
        <v/>
      </c>
      <c r="T187" s="13" t="str" cm="1">
        <f t="array" ref="T187">IFERROR(_xlfn.IFS(
   --S187&lt;55,"Battery Defect",
  -- S187&lt;=69,"Battery D",
  --S187&lt;=80,"Battery C",
 --S187&gt;80,""
),"")</f>
        <v/>
      </c>
      <c r="U187" s="13" t="str" cm="1">
        <f t="array" ref="U187:Z187">IFERROR(IF(_xlfn.XLOOKUP(B187,Input!J:J,Input!N:S)=0,"",
          _xlfn.XLOOKUP(B187,Input!J:J,Input!N:S)),"")</f>
        <v/>
      </c>
      <c r="V187" s="13" t="str">
        <v/>
      </c>
      <c r="W187" s="13" t="str">
        <v/>
      </c>
      <c r="X187" s="13" t="str">
        <v/>
      </c>
      <c r="Y187" s="13" t="str">
        <v/>
      </c>
      <c r="Z187" s="13" t="str">
        <v/>
      </c>
      <c r="AA187" t="str">
        <f t="shared" si="8"/>
        <v/>
      </c>
      <c r="AB187" t="str">
        <f>_xlfn.XLOOKUP(B:B,Disk_Pivot!G:G,Disk_Pivot!I:I)</f>
        <v>No</v>
      </c>
      <c r="AC187" t="str">
        <f>_xlfn.XLOOKUP(B187,Disk_Pivot!G:G,Disk_Pivot!N:N)</f>
        <v/>
      </c>
    </row>
    <row r="188" spans="6:29">
      <c r="F188" t="str">
        <f>_xlfn.XLOOKUP(H188,Models!B:B,Models!F:F,"")</f>
        <v/>
      </c>
      <c r="K188">
        <f>_xlfn.XLOOKUP(B188,CPU_Formula!A:A,CPU_Formula!I:I)</f>
        <v>0</v>
      </c>
      <c r="L188" s="13" t="e">
        <f>INDEX(Input!$D$2:$AD$500,
       MATCH(B188, Input!$J$2:$J$500, 0),
       MATCH("Memory Capacity", Input!$D$1:$AD$1, 0))</f>
        <v>#N/A</v>
      </c>
      <c r="M188" s="13" t="e">
        <f>INDEX(Input!$D$2:$AD$500,
       MATCH(B188, Input!$J$2:$J$500, 0),
       MATCH("Memory Type", Input!$D$1:$AD$1, 0))</f>
        <v>#N/A</v>
      </c>
      <c r="N188" s="13" t="e">
        <f t="shared" si="7"/>
        <v>#N/A</v>
      </c>
      <c r="S188" s="13" t="str">
        <f>_xlfn.LET(_xlpm.Result,_xlfn.XLOOKUP(B188,Input!J:J,Input!AB:AB),IF(_xlpm.Result="","",_xlpm.Result))</f>
        <v/>
      </c>
      <c r="T188" s="13" t="str" cm="1">
        <f t="array" ref="T188">IFERROR(_xlfn.IFS(
   --S188&lt;55,"Battery Defect",
  -- S188&lt;=69,"Battery D",
  --S188&lt;=80,"Battery C",
 --S188&gt;80,""
),"")</f>
        <v/>
      </c>
      <c r="U188" s="13" t="str" cm="1">
        <f t="array" ref="U188:Z188">IFERROR(IF(_xlfn.XLOOKUP(B188,Input!J:J,Input!N:S)=0,"",
          _xlfn.XLOOKUP(B188,Input!J:J,Input!N:S)),"")</f>
        <v/>
      </c>
      <c r="V188" s="13" t="str">
        <v/>
      </c>
      <c r="W188" s="13" t="str">
        <v/>
      </c>
      <c r="X188" s="13" t="str">
        <v/>
      </c>
      <c r="Y188" s="13" t="str">
        <v/>
      </c>
      <c r="Z188" s="13" t="str">
        <v/>
      </c>
      <c r="AA188" t="str">
        <f t="shared" si="8"/>
        <v/>
      </c>
      <c r="AB188" t="str">
        <f>_xlfn.XLOOKUP(B:B,Disk_Pivot!G:G,Disk_Pivot!I:I)</f>
        <v>No</v>
      </c>
      <c r="AC188" t="str">
        <f>_xlfn.XLOOKUP(B188,Disk_Pivot!G:G,Disk_Pivot!N:N)</f>
        <v/>
      </c>
    </row>
    <row r="189" spans="6:29">
      <c r="F189" t="str">
        <f>_xlfn.XLOOKUP(H189,Models!B:B,Models!F:F,"")</f>
        <v/>
      </c>
      <c r="K189">
        <f>_xlfn.XLOOKUP(B189,CPU_Formula!A:A,CPU_Formula!I:I)</f>
        <v>0</v>
      </c>
      <c r="L189" s="13" t="e">
        <f>INDEX(Input!$D$2:$AD$500,
       MATCH(B189, Input!$J$2:$J$500, 0),
       MATCH("Memory Capacity", Input!$D$1:$AD$1, 0))</f>
        <v>#N/A</v>
      </c>
      <c r="M189" s="13" t="e">
        <f>INDEX(Input!$D$2:$AD$500,
       MATCH(B189, Input!$J$2:$J$500, 0),
       MATCH("Memory Type", Input!$D$1:$AD$1, 0))</f>
        <v>#N/A</v>
      </c>
      <c r="N189" s="13" t="e">
        <f t="shared" si="7"/>
        <v>#N/A</v>
      </c>
      <c r="S189" s="13" t="str">
        <f>_xlfn.LET(_xlpm.Result,_xlfn.XLOOKUP(B189,Input!J:J,Input!AB:AB),IF(_xlpm.Result="","",_xlpm.Result))</f>
        <v/>
      </c>
      <c r="T189" s="13" t="str" cm="1">
        <f t="array" ref="T189">IFERROR(_xlfn.IFS(
   --S189&lt;55,"Battery Defect",
  -- S189&lt;=69,"Battery D",
  --S189&lt;=80,"Battery C",
 --S189&gt;80,""
),"")</f>
        <v/>
      </c>
      <c r="U189" s="13" t="str" cm="1">
        <f t="array" ref="U189:Z189">IFERROR(IF(_xlfn.XLOOKUP(B189,Input!J:J,Input!N:S)=0,"",
          _xlfn.XLOOKUP(B189,Input!J:J,Input!N:S)),"")</f>
        <v/>
      </c>
      <c r="V189" s="13" t="str">
        <v/>
      </c>
      <c r="W189" s="13" t="str">
        <v/>
      </c>
      <c r="X189" s="13" t="str">
        <v/>
      </c>
      <c r="Y189" s="13" t="str">
        <v/>
      </c>
      <c r="Z189" s="13" t="str">
        <v/>
      </c>
      <c r="AA189" t="str">
        <f t="shared" si="8"/>
        <v/>
      </c>
      <c r="AB189" t="str">
        <f>_xlfn.XLOOKUP(B:B,Disk_Pivot!G:G,Disk_Pivot!I:I)</f>
        <v>No</v>
      </c>
      <c r="AC189" t="str">
        <f>_xlfn.XLOOKUP(B189,Disk_Pivot!G:G,Disk_Pivot!N:N)</f>
        <v/>
      </c>
    </row>
    <row r="190" spans="6:29">
      <c r="F190" t="str">
        <f>_xlfn.XLOOKUP(H190,Models!B:B,Models!F:F,"")</f>
        <v/>
      </c>
      <c r="K190">
        <f>_xlfn.XLOOKUP(B190,CPU_Formula!A:A,CPU_Formula!I:I)</f>
        <v>0</v>
      </c>
      <c r="L190" s="13" t="e">
        <f>INDEX(Input!$D$2:$AD$500,
       MATCH(B190, Input!$J$2:$J$500, 0),
       MATCH("Memory Capacity", Input!$D$1:$AD$1, 0))</f>
        <v>#N/A</v>
      </c>
      <c r="M190" s="13" t="e">
        <f>INDEX(Input!$D$2:$AD$500,
       MATCH(B190, Input!$J$2:$J$500, 0),
       MATCH("Memory Type", Input!$D$1:$AD$1, 0))</f>
        <v>#N/A</v>
      </c>
      <c r="N190" s="13" t="e">
        <f t="shared" si="7"/>
        <v>#N/A</v>
      </c>
      <c r="S190" s="13" t="str">
        <f>_xlfn.LET(_xlpm.Result,_xlfn.XLOOKUP(B190,Input!J:J,Input!AB:AB),IF(_xlpm.Result="","",_xlpm.Result))</f>
        <v/>
      </c>
      <c r="T190" s="13" t="str" cm="1">
        <f t="array" ref="T190">IFERROR(_xlfn.IFS(
   --S190&lt;55,"Battery Defect",
  -- S190&lt;=69,"Battery D",
  --S190&lt;=80,"Battery C",
 --S190&gt;80,""
),"")</f>
        <v/>
      </c>
      <c r="U190" s="13" t="str" cm="1">
        <f t="array" ref="U190:Z190">IFERROR(IF(_xlfn.XLOOKUP(B190,Input!J:J,Input!N:S)=0,"",
          _xlfn.XLOOKUP(B190,Input!J:J,Input!N:S)),"")</f>
        <v/>
      </c>
      <c r="V190" s="13" t="str">
        <v/>
      </c>
      <c r="W190" s="13" t="str">
        <v/>
      </c>
      <c r="X190" s="13" t="str">
        <v/>
      </c>
      <c r="Y190" s="13" t="str">
        <v/>
      </c>
      <c r="Z190" s="13" t="str">
        <v/>
      </c>
      <c r="AA190" t="str">
        <f t="shared" si="8"/>
        <v/>
      </c>
      <c r="AB190" t="str">
        <f>_xlfn.XLOOKUP(B:B,Disk_Pivot!G:G,Disk_Pivot!I:I)</f>
        <v>No</v>
      </c>
      <c r="AC190" t="str">
        <f>_xlfn.XLOOKUP(B190,Disk_Pivot!G:G,Disk_Pivot!N:N)</f>
        <v/>
      </c>
    </row>
    <row r="191" spans="6:29">
      <c r="F191" t="str">
        <f>_xlfn.XLOOKUP(H191,Models!B:B,Models!F:F,"")</f>
        <v/>
      </c>
      <c r="K191">
        <f>_xlfn.XLOOKUP(B191,CPU_Formula!A:A,CPU_Formula!I:I)</f>
        <v>0</v>
      </c>
      <c r="L191" s="13" t="e">
        <f>INDEX(Input!$D$2:$AD$500,
       MATCH(B191, Input!$J$2:$J$500, 0),
       MATCH("Memory Capacity", Input!$D$1:$AD$1, 0))</f>
        <v>#N/A</v>
      </c>
      <c r="M191" s="13" t="e">
        <f>INDEX(Input!$D$2:$AD$500,
       MATCH(B191, Input!$J$2:$J$500, 0),
       MATCH("Memory Type", Input!$D$1:$AD$1, 0))</f>
        <v>#N/A</v>
      </c>
      <c r="N191" s="13" t="e">
        <f t="shared" si="7"/>
        <v>#N/A</v>
      </c>
      <c r="S191" s="13" t="str">
        <f>_xlfn.LET(_xlpm.Result,_xlfn.XLOOKUP(B191,Input!J:J,Input!AB:AB),IF(_xlpm.Result="","",_xlpm.Result))</f>
        <v/>
      </c>
      <c r="T191" s="13" t="str" cm="1">
        <f t="array" ref="T191">IFERROR(_xlfn.IFS(
   --S191&lt;55,"Battery Defect",
  -- S191&lt;=69,"Battery D",
  --S191&lt;=80,"Battery C",
 --S191&gt;80,""
),"")</f>
        <v/>
      </c>
      <c r="U191" s="13" t="str" cm="1">
        <f t="array" ref="U191:Z191">IFERROR(IF(_xlfn.XLOOKUP(B191,Input!J:J,Input!N:S)=0,"",
          _xlfn.XLOOKUP(B191,Input!J:J,Input!N:S)),"")</f>
        <v/>
      </c>
      <c r="V191" s="13" t="str">
        <v/>
      </c>
      <c r="W191" s="13" t="str">
        <v/>
      </c>
      <c r="X191" s="13" t="str">
        <v/>
      </c>
      <c r="Y191" s="13" t="str">
        <v/>
      </c>
      <c r="Z191" s="13" t="str">
        <v/>
      </c>
      <c r="AA191" t="str">
        <f t="shared" si="8"/>
        <v/>
      </c>
      <c r="AB191" t="str">
        <f>_xlfn.XLOOKUP(B:B,Disk_Pivot!G:G,Disk_Pivot!I:I)</f>
        <v>No</v>
      </c>
      <c r="AC191" t="str">
        <f>_xlfn.XLOOKUP(B191,Disk_Pivot!G:G,Disk_Pivot!N:N)</f>
        <v/>
      </c>
    </row>
    <row r="192" spans="6:29">
      <c r="F192" t="str">
        <f>_xlfn.XLOOKUP(H192,Models!B:B,Models!F:F,"")</f>
        <v/>
      </c>
      <c r="K192">
        <f>_xlfn.XLOOKUP(B192,CPU_Formula!A:A,CPU_Formula!I:I)</f>
        <v>0</v>
      </c>
      <c r="L192" s="13" t="e">
        <f>INDEX(Input!$D$2:$AD$500,
       MATCH(B192, Input!$J$2:$J$500, 0),
       MATCH("Memory Capacity", Input!$D$1:$AD$1, 0))</f>
        <v>#N/A</v>
      </c>
      <c r="M192" s="13" t="e">
        <f>INDEX(Input!$D$2:$AD$500,
       MATCH(B192, Input!$J$2:$J$500, 0),
       MATCH("Memory Type", Input!$D$1:$AD$1, 0))</f>
        <v>#N/A</v>
      </c>
      <c r="N192" s="13" t="e">
        <f t="shared" si="7"/>
        <v>#N/A</v>
      </c>
      <c r="S192" s="13" t="str">
        <f>_xlfn.LET(_xlpm.Result,_xlfn.XLOOKUP(B192,Input!J:J,Input!AB:AB),IF(_xlpm.Result="","",_xlpm.Result))</f>
        <v/>
      </c>
      <c r="T192" s="13" t="str" cm="1">
        <f t="array" ref="T192">IFERROR(_xlfn.IFS(
   --S192&lt;55,"Battery Defect",
  -- S192&lt;=69,"Battery D",
  --S192&lt;=80,"Battery C",
 --S192&gt;80,""
),"")</f>
        <v/>
      </c>
      <c r="U192" s="13" t="str" cm="1">
        <f t="array" ref="U192:Z192">IFERROR(IF(_xlfn.XLOOKUP(B192,Input!J:J,Input!N:S)=0,"",
          _xlfn.XLOOKUP(B192,Input!J:J,Input!N:S)),"")</f>
        <v/>
      </c>
      <c r="V192" s="13" t="str">
        <v/>
      </c>
      <c r="W192" s="13" t="str">
        <v/>
      </c>
      <c r="X192" s="13" t="str">
        <v/>
      </c>
      <c r="Y192" s="13" t="str">
        <v/>
      </c>
      <c r="Z192" s="13" t="str">
        <v/>
      </c>
      <c r="AA192" t="str">
        <f t="shared" si="8"/>
        <v/>
      </c>
      <c r="AB192" t="str">
        <f>_xlfn.XLOOKUP(B:B,Disk_Pivot!G:G,Disk_Pivot!I:I)</f>
        <v>No</v>
      </c>
      <c r="AC192" t="str">
        <f>_xlfn.XLOOKUP(B192,Disk_Pivot!G:G,Disk_Pivot!N:N)</f>
        <v/>
      </c>
    </row>
    <row r="193" spans="6:29">
      <c r="F193" t="str">
        <f>_xlfn.XLOOKUP(H193,Models!B:B,Models!F:F,"")</f>
        <v/>
      </c>
      <c r="K193">
        <f>_xlfn.XLOOKUP(B193,CPU_Formula!A:A,CPU_Formula!I:I)</f>
        <v>0</v>
      </c>
      <c r="L193" s="13" t="e">
        <f>INDEX(Input!$D$2:$AD$500,
       MATCH(B193, Input!$J$2:$J$500, 0),
       MATCH("Memory Capacity", Input!$D$1:$AD$1, 0))</f>
        <v>#N/A</v>
      </c>
      <c r="M193" s="13" t="e">
        <f>INDEX(Input!$D$2:$AD$500,
       MATCH(B193, Input!$J$2:$J$500, 0),
       MATCH("Memory Type", Input!$D$1:$AD$1, 0))</f>
        <v>#N/A</v>
      </c>
      <c r="N193" s="13" t="e">
        <f t="shared" si="7"/>
        <v>#N/A</v>
      </c>
      <c r="S193" s="13" t="str">
        <f>_xlfn.LET(_xlpm.Result,_xlfn.XLOOKUP(B193,Input!J:J,Input!AB:AB),IF(_xlpm.Result="","",_xlpm.Result))</f>
        <v/>
      </c>
      <c r="T193" s="13" t="str" cm="1">
        <f t="array" ref="T193">IFERROR(_xlfn.IFS(
   --S193&lt;55,"Battery Defect",
  -- S193&lt;=69,"Battery D",
  --S193&lt;=80,"Battery C",
 --S193&gt;80,""
),"")</f>
        <v/>
      </c>
      <c r="U193" s="13" t="str" cm="1">
        <f t="array" ref="U193:Z193">IFERROR(IF(_xlfn.XLOOKUP(B193,Input!J:J,Input!N:S)=0,"",
          _xlfn.XLOOKUP(B193,Input!J:J,Input!N:S)),"")</f>
        <v/>
      </c>
      <c r="V193" s="13" t="str">
        <v/>
      </c>
      <c r="W193" s="13" t="str">
        <v/>
      </c>
      <c r="X193" s="13" t="str">
        <v/>
      </c>
      <c r="Y193" s="13" t="str">
        <v/>
      </c>
      <c r="Z193" s="13" t="str">
        <v/>
      </c>
      <c r="AA193" t="str">
        <f t="shared" si="8"/>
        <v/>
      </c>
      <c r="AB193" t="str">
        <f>_xlfn.XLOOKUP(B:B,Disk_Pivot!G:G,Disk_Pivot!I:I)</f>
        <v>No</v>
      </c>
      <c r="AC193" t="str">
        <f>_xlfn.XLOOKUP(B193,Disk_Pivot!G:G,Disk_Pivot!N:N)</f>
        <v/>
      </c>
    </row>
    <row r="194" spans="6:29">
      <c r="F194" t="str">
        <f>_xlfn.XLOOKUP(H194,Models!B:B,Models!F:F,"")</f>
        <v/>
      </c>
      <c r="K194">
        <f>_xlfn.XLOOKUP(B194,CPU_Formula!A:A,CPU_Formula!I:I)</f>
        <v>0</v>
      </c>
      <c r="L194" s="13" t="e">
        <f>INDEX(Input!$D$2:$AD$500,
       MATCH(B194, Input!$J$2:$J$500, 0),
       MATCH("Memory Capacity", Input!$D$1:$AD$1, 0))</f>
        <v>#N/A</v>
      </c>
      <c r="M194" s="13" t="e">
        <f>INDEX(Input!$D$2:$AD$500,
       MATCH(B194, Input!$J$2:$J$500, 0),
       MATCH("Memory Type", Input!$D$1:$AD$1, 0))</f>
        <v>#N/A</v>
      </c>
      <c r="N194" s="13" t="e">
        <f t="shared" si="7"/>
        <v>#N/A</v>
      </c>
      <c r="S194" s="13" t="str">
        <f>_xlfn.LET(_xlpm.Result,_xlfn.XLOOKUP(B194,Input!J:J,Input!AB:AB),IF(_xlpm.Result="","",_xlpm.Result))</f>
        <v/>
      </c>
      <c r="T194" s="13" t="str" cm="1">
        <f t="array" ref="T194">IFERROR(_xlfn.IFS(
   --S194&lt;55,"Battery Defect",
  -- S194&lt;=69,"Battery D",
  --S194&lt;=80,"Battery C",
 --S194&gt;80,""
),"")</f>
        <v/>
      </c>
      <c r="U194" s="13" t="str" cm="1">
        <f t="array" ref="U194:Z194">IFERROR(IF(_xlfn.XLOOKUP(B194,Input!J:J,Input!N:S)=0,"",
          _xlfn.XLOOKUP(B194,Input!J:J,Input!N:S)),"")</f>
        <v/>
      </c>
      <c r="V194" s="13" t="str">
        <v/>
      </c>
      <c r="W194" s="13" t="str">
        <v/>
      </c>
      <c r="X194" s="13" t="str">
        <v/>
      </c>
      <c r="Y194" s="13" t="str">
        <v/>
      </c>
      <c r="Z194" s="13" t="str">
        <v/>
      </c>
      <c r="AA194" t="str">
        <f t="shared" si="8"/>
        <v/>
      </c>
      <c r="AB194" t="str">
        <f>_xlfn.XLOOKUP(B:B,Disk_Pivot!G:G,Disk_Pivot!I:I)</f>
        <v>No</v>
      </c>
      <c r="AC194" t="str">
        <f>_xlfn.XLOOKUP(B194,Disk_Pivot!G:G,Disk_Pivot!N:N)</f>
        <v/>
      </c>
    </row>
    <row r="195" spans="6:29">
      <c r="F195" t="str">
        <f>_xlfn.XLOOKUP(H195,Models!B:B,Models!F:F,"")</f>
        <v/>
      </c>
      <c r="K195">
        <f>_xlfn.XLOOKUP(B195,CPU_Formula!A:A,CPU_Formula!I:I)</f>
        <v>0</v>
      </c>
      <c r="L195" s="13" t="e">
        <f>INDEX(Input!$D$2:$AD$500,
       MATCH(B195, Input!$J$2:$J$500, 0),
       MATCH("Memory Capacity", Input!$D$1:$AD$1, 0))</f>
        <v>#N/A</v>
      </c>
      <c r="M195" s="13" t="e">
        <f>INDEX(Input!$D$2:$AD$500,
       MATCH(B195, Input!$J$2:$J$500, 0),
       MATCH("Memory Type", Input!$D$1:$AD$1, 0))</f>
        <v>#N/A</v>
      </c>
      <c r="N195" s="13" t="e">
        <f t="shared" ref="N195:N254" si="9">IF(ISNUMBER(L195), L195, SUBSTITUTE(SUBSTITUTE(SUBSTITUTE(L195,"GiB","")," ",""),"/","+"))</f>
        <v>#N/A</v>
      </c>
      <c r="S195" s="13" t="str">
        <f>_xlfn.LET(_xlpm.Result,_xlfn.XLOOKUP(B195,Input!J:J,Input!AB:AB),IF(_xlpm.Result="","",_xlpm.Result))</f>
        <v/>
      </c>
      <c r="T195" s="13" t="str" cm="1">
        <f t="array" ref="T195">IFERROR(_xlfn.IFS(
   --S195&lt;55,"Battery Defect",
  -- S195&lt;=69,"Battery D",
  --S195&lt;=80,"Battery C",
 --S195&gt;80,""
),"")</f>
        <v/>
      </c>
      <c r="U195" s="13" t="str" cm="1">
        <f t="array" ref="U195:Z195">IFERROR(IF(_xlfn.XLOOKUP(B195,Input!J:J,Input!N:S)=0,"",
          _xlfn.XLOOKUP(B195,Input!J:J,Input!N:S)),"")</f>
        <v/>
      </c>
      <c r="V195" s="13" t="str">
        <v/>
      </c>
      <c r="W195" s="13" t="str">
        <v/>
      </c>
      <c r="X195" s="13" t="str">
        <v/>
      </c>
      <c r="Y195" s="13" t="str">
        <v/>
      </c>
      <c r="Z195" s="13" t="str">
        <v/>
      </c>
      <c r="AA195" t="str">
        <f t="shared" ref="AA195:AA256" si="10">_xlfn.TEXTJOIN(", ",TRUE,T195,U195,V195,W195,X195,Y195,Z195)</f>
        <v/>
      </c>
      <c r="AB195" t="str">
        <f>_xlfn.XLOOKUP(B:B,Disk_Pivot!G:G,Disk_Pivot!I:I)</f>
        <v>No</v>
      </c>
      <c r="AC195" t="str">
        <f>_xlfn.XLOOKUP(B195,Disk_Pivot!G:G,Disk_Pivot!N:N)</f>
        <v/>
      </c>
    </row>
    <row r="196" spans="6:29">
      <c r="F196" t="str">
        <f>_xlfn.XLOOKUP(H196,Models!B:B,Models!F:F,"")</f>
        <v/>
      </c>
      <c r="K196">
        <f>_xlfn.XLOOKUP(B196,CPU_Formula!A:A,CPU_Formula!I:I)</f>
        <v>0</v>
      </c>
      <c r="L196" s="13" t="e">
        <f>INDEX(Input!$D$2:$AD$500,
       MATCH(B196, Input!$J$2:$J$500, 0),
       MATCH("Memory Capacity", Input!$D$1:$AD$1, 0))</f>
        <v>#N/A</v>
      </c>
      <c r="M196" s="13" t="e">
        <f>INDEX(Input!$D$2:$AD$500,
       MATCH(B196, Input!$J$2:$J$500, 0),
       MATCH("Memory Type", Input!$D$1:$AD$1, 0))</f>
        <v>#N/A</v>
      </c>
      <c r="N196" s="13" t="e">
        <f t="shared" si="9"/>
        <v>#N/A</v>
      </c>
      <c r="S196" s="13" t="str">
        <f>_xlfn.LET(_xlpm.Result,_xlfn.XLOOKUP(B196,Input!J:J,Input!AB:AB),IF(_xlpm.Result="","",_xlpm.Result))</f>
        <v/>
      </c>
      <c r="T196" s="13" t="str" cm="1">
        <f t="array" ref="T196">IFERROR(_xlfn.IFS(
   --S196&lt;55,"Battery Defect",
  -- S196&lt;=69,"Battery D",
  --S196&lt;=80,"Battery C",
 --S196&gt;80,""
),"")</f>
        <v/>
      </c>
      <c r="U196" s="13" t="str" cm="1">
        <f t="array" ref="U196:Z196">IFERROR(IF(_xlfn.XLOOKUP(B196,Input!J:J,Input!N:S)=0,"",
          _xlfn.XLOOKUP(B196,Input!J:J,Input!N:S)),"")</f>
        <v/>
      </c>
      <c r="V196" s="13" t="str">
        <v/>
      </c>
      <c r="W196" s="13" t="str">
        <v/>
      </c>
      <c r="X196" s="13" t="str">
        <v/>
      </c>
      <c r="Y196" s="13" t="str">
        <v/>
      </c>
      <c r="Z196" s="13" t="str">
        <v/>
      </c>
      <c r="AA196" t="str">
        <f t="shared" si="10"/>
        <v/>
      </c>
      <c r="AB196" t="str">
        <f>_xlfn.XLOOKUP(B:B,Disk_Pivot!G:G,Disk_Pivot!I:I)</f>
        <v>No</v>
      </c>
      <c r="AC196" t="str">
        <f>_xlfn.XLOOKUP(B196,Disk_Pivot!G:G,Disk_Pivot!N:N)</f>
        <v/>
      </c>
    </row>
    <row r="197" spans="6:29">
      <c r="F197" t="str">
        <f>_xlfn.XLOOKUP(H197,Models!B:B,Models!F:F,"")</f>
        <v/>
      </c>
      <c r="K197">
        <f>_xlfn.XLOOKUP(B197,CPU_Formula!A:A,CPU_Formula!I:I)</f>
        <v>0</v>
      </c>
      <c r="L197" s="13" t="e">
        <f>INDEX(Input!$D$2:$AD$500,
       MATCH(B197, Input!$J$2:$J$500, 0),
       MATCH("Memory Capacity", Input!$D$1:$AD$1, 0))</f>
        <v>#N/A</v>
      </c>
      <c r="M197" s="13" t="e">
        <f>INDEX(Input!$D$2:$AD$500,
       MATCH(B197, Input!$J$2:$J$500, 0),
       MATCH("Memory Type", Input!$D$1:$AD$1, 0))</f>
        <v>#N/A</v>
      </c>
      <c r="N197" s="13" t="e">
        <f t="shared" si="9"/>
        <v>#N/A</v>
      </c>
      <c r="S197" s="13" t="str">
        <f>_xlfn.LET(_xlpm.Result,_xlfn.XLOOKUP(B197,Input!J:J,Input!AB:AB),IF(_xlpm.Result="","",_xlpm.Result))</f>
        <v/>
      </c>
      <c r="T197" s="13" t="str" cm="1">
        <f t="array" ref="T197">IFERROR(_xlfn.IFS(
   --S197&lt;55,"Battery Defect",
  -- S197&lt;=69,"Battery D",
  --S197&lt;=80,"Battery C",
 --S197&gt;80,""
),"")</f>
        <v/>
      </c>
      <c r="U197" s="13" t="str" cm="1">
        <f t="array" ref="U197:Z197">IFERROR(IF(_xlfn.XLOOKUP(B197,Input!J:J,Input!N:S)=0,"",
          _xlfn.XLOOKUP(B197,Input!J:J,Input!N:S)),"")</f>
        <v/>
      </c>
      <c r="V197" s="13" t="str">
        <v/>
      </c>
      <c r="W197" s="13" t="str">
        <v/>
      </c>
      <c r="X197" s="13" t="str">
        <v/>
      </c>
      <c r="Y197" s="13" t="str">
        <v/>
      </c>
      <c r="Z197" s="13" t="str">
        <v/>
      </c>
      <c r="AA197" t="str">
        <f t="shared" si="10"/>
        <v/>
      </c>
      <c r="AB197" t="str">
        <f>_xlfn.XLOOKUP(B:B,Disk_Pivot!G:G,Disk_Pivot!I:I)</f>
        <v>No</v>
      </c>
      <c r="AC197" t="str">
        <f>_xlfn.XLOOKUP(B197,Disk_Pivot!G:G,Disk_Pivot!N:N)</f>
        <v/>
      </c>
    </row>
    <row r="198" spans="6:29">
      <c r="F198" t="str">
        <f>_xlfn.XLOOKUP(H198,Models!B:B,Models!F:F,"")</f>
        <v/>
      </c>
      <c r="K198">
        <f>_xlfn.XLOOKUP(B198,CPU_Formula!A:A,CPU_Formula!I:I)</f>
        <v>0</v>
      </c>
      <c r="L198" s="13" t="e">
        <f>INDEX(Input!$D$2:$AD$500,
       MATCH(B198, Input!$J$2:$J$500, 0),
       MATCH("Memory Capacity", Input!$D$1:$AD$1, 0))</f>
        <v>#N/A</v>
      </c>
      <c r="M198" s="13" t="e">
        <f>INDEX(Input!$D$2:$AD$500,
       MATCH(B198, Input!$J$2:$J$500, 0),
       MATCH("Memory Type", Input!$D$1:$AD$1, 0))</f>
        <v>#N/A</v>
      </c>
      <c r="N198" s="13" t="e">
        <f t="shared" si="9"/>
        <v>#N/A</v>
      </c>
      <c r="S198" s="13" t="str">
        <f>_xlfn.LET(_xlpm.Result,_xlfn.XLOOKUP(B198,Input!J:J,Input!AB:AB),IF(_xlpm.Result="","",_xlpm.Result))</f>
        <v/>
      </c>
      <c r="T198" s="13" t="str" cm="1">
        <f t="array" ref="T198">IFERROR(_xlfn.IFS(
   --S198&lt;55,"Battery Defect",
  -- S198&lt;=69,"Battery D",
  --S198&lt;=80,"Battery C",
 --S198&gt;80,""
),"")</f>
        <v/>
      </c>
      <c r="U198" s="13" t="str" cm="1">
        <f t="array" ref="U198:Z198">IFERROR(IF(_xlfn.XLOOKUP(B198,Input!J:J,Input!N:S)=0,"",
          _xlfn.XLOOKUP(B198,Input!J:J,Input!N:S)),"")</f>
        <v/>
      </c>
      <c r="V198" s="13" t="str">
        <v/>
      </c>
      <c r="W198" s="13" t="str">
        <v/>
      </c>
      <c r="X198" s="13" t="str">
        <v/>
      </c>
      <c r="Y198" s="13" t="str">
        <v/>
      </c>
      <c r="Z198" s="13" t="str">
        <v/>
      </c>
      <c r="AA198" t="str">
        <f t="shared" si="10"/>
        <v/>
      </c>
      <c r="AB198" t="str">
        <f>_xlfn.XLOOKUP(B:B,Disk_Pivot!G:G,Disk_Pivot!I:I)</f>
        <v>No</v>
      </c>
      <c r="AC198" t="str">
        <f>_xlfn.XLOOKUP(B198,Disk_Pivot!G:G,Disk_Pivot!N:N)</f>
        <v/>
      </c>
    </row>
    <row r="199" spans="6:29">
      <c r="F199" t="str">
        <f>_xlfn.XLOOKUP(H199,Models!B:B,Models!F:F,"")</f>
        <v/>
      </c>
      <c r="K199">
        <f>_xlfn.XLOOKUP(B199,CPU_Formula!A:A,CPU_Formula!I:I)</f>
        <v>0</v>
      </c>
      <c r="L199" s="13" t="e">
        <f>INDEX(Input!$D$2:$AD$500,
       MATCH(B199, Input!$J$2:$J$500, 0),
       MATCH("Memory Capacity", Input!$D$1:$AD$1, 0))</f>
        <v>#N/A</v>
      </c>
      <c r="M199" s="13" t="e">
        <f>INDEX(Input!$D$2:$AD$500,
       MATCH(B199, Input!$J$2:$J$500, 0),
       MATCH("Memory Type", Input!$D$1:$AD$1, 0))</f>
        <v>#N/A</v>
      </c>
      <c r="N199" s="13" t="e">
        <f t="shared" si="9"/>
        <v>#N/A</v>
      </c>
      <c r="S199" s="13" t="str">
        <f>_xlfn.LET(_xlpm.Result,_xlfn.XLOOKUP(B199,Input!J:J,Input!AB:AB),IF(_xlpm.Result="","",_xlpm.Result))</f>
        <v/>
      </c>
      <c r="T199" s="13" t="str" cm="1">
        <f t="array" ref="T199">IFERROR(_xlfn.IFS(
   --S199&lt;55,"Battery Defect",
  -- S199&lt;=69,"Battery D",
  --S199&lt;=80,"Battery C",
 --S199&gt;80,""
),"")</f>
        <v/>
      </c>
      <c r="U199" s="13" t="str" cm="1">
        <f t="array" ref="U199:Z199">IFERROR(IF(_xlfn.XLOOKUP(B199,Input!J:J,Input!N:S)=0,"",
          _xlfn.XLOOKUP(B199,Input!J:J,Input!N:S)),"")</f>
        <v/>
      </c>
      <c r="V199" s="13" t="str">
        <v/>
      </c>
      <c r="W199" s="13" t="str">
        <v/>
      </c>
      <c r="X199" s="13" t="str">
        <v/>
      </c>
      <c r="Y199" s="13" t="str">
        <v/>
      </c>
      <c r="Z199" s="13" t="str">
        <v/>
      </c>
      <c r="AA199" t="str">
        <f t="shared" si="10"/>
        <v/>
      </c>
      <c r="AB199" t="str">
        <f>_xlfn.XLOOKUP(B:B,Disk_Pivot!G:G,Disk_Pivot!I:I)</f>
        <v>No</v>
      </c>
      <c r="AC199" t="str">
        <f>_xlfn.XLOOKUP(B199,Disk_Pivot!G:G,Disk_Pivot!N:N)</f>
        <v/>
      </c>
    </row>
    <row r="200" spans="6:29">
      <c r="F200" t="str">
        <f>_xlfn.XLOOKUP(H200,Models!B:B,Models!F:F,"")</f>
        <v/>
      </c>
      <c r="K200">
        <f>_xlfn.XLOOKUP(B200,CPU_Formula!A:A,CPU_Formula!I:I)</f>
        <v>0</v>
      </c>
      <c r="L200" s="13" t="e">
        <f>INDEX(Input!$D$2:$AD$500,
       MATCH(B200, Input!$J$2:$J$500, 0),
       MATCH("Memory Capacity", Input!$D$1:$AD$1, 0))</f>
        <v>#N/A</v>
      </c>
      <c r="M200" s="13" t="e">
        <f>INDEX(Input!$D$2:$AD$500,
       MATCH(B200, Input!$J$2:$J$500, 0),
       MATCH("Memory Type", Input!$D$1:$AD$1, 0))</f>
        <v>#N/A</v>
      </c>
      <c r="N200" s="13" t="e">
        <f t="shared" si="9"/>
        <v>#N/A</v>
      </c>
      <c r="S200" s="13" t="str">
        <f>_xlfn.LET(_xlpm.Result,_xlfn.XLOOKUP(B200,Input!J:J,Input!AB:AB),IF(_xlpm.Result="","",_xlpm.Result))</f>
        <v/>
      </c>
      <c r="T200" s="13" t="str" cm="1">
        <f t="array" ref="T200">IFERROR(_xlfn.IFS(
   --S200&lt;55,"Battery Defect",
  -- S200&lt;=69,"Battery D",
  --S200&lt;=80,"Battery C",
 --S200&gt;80,""
),"")</f>
        <v/>
      </c>
      <c r="U200" s="13" t="str" cm="1">
        <f t="array" ref="U200:Z200">IFERROR(IF(_xlfn.XLOOKUP(B200,Input!J:J,Input!N:S)=0,"",
          _xlfn.XLOOKUP(B200,Input!J:J,Input!N:S)),"")</f>
        <v/>
      </c>
      <c r="V200" s="13" t="str">
        <v/>
      </c>
      <c r="W200" s="13" t="str">
        <v/>
      </c>
      <c r="X200" s="13" t="str">
        <v/>
      </c>
      <c r="Y200" s="13" t="str">
        <v/>
      </c>
      <c r="Z200" s="13" t="str">
        <v/>
      </c>
      <c r="AA200" t="str">
        <f t="shared" si="10"/>
        <v/>
      </c>
      <c r="AB200" t="str">
        <f>_xlfn.XLOOKUP(B:B,Disk_Pivot!G:G,Disk_Pivot!I:I)</f>
        <v>No</v>
      </c>
      <c r="AC200" t="str">
        <f>_xlfn.XLOOKUP(B200,Disk_Pivot!G:G,Disk_Pivot!N:N)</f>
        <v/>
      </c>
    </row>
    <row r="201" spans="6:29">
      <c r="F201" t="str">
        <f>_xlfn.XLOOKUP(H201,Models!B:B,Models!F:F,"")</f>
        <v/>
      </c>
      <c r="K201">
        <f>_xlfn.XLOOKUP(B201,CPU_Formula!A:A,CPU_Formula!I:I)</f>
        <v>0</v>
      </c>
      <c r="L201" s="13" t="e">
        <f>INDEX(Input!$D$2:$AD$500,
       MATCH(B201, Input!$J$2:$J$500, 0),
       MATCH("Memory Capacity", Input!$D$1:$AD$1, 0))</f>
        <v>#N/A</v>
      </c>
      <c r="M201" s="13" t="e">
        <f>INDEX(Input!$D$2:$AD$500,
       MATCH(B201, Input!$J$2:$J$500, 0),
       MATCH("Memory Type", Input!$D$1:$AD$1, 0))</f>
        <v>#N/A</v>
      </c>
      <c r="N201" s="13" t="e">
        <f t="shared" si="9"/>
        <v>#N/A</v>
      </c>
      <c r="S201" s="13" t="str">
        <f>_xlfn.LET(_xlpm.Result,_xlfn.XLOOKUP(B201,Input!J:J,Input!AB:AB),IF(_xlpm.Result="","",_xlpm.Result))</f>
        <v/>
      </c>
      <c r="T201" s="13" t="str" cm="1">
        <f t="array" ref="T201">IFERROR(_xlfn.IFS(
   --S201&lt;55,"Battery Defect",
  -- S201&lt;=69,"Battery D",
  --S201&lt;=80,"Battery C",
 --S201&gt;80,""
),"")</f>
        <v/>
      </c>
      <c r="U201" s="13" t="str" cm="1">
        <f t="array" ref="U201:Z201">IFERROR(IF(_xlfn.XLOOKUP(B201,Input!J:J,Input!N:S)=0,"",
          _xlfn.XLOOKUP(B201,Input!J:J,Input!N:S)),"")</f>
        <v/>
      </c>
      <c r="V201" s="13" t="str">
        <v/>
      </c>
      <c r="W201" s="13" t="str">
        <v/>
      </c>
      <c r="X201" s="13" t="str">
        <v/>
      </c>
      <c r="Y201" s="13" t="str">
        <v/>
      </c>
      <c r="Z201" s="13" t="str">
        <v/>
      </c>
      <c r="AA201" t="str">
        <f t="shared" si="10"/>
        <v/>
      </c>
      <c r="AB201" t="str">
        <f>_xlfn.XLOOKUP(B:B,Disk_Pivot!G:G,Disk_Pivot!I:I)</f>
        <v>No</v>
      </c>
      <c r="AC201" t="str">
        <f>_xlfn.XLOOKUP(B201,Disk_Pivot!G:G,Disk_Pivot!N:N)</f>
        <v/>
      </c>
    </row>
    <row r="202" spans="6:29">
      <c r="F202" t="str">
        <f>_xlfn.XLOOKUP(H202,Models!B:B,Models!F:F,"")</f>
        <v/>
      </c>
      <c r="K202">
        <f>_xlfn.XLOOKUP(B202,CPU_Formula!A:A,CPU_Formula!I:I)</f>
        <v>0</v>
      </c>
      <c r="L202" s="13" t="e">
        <f>INDEX(Input!$D$2:$AD$500,
       MATCH(B202, Input!$J$2:$J$500, 0),
       MATCH("Memory Capacity", Input!$D$1:$AD$1, 0))</f>
        <v>#N/A</v>
      </c>
      <c r="M202" s="13" t="e">
        <f>INDEX(Input!$D$2:$AD$500,
       MATCH(B202, Input!$J$2:$J$500, 0),
       MATCH("Memory Type", Input!$D$1:$AD$1, 0))</f>
        <v>#N/A</v>
      </c>
      <c r="N202" s="13" t="e">
        <f t="shared" si="9"/>
        <v>#N/A</v>
      </c>
      <c r="S202" s="13" t="str">
        <f>_xlfn.LET(_xlpm.Result,_xlfn.XLOOKUP(B202,Input!J:J,Input!AB:AB),IF(_xlpm.Result="","",_xlpm.Result))</f>
        <v/>
      </c>
      <c r="T202" s="13" t="str" cm="1">
        <f t="array" ref="T202">IFERROR(_xlfn.IFS(
   --S202&lt;55,"Battery Defect",
  -- S202&lt;=69,"Battery D",
  --S202&lt;=80,"Battery C",
 --S202&gt;80,""
),"")</f>
        <v/>
      </c>
      <c r="U202" s="13" t="str" cm="1">
        <f t="array" ref="U202:Z202">IFERROR(IF(_xlfn.XLOOKUP(B202,Input!J:J,Input!N:S)=0,"",
          _xlfn.XLOOKUP(B202,Input!J:J,Input!N:S)),"")</f>
        <v/>
      </c>
      <c r="V202" s="13" t="str">
        <v/>
      </c>
      <c r="W202" s="13" t="str">
        <v/>
      </c>
      <c r="X202" s="13" t="str">
        <v/>
      </c>
      <c r="Y202" s="13" t="str">
        <v/>
      </c>
      <c r="Z202" s="13" t="str">
        <v/>
      </c>
      <c r="AA202" t="str">
        <f t="shared" si="10"/>
        <v/>
      </c>
      <c r="AB202" t="str">
        <f>_xlfn.XLOOKUP(B:B,Disk_Pivot!G:G,Disk_Pivot!I:I)</f>
        <v>No</v>
      </c>
      <c r="AC202" t="str">
        <f>_xlfn.XLOOKUP(B202,Disk_Pivot!G:G,Disk_Pivot!N:N)</f>
        <v/>
      </c>
    </row>
    <row r="203" spans="6:29">
      <c r="F203" t="str">
        <f>_xlfn.XLOOKUP(H203,Models!B:B,Models!F:F,"")</f>
        <v/>
      </c>
      <c r="K203">
        <f>_xlfn.XLOOKUP(B203,CPU_Formula!A:A,CPU_Formula!I:I)</f>
        <v>0</v>
      </c>
      <c r="L203" s="13" t="e">
        <f>INDEX(Input!$D$2:$AD$500,
       MATCH(B203, Input!$J$2:$J$500, 0),
       MATCH("Memory Capacity", Input!$D$1:$AD$1, 0))</f>
        <v>#N/A</v>
      </c>
      <c r="M203" s="13" t="e">
        <f>INDEX(Input!$D$2:$AD$500,
       MATCH(B203, Input!$J$2:$J$500, 0),
       MATCH("Memory Type", Input!$D$1:$AD$1, 0))</f>
        <v>#N/A</v>
      </c>
      <c r="N203" s="13" t="e">
        <f t="shared" si="9"/>
        <v>#N/A</v>
      </c>
      <c r="S203" s="13" t="str">
        <f>_xlfn.LET(_xlpm.Result,_xlfn.XLOOKUP(B203,Input!J:J,Input!AB:AB),IF(_xlpm.Result="","",_xlpm.Result))</f>
        <v/>
      </c>
      <c r="T203" s="13" t="str" cm="1">
        <f t="array" ref="T203">IFERROR(_xlfn.IFS(
   --S203&lt;55,"Battery Defect",
  -- S203&lt;=69,"Battery D",
  --S203&lt;=80,"Battery C",
 --S203&gt;80,""
),"")</f>
        <v/>
      </c>
      <c r="U203" s="13" t="str" cm="1">
        <f t="array" ref="U203:Z203">IFERROR(IF(_xlfn.XLOOKUP(B203,Input!J:J,Input!N:S)=0,"",
          _xlfn.XLOOKUP(B203,Input!J:J,Input!N:S)),"")</f>
        <v/>
      </c>
      <c r="V203" s="13" t="str">
        <v/>
      </c>
      <c r="W203" s="13" t="str">
        <v/>
      </c>
      <c r="X203" s="13" t="str">
        <v/>
      </c>
      <c r="Y203" s="13" t="str">
        <v/>
      </c>
      <c r="Z203" s="13" t="str">
        <v/>
      </c>
      <c r="AA203" t="str">
        <f t="shared" si="10"/>
        <v/>
      </c>
      <c r="AB203" t="str">
        <f>_xlfn.XLOOKUP(B:B,Disk_Pivot!G:G,Disk_Pivot!I:I)</f>
        <v>No</v>
      </c>
      <c r="AC203" t="str">
        <f>_xlfn.XLOOKUP(B203,Disk_Pivot!G:G,Disk_Pivot!N:N)</f>
        <v/>
      </c>
    </row>
    <row r="204" spans="6:29">
      <c r="F204" t="str">
        <f>_xlfn.XLOOKUP(H204,Models!B:B,Models!F:F,"")</f>
        <v/>
      </c>
      <c r="K204">
        <f>_xlfn.XLOOKUP(B204,CPU_Formula!A:A,CPU_Formula!I:I)</f>
        <v>0</v>
      </c>
      <c r="L204" s="13" t="e">
        <f>INDEX(Input!$D$2:$AD$500,
       MATCH(B204, Input!$J$2:$J$500, 0),
       MATCH("Memory Capacity", Input!$D$1:$AD$1, 0))</f>
        <v>#N/A</v>
      </c>
      <c r="M204" s="13" t="e">
        <f>INDEX(Input!$D$2:$AD$500,
       MATCH(B204, Input!$J$2:$J$500, 0),
       MATCH("Memory Type", Input!$D$1:$AD$1, 0))</f>
        <v>#N/A</v>
      </c>
      <c r="N204" s="13" t="e">
        <f t="shared" si="9"/>
        <v>#N/A</v>
      </c>
      <c r="S204" s="13" t="str">
        <f>_xlfn.LET(_xlpm.Result,_xlfn.XLOOKUP(B204,Input!J:J,Input!AB:AB),IF(_xlpm.Result="","",_xlpm.Result))</f>
        <v/>
      </c>
      <c r="T204" s="13" t="str" cm="1">
        <f t="array" ref="T204">IFERROR(_xlfn.IFS(
   --S204&lt;55,"Battery Defect",
  -- S204&lt;=69,"Battery D",
  --S204&lt;=80,"Battery C",
 --S204&gt;80,""
),"")</f>
        <v/>
      </c>
      <c r="U204" s="13" t="str" cm="1">
        <f t="array" ref="U204:Z204">IFERROR(IF(_xlfn.XLOOKUP(B204,Input!J:J,Input!N:S)=0,"",
          _xlfn.XLOOKUP(B204,Input!J:J,Input!N:S)),"")</f>
        <v/>
      </c>
      <c r="V204" s="13" t="str">
        <v/>
      </c>
      <c r="W204" s="13" t="str">
        <v/>
      </c>
      <c r="X204" s="13" t="str">
        <v/>
      </c>
      <c r="Y204" s="13" t="str">
        <v/>
      </c>
      <c r="Z204" s="13" t="str">
        <v/>
      </c>
      <c r="AA204" t="str">
        <f t="shared" si="10"/>
        <v/>
      </c>
      <c r="AB204" t="str">
        <f>_xlfn.XLOOKUP(B:B,Disk_Pivot!G:G,Disk_Pivot!I:I)</f>
        <v>No</v>
      </c>
      <c r="AC204" t="str">
        <f>_xlfn.XLOOKUP(B204,Disk_Pivot!G:G,Disk_Pivot!N:N)</f>
        <v/>
      </c>
    </row>
    <row r="205" spans="6:29">
      <c r="F205" t="str">
        <f>_xlfn.XLOOKUP(H205,Models!B:B,Models!F:F,"")</f>
        <v/>
      </c>
      <c r="K205">
        <f>_xlfn.XLOOKUP(B205,CPU_Formula!A:A,CPU_Formula!I:I)</f>
        <v>0</v>
      </c>
      <c r="L205" s="13" t="e">
        <f>INDEX(Input!$D$2:$AD$500,
       MATCH(B205, Input!$J$2:$J$500, 0),
       MATCH("Memory Capacity", Input!$D$1:$AD$1, 0))</f>
        <v>#N/A</v>
      </c>
      <c r="M205" s="13" t="e">
        <f>INDEX(Input!$D$2:$AD$500,
       MATCH(B205, Input!$J$2:$J$500, 0),
       MATCH("Memory Type", Input!$D$1:$AD$1, 0))</f>
        <v>#N/A</v>
      </c>
      <c r="N205" s="13" t="e">
        <f t="shared" si="9"/>
        <v>#N/A</v>
      </c>
      <c r="S205" s="13" t="str">
        <f>_xlfn.LET(_xlpm.Result,_xlfn.XLOOKUP(B205,Input!J:J,Input!AB:AB),IF(_xlpm.Result="","",_xlpm.Result))</f>
        <v/>
      </c>
      <c r="T205" s="13" t="str" cm="1">
        <f t="array" ref="T205">IFERROR(_xlfn.IFS(
   --S205&lt;55,"Battery Defect",
  -- S205&lt;=69,"Battery D",
  --S205&lt;=80,"Battery C",
 --S205&gt;80,""
),"")</f>
        <v/>
      </c>
      <c r="U205" s="13" t="str" cm="1">
        <f t="array" ref="U205:Z205">IFERROR(IF(_xlfn.XLOOKUP(B205,Input!J:J,Input!N:S)=0,"",
          _xlfn.XLOOKUP(B205,Input!J:J,Input!N:S)),"")</f>
        <v/>
      </c>
      <c r="V205" s="13" t="str">
        <v/>
      </c>
      <c r="W205" s="13" t="str">
        <v/>
      </c>
      <c r="X205" s="13" t="str">
        <v/>
      </c>
      <c r="Y205" s="13" t="str">
        <v/>
      </c>
      <c r="Z205" s="13" t="str">
        <v/>
      </c>
      <c r="AA205" t="str">
        <f t="shared" si="10"/>
        <v/>
      </c>
      <c r="AB205" t="str">
        <f>_xlfn.XLOOKUP(B:B,Disk_Pivot!G:G,Disk_Pivot!I:I)</f>
        <v>No</v>
      </c>
      <c r="AC205" t="str">
        <f>_xlfn.XLOOKUP(B205,Disk_Pivot!G:G,Disk_Pivot!N:N)</f>
        <v/>
      </c>
    </row>
    <row r="206" spans="6:29">
      <c r="F206" t="str">
        <f>_xlfn.XLOOKUP(H206,Models!B:B,Models!F:F,"")</f>
        <v/>
      </c>
      <c r="K206">
        <f>_xlfn.XLOOKUP(B206,CPU_Formula!A:A,CPU_Formula!I:I)</f>
        <v>0</v>
      </c>
      <c r="L206" s="13" t="e">
        <f>INDEX(Input!$D$2:$AD$500,
       MATCH(B206, Input!$J$2:$J$500, 0),
       MATCH("Memory Capacity", Input!$D$1:$AD$1, 0))</f>
        <v>#N/A</v>
      </c>
      <c r="M206" s="13" t="e">
        <f>INDEX(Input!$D$2:$AD$500,
       MATCH(B206, Input!$J$2:$J$500, 0),
       MATCH("Memory Type", Input!$D$1:$AD$1, 0))</f>
        <v>#N/A</v>
      </c>
      <c r="N206" s="13" t="e">
        <f t="shared" si="9"/>
        <v>#N/A</v>
      </c>
      <c r="S206" s="13" t="str">
        <f>_xlfn.LET(_xlpm.Result,_xlfn.XLOOKUP(B206,Input!J:J,Input!AB:AB),IF(_xlpm.Result="","",_xlpm.Result))</f>
        <v/>
      </c>
      <c r="T206" s="13" t="str" cm="1">
        <f t="array" ref="T206">IFERROR(_xlfn.IFS(
   --S206&lt;55,"Battery Defect",
  -- S206&lt;=69,"Battery D",
  --S206&lt;=80,"Battery C",
 --S206&gt;80,""
),"")</f>
        <v/>
      </c>
      <c r="U206" s="13" t="str" cm="1">
        <f t="array" ref="U206:Z206">IFERROR(IF(_xlfn.XLOOKUP(B206,Input!J:J,Input!N:S)=0,"",
          _xlfn.XLOOKUP(B206,Input!J:J,Input!N:S)),"")</f>
        <v/>
      </c>
      <c r="V206" s="13" t="str">
        <v/>
      </c>
      <c r="W206" s="13" t="str">
        <v/>
      </c>
      <c r="X206" s="13" t="str">
        <v/>
      </c>
      <c r="Y206" s="13" t="str">
        <v/>
      </c>
      <c r="Z206" s="13" t="str">
        <v/>
      </c>
      <c r="AA206" t="str">
        <f t="shared" si="10"/>
        <v/>
      </c>
      <c r="AB206" t="str">
        <f>_xlfn.XLOOKUP(B:B,Disk_Pivot!G:G,Disk_Pivot!I:I)</f>
        <v>No</v>
      </c>
      <c r="AC206" t="str">
        <f>_xlfn.XLOOKUP(B206,Disk_Pivot!G:G,Disk_Pivot!N:N)</f>
        <v/>
      </c>
    </row>
    <row r="207" spans="6:29">
      <c r="F207" t="str">
        <f>_xlfn.XLOOKUP(H207,Models!B:B,Models!F:F,"")</f>
        <v/>
      </c>
      <c r="K207">
        <f>_xlfn.XLOOKUP(B207,CPU_Formula!A:A,CPU_Formula!I:I)</f>
        <v>0</v>
      </c>
      <c r="L207" s="13" t="e">
        <f>INDEX(Input!$D$2:$AD$500,
       MATCH(B207, Input!$J$2:$J$500, 0),
       MATCH("Memory Capacity", Input!$D$1:$AD$1, 0))</f>
        <v>#N/A</v>
      </c>
      <c r="M207" s="13" t="e">
        <f>INDEX(Input!$D$2:$AD$500,
       MATCH(B207, Input!$J$2:$J$500, 0),
       MATCH("Memory Type", Input!$D$1:$AD$1, 0))</f>
        <v>#N/A</v>
      </c>
      <c r="N207" s="13" t="e">
        <f t="shared" si="9"/>
        <v>#N/A</v>
      </c>
      <c r="S207" s="13" t="str">
        <f>_xlfn.LET(_xlpm.Result,_xlfn.XLOOKUP(B207,Input!J:J,Input!AB:AB),IF(_xlpm.Result="","",_xlpm.Result))</f>
        <v/>
      </c>
      <c r="T207" s="13" t="str" cm="1">
        <f t="array" ref="T207">IFERROR(_xlfn.IFS(
   --S207&lt;55,"Battery Defect",
  -- S207&lt;=69,"Battery D",
  --S207&lt;=80,"Battery C",
 --S207&gt;80,""
),"")</f>
        <v/>
      </c>
      <c r="U207" s="13" t="str" cm="1">
        <f t="array" ref="U207:Z207">IFERROR(IF(_xlfn.XLOOKUP(B207,Input!J:J,Input!N:S)=0,"",
          _xlfn.XLOOKUP(B207,Input!J:J,Input!N:S)),"")</f>
        <v/>
      </c>
      <c r="V207" s="13" t="str">
        <v/>
      </c>
      <c r="W207" s="13" t="str">
        <v/>
      </c>
      <c r="X207" s="13" t="str">
        <v/>
      </c>
      <c r="Y207" s="13" t="str">
        <v/>
      </c>
      <c r="Z207" s="13" t="str">
        <v/>
      </c>
      <c r="AA207" t="str">
        <f t="shared" si="10"/>
        <v/>
      </c>
      <c r="AB207" t="str">
        <f>_xlfn.XLOOKUP(B:B,Disk_Pivot!G:G,Disk_Pivot!I:I)</f>
        <v>No</v>
      </c>
      <c r="AC207" t="str">
        <f>_xlfn.XLOOKUP(B207,Disk_Pivot!G:G,Disk_Pivot!N:N)</f>
        <v/>
      </c>
    </row>
    <row r="208" spans="6:29">
      <c r="F208" t="str">
        <f>_xlfn.XLOOKUP(H208,Models!B:B,Models!F:F,"")</f>
        <v/>
      </c>
      <c r="K208">
        <f>_xlfn.XLOOKUP(B208,CPU_Formula!A:A,CPU_Formula!I:I)</f>
        <v>0</v>
      </c>
      <c r="L208" s="13" t="e">
        <f>INDEX(Input!$D$2:$AD$500,
       MATCH(B208, Input!$J$2:$J$500, 0),
       MATCH("Memory Capacity", Input!$D$1:$AD$1, 0))</f>
        <v>#N/A</v>
      </c>
      <c r="M208" s="13" t="e">
        <f>INDEX(Input!$D$2:$AD$500,
       MATCH(B208, Input!$J$2:$J$500, 0),
       MATCH("Memory Type", Input!$D$1:$AD$1, 0))</f>
        <v>#N/A</v>
      </c>
      <c r="N208" s="13" t="e">
        <f t="shared" si="9"/>
        <v>#N/A</v>
      </c>
      <c r="S208" s="13" t="str">
        <f>_xlfn.LET(_xlpm.Result,_xlfn.XLOOKUP(B208,Input!J:J,Input!AB:AB),IF(_xlpm.Result="","",_xlpm.Result))</f>
        <v/>
      </c>
      <c r="T208" s="13" t="str" cm="1">
        <f t="array" ref="T208">IFERROR(_xlfn.IFS(
   --S208&lt;55,"Battery Defect",
  -- S208&lt;=69,"Battery D",
  --S208&lt;=80,"Battery C",
 --S208&gt;80,""
),"")</f>
        <v/>
      </c>
      <c r="U208" s="13" t="str" cm="1">
        <f t="array" ref="U208:Z208">IFERROR(IF(_xlfn.XLOOKUP(B208,Input!J:J,Input!N:S)=0,"",
          _xlfn.XLOOKUP(B208,Input!J:J,Input!N:S)),"")</f>
        <v/>
      </c>
      <c r="V208" s="13" t="str">
        <v/>
      </c>
      <c r="W208" s="13" t="str">
        <v/>
      </c>
      <c r="X208" s="13" t="str">
        <v/>
      </c>
      <c r="Y208" s="13" t="str">
        <v/>
      </c>
      <c r="Z208" s="13" t="str">
        <v/>
      </c>
      <c r="AA208" t="str">
        <f t="shared" si="10"/>
        <v/>
      </c>
      <c r="AB208" t="str">
        <f>_xlfn.XLOOKUP(B:B,Disk_Pivot!G:G,Disk_Pivot!I:I)</f>
        <v>No</v>
      </c>
      <c r="AC208" t="str">
        <f>_xlfn.XLOOKUP(B208,Disk_Pivot!G:G,Disk_Pivot!N:N)</f>
        <v/>
      </c>
    </row>
    <row r="209" spans="6:29">
      <c r="F209" t="str">
        <f>_xlfn.XLOOKUP(H209,Models!B:B,Models!F:F,"")</f>
        <v/>
      </c>
      <c r="K209">
        <f>_xlfn.XLOOKUP(B209,CPU_Formula!A:A,CPU_Formula!I:I)</f>
        <v>0</v>
      </c>
      <c r="L209" s="13" t="e">
        <f>INDEX(Input!$D$2:$AD$500,
       MATCH(B209, Input!$J$2:$J$500, 0),
       MATCH("Memory Capacity", Input!$D$1:$AD$1, 0))</f>
        <v>#N/A</v>
      </c>
      <c r="M209" s="13" t="e">
        <f>INDEX(Input!$D$2:$AD$500,
       MATCH(B209, Input!$J$2:$J$500, 0),
       MATCH("Memory Type", Input!$D$1:$AD$1, 0))</f>
        <v>#N/A</v>
      </c>
      <c r="N209" s="13" t="e">
        <f t="shared" si="9"/>
        <v>#N/A</v>
      </c>
      <c r="S209" s="13" t="str">
        <f>_xlfn.LET(_xlpm.Result,_xlfn.XLOOKUP(B209,Input!J:J,Input!AB:AB),IF(_xlpm.Result="","",_xlpm.Result))</f>
        <v/>
      </c>
      <c r="T209" s="13" t="str" cm="1">
        <f t="array" ref="T209">IFERROR(_xlfn.IFS(
   --S209&lt;55,"Battery Defect",
  -- S209&lt;=69,"Battery D",
  --S209&lt;=80,"Battery C",
 --S209&gt;80,""
),"")</f>
        <v/>
      </c>
      <c r="U209" s="13" t="str" cm="1">
        <f t="array" ref="U209:Z209">IFERROR(IF(_xlfn.XLOOKUP(B209,Input!J:J,Input!N:S)=0,"",
          _xlfn.XLOOKUP(B209,Input!J:J,Input!N:S)),"")</f>
        <v/>
      </c>
      <c r="V209" s="13" t="str">
        <v/>
      </c>
      <c r="W209" s="13" t="str">
        <v/>
      </c>
      <c r="X209" s="13" t="str">
        <v/>
      </c>
      <c r="Y209" s="13" t="str">
        <v/>
      </c>
      <c r="Z209" s="13" t="str">
        <v/>
      </c>
      <c r="AA209" t="str">
        <f t="shared" si="10"/>
        <v/>
      </c>
      <c r="AB209" t="str">
        <f>_xlfn.XLOOKUP(B:B,Disk_Pivot!G:G,Disk_Pivot!I:I)</f>
        <v>No</v>
      </c>
      <c r="AC209" t="str">
        <f>_xlfn.XLOOKUP(B209,Disk_Pivot!G:G,Disk_Pivot!N:N)</f>
        <v/>
      </c>
    </row>
    <row r="210" spans="6:29">
      <c r="F210" t="str">
        <f>_xlfn.XLOOKUP(H210,Models!B:B,Models!F:F,"")</f>
        <v/>
      </c>
      <c r="K210">
        <f>_xlfn.XLOOKUP(B210,CPU_Formula!A:A,CPU_Formula!I:I)</f>
        <v>0</v>
      </c>
      <c r="L210" s="13" t="e">
        <f>INDEX(Input!$D$2:$AD$500,
       MATCH(B210, Input!$J$2:$J$500, 0),
       MATCH("Memory Capacity", Input!$D$1:$AD$1, 0))</f>
        <v>#N/A</v>
      </c>
      <c r="M210" s="13" t="e">
        <f>INDEX(Input!$D$2:$AD$500,
       MATCH(B210, Input!$J$2:$J$500, 0),
       MATCH("Memory Type", Input!$D$1:$AD$1, 0))</f>
        <v>#N/A</v>
      </c>
      <c r="N210" s="13" t="e">
        <f t="shared" si="9"/>
        <v>#N/A</v>
      </c>
      <c r="S210" s="13" t="str">
        <f>_xlfn.LET(_xlpm.Result,_xlfn.XLOOKUP(B210,Input!J:J,Input!AB:AB),IF(_xlpm.Result="","",_xlpm.Result))</f>
        <v/>
      </c>
      <c r="T210" s="13" t="str" cm="1">
        <f t="array" ref="T210">IFERROR(_xlfn.IFS(
   --S210&lt;55,"Battery Defect",
  -- S210&lt;=69,"Battery D",
  --S210&lt;=80,"Battery C",
 --S210&gt;80,""
),"")</f>
        <v/>
      </c>
      <c r="U210" s="13" t="str" cm="1">
        <f t="array" ref="U210:Z210">IFERROR(IF(_xlfn.XLOOKUP(B210,Input!J:J,Input!N:S)=0,"",
          _xlfn.XLOOKUP(B210,Input!J:J,Input!N:S)),"")</f>
        <v/>
      </c>
      <c r="V210" s="13" t="str">
        <v/>
      </c>
      <c r="W210" s="13" t="str">
        <v/>
      </c>
      <c r="X210" s="13" t="str">
        <v/>
      </c>
      <c r="Y210" s="13" t="str">
        <v/>
      </c>
      <c r="Z210" s="13" t="str">
        <v/>
      </c>
      <c r="AA210" t="str">
        <f t="shared" si="10"/>
        <v/>
      </c>
      <c r="AB210" t="str">
        <f>_xlfn.XLOOKUP(B:B,Disk_Pivot!G:G,Disk_Pivot!I:I)</f>
        <v>No</v>
      </c>
      <c r="AC210" t="str">
        <f>_xlfn.XLOOKUP(B210,Disk_Pivot!G:G,Disk_Pivot!N:N)</f>
        <v/>
      </c>
    </row>
    <row r="211" spans="6:29">
      <c r="F211" t="str">
        <f>_xlfn.XLOOKUP(H211,Models!B:B,Models!F:F,"")</f>
        <v/>
      </c>
      <c r="K211">
        <f>_xlfn.XLOOKUP(B211,CPU_Formula!A:A,CPU_Formula!I:I)</f>
        <v>0</v>
      </c>
      <c r="L211" s="13" t="e">
        <f>INDEX(Input!$D$2:$AD$500,
       MATCH(B211, Input!$J$2:$J$500, 0),
       MATCH("Memory Capacity", Input!$D$1:$AD$1, 0))</f>
        <v>#N/A</v>
      </c>
      <c r="M211" s="13" t="e">
        <f>INDEX(Input!$D$2:$AD$500,
       MATCH(B211, Input!$J$2:$J$500, 0),
       MATCH("Memory Type", Input!$D$1:$AD$1, 0))</f>
        <v>#N/A</v>
      </c>
      <c r="N211" s="13" t="e">
        <f t="shared" si="9"/>
        <v>#N/A</v>
      </c>
      <c r="S211" s="13" t="str">
        <f>_xlfn.LET(_xlpm.Result,_xlfn.XLOOKUP(B211,Input!J:J,Input!AB:AB),IF(_xlpm.Result="","",_xlpm.Result))</f>
        <v/>
      </c>
      <c r="T211" s="13" t="str" cm="1">
        <f t="array" ref="T211">IFERROR(_xlfn.IFS(
   --S211&lt;55,"Battery Defect",
  -- S211&lt;=69,"Battery D",
  --S211&lt;=80,"Battery C",
 --S211&gt;80,""
),"")</f>
        <v/>
      </c>
      <c r="U211" s="13" t="str" cm="1">
        <f t="array" ref="U211:Z211">IFERROR(IF(_xlfn.XLOOKUP(B211,Input!J:J,Input!N:S)=0,"",
          _xlfn.XLOOKUP(B211,Input!J:J,Input!N:S)),"")</f>
        <v/>
      </c>
      <c r="V211" s="13" t="str">
        <v/>
      </c>
      <c r="W211" s="13" t="str">
        <v/>
      </c>
      <c r="X211" s="13" t="str">
        <v/>
      </c>
      <c r="Y211" s="13" t="str">
        <v/>
      </c>
      <c r="Z211" s="13" t="str">
        <v/>
      </c>
      <c r="AA211" t="str">
        <f t="shared" si="10"/>
        <v/>
      </c>
      <c r="AB211" t="str">
        <f>_xlfn.XLOOKUP(B:B,Disk_Pivot!G:G,Disk_Pivot!I:I)</f>
        <v>No</v>
      </c>
      <c r="AC211" t="str">
        <f>_xlfn.XLOOKUP(B211,Disk_Pivot!G:G,Disk_Pivot!N:N)</f>
        <v/>
      </c>
    </row>
    <row r="212" spans="6:29">
      <c r="F212" t="str">
        <f>_xlfn.XLOOKUP(H212,Models!B:B,Models!F:F,"")</f>
        <v/>
      </c>
      <c r="K212">
        <f>_xlfn.XLOOKUP(B212,CPU_Formula!A:A,CPU_Formula!I:I)</f>
        <v>0</v>
      </c>
      <c r="L212" s="13" t="e">
        <f>INDEX(Input!$D$2:$AD$500,
       MATCH(B212, Input!$J$2:$J$500, 0),
       MATCH("Memory Capacity", Input!$D$1:$AD$1, 0))</f>
        <v>#N/A</v>
      </c>
      <c r="M212" s="13" t="e">
        <f>INDEX(Input!$D$2:$AD$500,
       MATCH(B212, Input!$J$2:$J$500, 0),
       MATCH("Memory Type", Input!$D$1:$AD$1, 0))</f>
        <v>#N/A</v>
      </c>
      <c r="N212" s="13" t="e">
        <f t="shared" si="9"/>
        <v>#N/A</v>
      </c>
      <c r="S212" s="13" t="str">
        <f>_xlfn.LET(_xlpm.Result,_xlfn.XLOOKUP(B212,Input!J:J,Input!AB:AB),IF(_xlpm.Result="","",_xlpm.Result))</f>
        <v/>
      </c>
      <c r="T212" s="13" t="str" cm="1">
        <f t="array" ref="T212">IFERROR(_xlfn.IFS(
   --S212&lt;55,"Battery Defect",
  -- S212&lt;=69,"Battery D",
  --S212&lt;=80,"Battery C",
 --S212&gt;80,""
),"")</f>
        <v/>
      </c>
      <c r="U212" s="13" t="str" cm="1">
        <f t="array" ref="U212:Z212">IFERROR(IF(_xlfn.XLOOKUP(B212,Input!J:J,Input!N:S)=0,"",
          _xlfn.XLOOKUP(B212,Input!J:J,Input!N:S)),"")</f>
        <v/>
      </c>
      <c r="V212" s="13" t="str">
        <v/>
      </c>
      <c r="W212" s="13" t="str">
        <v/>
      </c>
      <c r="X212" s="13" t="str">
        <v/>
      </c>
      <c r="Y212" s="13" t="str">
        <v/>
      </c>
      <c r="Z212" s="13" t="str">
        <v/>
      </c>
      <c r="AA212" t="str">
        <f t="shared" si="10"/>
        <v/>
      </c>
      <c r="AB212" t="str">
        <f>_xlfn.XLOOKUP(B:B,Disk_Pivot!G:G,Disk_Pivot!I:I)</f>
        <v>No</v>
      </c>
      <c r="AC212" t="str">
        <f>_xlfn.XLOOKUP(B212,Disk_Pivot!G:G,Disk_Pivot!N:N)</f>
        <v/>
      </c>
    </row>
    <row r="213" spans="6:29">
      <c r="F213" t="str">
        <f>_xlfn.XLOOKUP(H213,Models!B:B,Models!F:F,"")</f>
        <v/>
      </c>
      <c r="K213">
        <f>_xlfn.XLOOKUP(B213,CPU_Formula!A:A,CPU_Formula!I:I)</f>
        <v>0</v>
      </c>
      <c r="L213" s="13" t="e">
        <f>INDEX(Input!$D$2:$AD$500,
       MATCH(B213, Input!$J$2:$J$500, 0),
       MATCH("Memory Capacity", Input!$D$1:$AD$1, 0))</f>
        <v>#N/A</v>
      </c>
      <c r="M213" s="13" t="e">
        <f>INDEX(Input!$D$2:$AD$500,
       MATCH(B213, Input!$J$2:$J$500, 0),
       MATCH("Memory Type", Input!$D$1:$AD$1, 0))</f>
        <v>#N/A</v>
      </c>
      <c r="N213" s="13" t="e">
        <f t="shared" si="9"/>
        <v>#N/A</v>
      </c>
      <c r="S213" s="13" t="str">
        <f>_xlfn.LET(_xlpm.Result,_xlfn.XLOOKUP(B213,Input!J:J,Input!AB:AB),IF(_xlpm.Result="","",_xlpm.Result))</f>
        <v/>
      </c>
      <c r="T213" s="13" t="str" cm="1">
        <f t="array" ref="T213">IFERROR(_xlfn.IFS(
   --S213&lt;55,"Battery Defect",
  -- S213&lt;=69,"Battery D",
  --S213&lt;=80,"Battery C",
 --S213&gt;80,""
),"")</f>
        <v/>
      </c>
      <c r="U213" s="13" t="str" cm="1">
        <f t="array" ref="U213:Z213">IFERROR(IF(_xlfn.XLOOKUP(B213,Input!J:J,Input!N:S)=0,"",
          _xlfn.XLOOKUP(B213,Input!J:J,Input!N:S)),"")</f>
        <v/>
      </c>
      <c r="V213" s="13" t="str">
        <v/>
      </c>
      <c r="W213" s="13" t="str">
        <v/>
      </c>
      <c r="X213" s="13" t="str">
        <v/>
      </c>
      <c r="Y213" s="13" t="str">
        <v/>
      </c>
      <c r="Z213" s="13" t="str">
        <v/>
      </c>
      <c r="AA213" t="str">
        <f t="shared" si="10"/>
        <v/>
      </c>
      <c r="AB213" t="str">
        <f>_xlfn.XLOOKUP(B:B,Disk_Pivot!G:G,Disk_Pivot!I:I)</f>
        <v>No</v>
      </c>
      <c r="AC213" t="str">
        <f>_xlfn.XLOOKUP(B213,Disk_Pivot!G:G,Disk_Pivot!N:N)</f>
        <v/>
      </c>
    </row>
    <row r="214" spans="6:29">
      <c r="F214" t="str">
        <f>_xlfn.XLOOKUP(H214,Models!B:B,Models!F:F,"")</f>
        <v/>
      </c>
      <c r="K214">
        <f>_xlfn.XLOOKUP(B214,CPU_Formula!A:A,CPU_Formula!I:I)</f>
        <v>0</v>
      </c>
      <c r="L214" s="13" t="e">
        <f>INDEX(Input!$D$2:$AD$500,
       MATCH(B214, Input!$J$2:$J$500, 0),
       MATCH("Memory Capacity", Input!$D$1:$AD$1, 0))</f>
        <v>#N/A</v>
      </c>
      <c r="M214" s="13" t="e">
        <f>INDEX(Input!$D$2:$AD$500,
       MATCH(B214, Input!$J$2:$J$500, 0),
       MATCH("Memory Type", Input!$D$1:$AD$1, 0))</f>
        <v>#N/A</v>
      </c>
      <c r="N214" s="13" t="e">
        <f t="shared" si="9"/>
        <v>#N/A</v>
      </c>
      <c r="S214" s="13" t="str">
        <f>_xlfn.LET(_xlpm.Result,_xlfn.XLOOKUP(B214,Input!J:J,Input!AB:AB),IF(_xlpm.Result="","",_xlpm.Result))</f>
        <v/>
      </c>
      <c r="T214" s="13" t="str" cm="1">
        <f t="array" ref="T214">IFERROR(_xlfn.IFS(
   --S214&lt;55,"Battery Defect",
  -- S214&lt;=69,"Battery D",
  --S214&lt;=80,"Battery C",
 --S214&gt;80,""
),"")</f>
        <v/>
      </c>
      <c r="U214" s="13" t="str" cm="1">
        <f t="array" ref="U214:Z214">IFERROR(IF(_xlfn.XLOOKUP(B214,Input!J:J,Input!N:S)=0,"",
          _xlfn.XLOOKUP(B214,Input!J:J,Input!N:S)),"")</f>
        <v/>
      </c>
      <c r="V214" s="13" t="str">
        <v/>
      </c>
      <c r="W214" s="13" t="str">
        <v/>
      </c>
      <c r="X214" s="13" t="str">
        <v/>
      </c>
      <c r="Y214" s="13" t="str">
        <v/>
      </c>
      <c r="Z214" s="13" t="str">
        <v/>
      </c>
      <c r="AA214" t="str">
        <f t="shared" si="10"/>
        <v/>
      </c>
      <c r="AB214" t="str">
        <f>_xlfn.XLOOKUP(B:B,Disk_Pivot!G:G,Disk_Pivot!I:I)</f>
        <v>No</v>
      </c>
      <c r="AC214" t="str">
        <f>_xlfn.XLOOKUP(B214,Disk_Pivot!G:G,Disk_Pivot!N:N)</f>
        <v/>
      </c>
    </row>
    <row r="215" spans="6:29">
      <c r="F215" t="str">
        <f>_xlfn.XLOOKUP(H215,Models!B:B,Models!F:F,"")</f>
        <v/>
      </c>
      <c r="K215">
        <f>_xlfn.XLOOKUP(B215,CPU_Formula!A:A,CPU_Formula!I:I)</f>
        <v>0</v>
      </c>
      <c r="L215" s="13" t="e">
        <f>INDEX(Input!$D$2:$AD$500,
       MATCH(B215, Input!$J$2:$J$500, 0),
       MATCH("Memory Capacity", Input!$D$1:$AD$1, 0))</f>
        <v>#N/A</v>
      </c>
      <c r="M215" s="13" t="e">
        <f>INDEX(Input!$D$2:$AD$500,
       MATCH(B215, Input!$J$2:$J$500, 0),
       MATCH("Memory Type", Input!$D$1:$AD$1, 0))</f>
        <v>#N/A</v>
      </c>
      <c r="N215" s="13" t="e">
        <f t="shared" si="9"/>
        <v>#N/A</v>
      </c>
      <c r="S215" s="13" t="str">
        <f>_xlfn.LET(_xlpm.Result,_xlfn.XLOOKUP(B215,Input!J:J,Input!AB:AB),IF(_xlpm.Result="","",_xlpm.Result))</f>
        <v/>
      </c>
      <c r="T215" s="13" t="str" cm="1">
        <f t="array" ref="T215">IFERROR(_xlfn.IFS(
   --S215&lt;55,"Battery Defect",
  -- S215&lt;=69,"Battery D",
  --S215&lt;=80,"Battery C",
 --S215&gt;80,""
),"")</f>
        <v/>
      </c>
      <c r="U215" s="13" t="str" cm="1">
        <f t="array" ref="U215:Z215">IFERROR(IF(_xlfn.XLOOKUP(B215,Input!J:J,Input!N:S)=0,"",
          _xlfn.XLOOKUP(B215,Input!J:J,Input!N:S)),"")</f>
        <v/>
      </c>
      <c r="V215" s="13" t="str">
        <v/>
      </c>
      <c r="W215" s="13" t="str">
        <v/>
      </c>
      <c r="X215" s="13" t="str">
        <v/>
      </c>
      <c r="Y215" s="13" t="str">
        <v/>
      </c>
      <c r="Z215" s="13" t="str">
        <v/>
      </c>
      <c r="AA215" t="str">
        <f t="shared" si="10"/>
        <v/>
      </c>
      <c r="AB215" t="str">
        <f>_xlfn.XLOOKUP(B:B,Disk_Pivot!G:G,Disk_Pivot!I:I)</f>
        <v>No</v>
      </c>
      <c r="AC215" t="str">
        <f>_xlfn.XLOOKUP(B215,Disk_Pivot!G:G,Disk_Pivot!N:N)</f>
        <v/>
      </c>
    </row>
    <row r="216" spans="6:29">
      <c r="F216" t="str">
        <f>_xlfn.XLOOKUP(H216,Models!B:B,Models!F:F,"")</f>
        <v/>
      </c>
      <c r="K216">
        <f>_xlfn.XLOOKUP(B216,CPU_Formula!A:A,CPU_Formula!I:I)</f>
        <v>0</v>
      </c>
      <c r="L216" s="13" t="e">
        <f>INDEX(Input!$D$2:$AD$500,
       MATCH(B216, Input!$J$2:$J$500, 0),
       MATCH("Memory Capacity", Input!$D$1:$AD$1, 0))</f>
        <v>#N/A</v>
      </c>
      <c r="M216" s="13" t="e">
        <f>INDEX(Input!$D$2:$AD$500,
       MATCH(B216, Input!$J$2:$J$500, 0),
       MATCH("Memory Type", Input!$D$1:$AD$1, 0))</f>
        <v>#N/A</v>
      </c>
      <c r="N216" s="13" t="e">
        <f t="shared" si="9"/>
        <v>#N/A</v>
      </c>
      <c r="S216" s="13" t="str">
        <f>_xlfn.LET(_xlpm.Result,_xlfn.XLOOKUP(B216,Input!J:J,Input!AB:AB),IF(_xlpm.Result="","",_xlpm.Result))</f>
        <v/>
      </c>
      <c r="T216" s="13" t="str" cm="1">
        <f t="array" ref="T216">IFERROR(_xlfn.IFS(
   --S216&lt;55,"Battery Defect",
  -- S216&lt;=69,"Battery D",
  --S216&lt;=80,"Battery C",
 --S216&gt;80,""
),"")</f>
        <v/>
      </c>
      <c r="U216" s="13" t="str" cm="1">
        <f t="array" ref="U216:Z216">IFERROR(IF(_xlfn.XLOOKUP(B216,Input!J:J,Input!N:S)=0,"",
          _xlfn.XLOOKUP(B216,Input!J:J,Input!N:S)),"")</f>
        <v/>
      </c>
      <c r="V216" s="13" t="str">
        <v/>
      </c>
      <c r="W216" s="13" t="str">
        <v/>
      </c>
      <c r="X216" s="13" t="str">
        <v/>
      </c>
      <c r="Y216" s="13" t="str">
        <v/>
      </c>
      <c r="Z216" s="13" t="str">
        <v/>
      </c>
      <c r="AA216" t="str">
        <f t="shared" si="10"/>
        <v/>
      </c>
      <c r="AB216" t="str">
        <f>_xlfn.XLOOKUP(B:B,Disk_Pivot!G:G,Disk_Pivot!I:I)</f>
        <v>No</v>
      </c>
      <c r="AC216" t="str">
        <f>_xlfn.XLOOKUP(B216,Disk_Pivot!G:G,Disk_Pivot!N:N)</f>
        <v/>
      </c>
    </row>
    <row r="217" spans="6:29">
      <c r="F217" t="str">
        <f>_xlfn.XLOOKUP(H217,Models!B:B,Models!F:F,"")</f>
        <v/>
      </c>
      <c r="K217">
        <f>_xlfn.XLOOKUP(B217,CPU_Formula!A:A,CPU_Formula!I:I)</f>
        <v>0</v>
      </c>
      <c r="L217" s="13" t="e">
        <f>INDEX(Input!$D$2:$AD$500,
       MATCH(B217, Input!$J$2:$J$500, 0),
       MATCH("Memory Capacity", Input!$D$1:$AD$1, 0))</f>
        <v>#N/A</v>
      </c>
      <c r="M217" s="13" t="e">
        <f>INDEX(Input!$D$2:$AD$500,
       MATCH(B217, Input!$J$2:$J$500, 0),
       MATCH("Memory Type", Input!$D$1:$AD$1, 0))</f>
        <v>#N/A</v>
      </c>
      <c r="N217" s="13" t="e">
        <f t="shared" si="9"/>
        <v>#N/A</v>
      </c>
      <c r="S217" s="13" t="str">
        <f>_xlfn.LET(_xlpm.Result,_xlfn.XLOOKUP(B217,Input!J:J,Input!AB:AB),IF(_xlpm.Result="","",_xlpm.Result))</f>
        <v/>
      </c>
      <c r="T217" s="13" t="str" cm="1">
        <f t="array" ref="T217">IFERROR(_xlfn.IFS(
   --S217&lt;55,"Battery Defect",
  -- S217&lt;=69,"Battery D",
  --S217&lt;=80,"Battery C",
 --S217&gt;80,""
),"")</f>
        <v/>
      </c>
      <c r="U217" s="13" t="str" cm="1">
        <f t="array" ref="U217:Z217">IFERROR(IF(_xlfn.XLOOKUP(B217,Input!J:J,Input!N:S)=0,"",
          _xlfn.XLOOKUP(B217,Input!J:J,Input!N:S)),"")</f>
        <v/>
      </c>
      <c r="V217" s="13" t="str">
        <v/>
      </c>
      <c r="W217" s="13" t="str">
        <v/>
      </c>
      <c r="X217" s="13" t="str">
        <v/>
      </c>
      <c r="Y217" s="13" t="str">
        <v/>
      </c>
      <c r="Z217" s="13" t="str">
        <v/>
      </c>
      <c r="AA217" t="str">
        <f t="shared" si="10"/>
        <v/>
      </c>
      <c r="AB217" t="str">
        <f>_xlfn.XLOOKUP(B:B,Disk_Pivot!G:G,Disk_Pivot!I:I)</f>
        <v>No</v>
      </c>
      <c r="AC217" t="str">
        <f>_xlfn.XLOOKUP(B217,Disk_Pivot!G:G,Disk_Pivot!N:N)</f>
        <v/>
      </c>
    </row>
    <row r="218" spans="6:29">
      <c r="F218" t="str">
        <f>_xlfn.XLOOKUP(H218,Models!B:B,Models!F:F,"")</f>
        <v/>
      </c>
      <c r="K218">
        <f>_xlfn.XLOOKUP(B218,CPU_Formula!A:A,CPU_Formula!I:I)</f>
        <v>0</v>
      </c>
      <c r="L218" s="13" t="e">
        <f>INDEX(Input!$D$2:$AD$500,
       MATCH(B218, Input!$J$2:$J$500, 0),
       MATCH("Memory Capacity", Input!$D$1:$AD$1, 0))</f>
        <v>#N/A</v>
      </c>
      <c r="M218" s="13" t="e">
        <f>INDEX(Input!$D$2:$AD$500,
       MATCH(B218, Input!$J$2:$J$500, 0),
       MATCH("Memory Type", Input!$D$1:$AD$1, 0))</f>
        <v>#N/A</v>
      </c>
      <c r="N218" s="13" t="e">
        <f t="shared" si="9"/>
        <v>#N/A</v>
      </c>
      <c r="S218" s="13" t="str">
        <f>_xlfn.LET(_xlpm.Result,_xlfn.XLOOKUP(B218,Input!J:J,Input!AB:AB),IF(_xlpm.Result="","",_xlpm.Result))</f>
        <v/>
      </c>
      <c r="T218" s="13" t="str" cm="1">
        <f t="array" ref="T218">IFERROR(_xlfn.IFS(
   --S218&lt;55,"Battery Defect",
  -- S218&lt;=69,"Battery D",
  --S218&lt;=80,"Battery C",
 --S218&gt;80,""
),"")</f>
        <v/>
      </c>
      <c r="U218" s="13" t="str" cm="1">
        <f t="array" ref="U218:Z218">IFERROR(IF(_xlfn.XLOOKUP(B218,Input!J:J,Input!N:S)=0,"",
          _xlfn.XLOOKUP(B218,Input!J:J,Input!N:S)),"")</f>
        <v/>
      </c>
      <c r="V218" s="13" t="str">
        <v/>
      </c>
      <c r="W218" s="13" t="str">
        <v/>
      </c>
      <c r="X218" s="13" t="str">
        <v/>
      </c>
      <c r="Y218" s="13" t="str">
        <v/>
      </c>
      <c r="Z218" s="13" t="str">
        <v/>
      </c>
      <c r="AA218" t="str">
        <f t="shared" si="10"/>
        <v/>
      </c>
      <c r="AB218" t="str">
        <f>_xlfn.XLOOKUP(B:B,Disk_Pivot!G:G,Disk_Pivot!I:I)</f>
        <v>No</v>
      </c>
      <c r="AC218" t="str">
        <f>_xlfn.XLOOKUP(B218,Disk_Pivot!G:G,Disk_Pivot!N:N)</f>
        <v/>
      </c>
    </row>
    <row r="219" spans="6:29">
      <c r="F219" t="str">
        <f>_xlfn.XLOOKUP(H219,Models!B:B,Models!F:F,"")</f>
        <v/>
      </c>
      <c r="K219">
        <f>_xlfn.XLOOKUP(B219,CPU_Formula!A:A,CPU_Formula!I:I)</f>
        <v>0</v>
      </c>
      <c r="L219" s="13" t="e">
        <f>INDEX(Input!$D$2:$AD$500,
       MATCH(B219, Input!$J$2:$J$500, 0),
       MATCH("Memory Capacity", Input!$D$1:$AD$1, 0))</f>
        <v>#N/A</v>
      </c>
      <c r="M219" s="13" t="e">
        <f>INDEX(Input!$D$2:$AD$500,
       MATCH(B219, Input!$J$2:$J$500, 0),
       MATCH("Memory Type", Input!$D$1:$AD$1, 0))</f>
        <v>#N/A</v>
      </c>
      <c r="N219" s="13" t="e">
        <f t="shared" si="9"/>
        <v>#N/A</v>
      </c>
      <c r="S219" s="13" t="str">
        <f>_xlfn.LET(_xlpm.Result,_xlfn.XLOOKUP(B219,Input!J:J,Input!AB:AB),IF(_xlpm.Result="","",_xlpm.Result))</f>
        <v/>
      </c>
      <c r="T219" s="13" t="str" cm="1">
        <f t="array" ref="T219">IFERROR(_xlfn.IFS(
   --S219&lt;55,"Battery Defect",
  -- S219&lt;=69,"Battery D",
  --S219&lt;=80,"Battery C",
 --S219&gt;80,""
),"")</f>
        <v/>
      </c>
      <c r="U219" s="13" t="str" cm="1">
        <f t="array" ref="U219:Z219">IFERROR(IF(_xlfn.XLOOKUP(B219,Input!J:J,Input!N:S)=0,"",
          _xlfn.XLOOKUP(B219,Input!J:J,Input!N:S)),"")</f>
        <v/>
      </c>
      <c r="V219" s="13" t="str">
        <v/>
      </c>
      <c r="W219" s="13" t="str">
        <v/>
      </c>
      <c r="X219" s="13" t="str">
        <v/>
      </c>
      <c r="Y219" s="13" t="str">
        <v/>
      </c>
      <c r="Z219" s="13" t="str">
        <v/>
      </c>
      <c r="AA219" t="str">
        <f t="shared" si="10"/>
        <v/>
      </c>
      <c r="AB219" t="str">
        <f>_xlfn.XLOOKUP(B:B,Disk_Pivot!G:G,Disk_Pivot!I:I)</f>
        <v>No</v>
      </c>
      <c r="AC219" t="str">
        <f>_xlfn.XLOOKUP(B219,Disk_Pivot!G:G,Disk_Pivot!N:N)</f>
        <v/>
      </c>
    </row>
    <row r="220" spans="6:29">
      <c r="F220" t="str">
        <f>_xlfn.XLOOKUP(H220,Models!B:B,Models!F:F,"")</f>
        <v/>
      </c>
      <c r="K220">
        <f>_xlfn.XLOOKUP(B220,CPU_Formula!A:A,CPU_Formula!I:I)</f>
        <v>0</v>
      </c>
      <c r="L220" s="13" t="e">
        <f>INDEX(Input!$D$2:$AD$500,
       MATCH(B220, Input!$J$2:$J$500, 0),
       MATCH("Memory Capacity", Input!$D$1:$AD$1, 0))</f>
        <v>#N/A</v>
      </c>
      <c r="M220" s="13" t="e">
        <f>INDEX(Input!$D$2:$AD$500,
       MATCH(B220, Input!$J$2:$J$500, 0),
       MATCH("Memory Type", Input!$D$1:$AD$1, 0))</f>
        <v>#N/A</v>
      </c>
      <c r="N220" s="13" t="e">
        <f t="shared" si="9"/>
        <v>#N/A</v>
      </c>
      <c r="S220" s="13" t="str">
        <f>_xlfn.LET(_xlpm.Result,_xlfn.XLOOKUP(B220,Input!J:J,Input!AB:AB),IF(_xlpm.Result="","",_xlpm.Result))</f>
        <v/>
      </c>
      <c r="T220" s="13" t="str" cm="1">
        <f t="array" ref="T220">IFERROR(_xlfn.IFS(
   --S220&lt;55,"Battery Defect",
  -- S220&lt;=69,"Battery D",
  --S220&lt;=80,"Battery C",
 --S220&gt;80,""
),"")</f>
        <v/>
      </c>
      <c r="U220" s="13" t="str" cm="1">
        <f t="array" ref="U220:Z220">IFERROR(IF(_xlfn.XLOOKUP(B220,Input!J:J,Input!N:S)=0,"",
          _xlfn.XLOOKUP(B220,Input!J:J,Input!N:S)),"")</f>
        <v/>
      </c>
      <c r="V220" s="13" t="str">
        <v/>
      </c>
      <c r="W220" s="13" t="str">
        <v/>
      </c>
      <c r="X220" s="13" t="str">
        <v/>
      </c>
      <c r="Y220" s="13" t="str">
        <v/>
      </c>
      <c r="Z220" s="13" t="str">
        <v/>
      </c>
      <c r="AA220" t="str">
        <f t="shared" si="10"/>
        <v/>
      </c>
      <c r="AB220" t="str">
        <f>_xlfn.XLOOKUP(B:B,Disk_Pivot!G:G,Disk_Pivot!I:I)</f>
        <v>No</v>
      </c>
      <c r="AC220" t="str">
        <f>_xlfn.XLOOKUP(B220,Disk_Pivot!G:G,Disk_Pivot!N:N)</f>
        <v/>
      </c>
    </row>
    <row r="221" spans="6:29">
      <c r="F221" t="str">
        <f>_xlfn.XLOOKUP(H221,Models!B:B,Models!F:F,"")</f>
        <v/>
      </c>
      <c r="K221">
        <f>_xlfn.XLOOKUP(B221,CPU_Formula!A:A,CPU_Formula!I:I)</f>
        <v>0</v>
      </c>
      <c r="L221" s="13" t="e">
        <f>INDEX(Input!$D$2:$AD$500,
       MATCH(B221, Input!$J$2:$J$500, 0),
       MATCH("Memory Capacity", Input!$D$1:$AD$1, 0))</f>
        <v>#N/A</v>
      </c>
      <c r="M221" s="13" t="e">
        <f>INDEX(Input!$D$2:$AD$500,
       MATCH(B221, Input!$J$2:$J$500, 0),
       MATCH("Memory Type", Input!$D$1:$AD$1, 0))</f>
        <v>#N/A</v>
      </c>
      <c r="N221" s="13" t="e">
        <f t="shared" si="9"/>
        <v>#N/A</v>
      </c>
      <c r="S221" s="13" t="str">
        <f>_xlfn.LET(_xlpm.Result,_xlfn.XLOOKUP(B221,Input!J:J,Input!AB:AB),IF(_xlpm.Result="","",_xlpm.Result))</f>
        <v/>
      </c>
      <c r="T221" s="13" t="str" cm="1">
        <f t="array" ref="T221">IFERROR(_xlfn.IFS(
   --S221&lt;55,"Battery Defect",
  -- S221&lt;=69,"Battery D",
  --S221&lt;=80,"Battery C",
 --S221&gt;80,""
),"")</f>
        <v/>
      </c>
      <c r="U221" s="13" t="str" cm="1">
        <f t="array" ref="U221:Z221">IFERROR(IF(_xlfn.XLOOKUP(B221,Input!J:J,Input!N:S)=0,"",
          _xlfn.XLOOKUP(B221,Input!J:J,Input!N:S)),"")</f>
        <v/>
      </c>
      <c r="V221" s="13" t="str">
        <v/>
      </c>
      <c r="W221" s="13" t="str">
        <v/>
      </c>
      <c r="X221" s="13" t="str">
        <v/>
      </c>
      <c r="Y221" s="13" t="str">
        <v/>
      </c>
      <c r="Z221" s="13" t="str">
        <v/>
      </c>
      <c r="AA221" t="str">
        <f t="shared" si="10"/>
        <v/>
      </c>
      <c r="AB221" t="str">
        <f>_xlfn.XLOOKUP(B:B,Disk_Pivot!G:G,Disk_Pivot!I:I)</f>
        <v>No</v>
      </c>
      <c r="AC221" t="str">
        <f>_xlfn.XLOOKUP(B221,Disk_Pivot!G:G,Disk_Pivot!N:N)</f>
        <v/>
      </c>
    </row>
    <row r="222" spans="6:29">
      <c r="F222" t="str">
        <f>_xlfn.XLOOKUP(H222,Models!B:B,Models!F:F,"")</f>
        <v/>
      </c>
      <c r="K222">
        <f>_xlfn.XLOOKUP(B222,CPU_Formula!A:A,CPU_Formula!I:I)</f>
        <v>0</v>
      </c>
      <c r="L222" s="13" t="e">
        <f>INDEX(Input!$D$2:$AD$500,
       MATCH(B222, Input!$J$2:$J$500, 0),
       MATCH("Memory Capacity", Input!$D$1:$AD$1, 0))</f>
        <v>#N/A</v>
      </c>
      <c r="M222" s="13" t="e">
        <f>INDEX(Input!$D$2:$AD$500,
       MATCH(B222, Input!$J$2:$J$500, 0),
       MATCH("Memory Type", Input!$D$1:$AD$1, 0))</f>
        <v>#N/A</v>
      </c>
      <c r="N222" s="13" t="e">
        <f t="shared" si="9"/>
        <v>#N/A</v>
      </c>
      <c r="S222" s="13" t="str">
        <f>_xlfn.LET(_xlpm.Result,_xlfn.XLOOKUP(B222,Input!J:J,Input!AB:AB),IF(_xlpm.Result="","",_xlpm.Result))</f>
        <v/>
      </c>
      <c r="T222" s="13" t="str" cm="1">
        <f t="array" ref="T222">IFERROR(_xlfn.IFS(
   --S222&lt;55,"Battery Defect",
  -- S222&lt;=69,"Battery D",
  --S222&lt;=80,"Battery C",
 --S222&gt;80,""
),"")</f>
        <v/>
      </c>
      <c r="U222" s="13" t="str" cm="1">
        <f t="array" ref="U222:Z222">IFERROR(IF(_xlfn.XLOOKUP(B222,Input!J:J,Input!N:S)=0,"",
          _xlfn.XLOOKUP(B222,Input!J:J,Input!N:S)),"")</f>
        <v/>
      </c>
      <c r="V222" s="13" t="str">
        <v/>
      </c>
      <c r="W222" s="13" t="str">
        <v/>
      </c>
      <c r="X222" s="13" t="str">
        <v/>
      </c>
      <c r="Y222" s="13" t="str">
        <v/>
      </c>
      <c r="Z222" s="13" t="str">
        <v/>
      </c>
      <c r="AA222" t="str">
        <f t="shared" si="10"/>
        <v/>
      </c>
      <c r="AB222" t="str">
        <f>_xlfn.XLOOKUP(B:B,Disk_Pivot!G:G,Disk_Pivot!I:I)</f>
        <v>No</v>
      </c>
      <c r="AC222" t="str">
        <f>_xlfn.XLOOKUP(B222,Disk_Pivot!G:G,Disk_Pivot!N:N)</f>
        <v/>
      </c>
    </row>
    <row r="223" spans="6:29">
      <c r="F223" t="str">
        <f>_xlfn.XLOOKUP(H223,Models!B:B,Models!F:F,"")</f>
        <v/>
      </c>
      <c r="K223">
        <f>_xlfn.XLOOKUP(B223,CPU_Formula!A:A,CPU_Formula!I:I)</f>
        <v>0</v>
      </c>
      <c r="L223" s="13" t="e">
        <f>INDEX(Input!$D$2:$AD$500,
       MATCH(B223, Input!$J$2:$J$500, 0),
       MATCH("Memory Capacity", Input!$D$1:$AD$1, 0))</f>
        <v>#N/A</v>
      </c>
      <c r="M223" s="13" t="e">
        <f>INDEX(Input!$D$2:$AD$500,
       MATCH(B223, Input!$J$2:$J$500, 0),
       MATCH("Memory Type", Input!$D$1:$AD$1, 0))</f>
        <v>#N/A</v>
      </c>
      <c r="N223" s="13" t="e">
        <f t="shared" si="9"/>
        <v>#N/A</v>
      </c>
      <c r="S223" s="13" t="str">
        <f>_xlfn.LET(_xlpm.Result,_xlfn.XLOOKUP(B223,Input!J:J,Input!AB:AB),IF(_xlpm.Result="","",_xlpm.Result))</f>
        <v/>
      </c>
      <c r="T223" s="13" t="str" cm="1">
        <f t="array" ref="T223">IFERROR(_xlfn.IFS(
   --S223&lt;55,"Battery Defect",
  -- S223&lt;=69,"Battery D",
  --S223&lt;=80,"Battery C",
 --S223&gt;80,""
),"")</f>
        <v/>
      </c>
      <c r="U223" s="13" t="str" cm="1">
        <f t="array" ref="U223:Z223">IFERROR(IF(_xlfn.XLOOKUP(B223,Input!J:J,Input!N:S)=0,"",
          _xlfn.XLOOKUP(B223,Input!J:J,Input!N:S)),"")</f>
        <v/>
      </c>
      <c r="V223" s="13" t="str">
        <v/>
      </c>
      <c r="W223" s="13" t="str">
        <v/>
      </c>
      <c r="X223" s="13" t="str">
        <v/>
      </c>
      <c r="Y223" s="13" t="str">
        <v/>
      </c>
      <c r="Z223" s="13" t="str">
        <v/>
      </c>
      <c r="AA223" t="str">
        <f t="shared" si="10"/>
        <v/>
      </c>
      <c r="AB223" t="str">
        <f>_xlfn.XLOOKUP(B:B,Disk_Pivot!G:G,Disk_Pivot!I:I)</f>
        <v>No</v>
      </c>
      <c r="AC223" t="str">
        <f>_xlfn.XLOOKUP(B223,Disk_Pivot!G:G,Disk_Pivot!N:N)</f>
        <v/>
      </c>
    </row>
    <row r="224" spans="6:29">
      <c r="F224" t="str">
        <f>_xlfn.XLOOKUP(H224,Models!B:B,Models!F:F,"")</f>
        <v/>
      </c>
      <c r="K224">
        <f>_xlfn.XLOOKUP(B224,CPU_Formula!A:A,CPU_Formula!I:I)</f>
        <v>0</v>
      </c>
      <c r="L224" s="13" t="e">
        <f>INDEX(Input!$D$2:$AD$500,
       MATCH(B224, Input!$J$2:$J$500, 0),
       MATCH("Memory Capacity", Input!$D$1:$AD$1, 0))</f>
        <v>#N/A</v>
      </c>
      <c r="M224" s="13" t="e">
        <f>INDEX(Input!$D$2:$AD$500,
       MATCH(B224, Input!$J$2:$J$500, 0),
       MATCH("Memory Type", Input!$D$1:$AD$1, 0))</f>
        <v>#N/A</v>
      </c>
      <c r="N224" s="13" t="e">
        <f t="shared" si="9"/>
        <v>#N/A</v>
      </c>
      <c r="S224" s="13" t="str">
        <f>_xlfn.LET(_xlpm.Result,_xlfn.XLOOKUP(B224,Input!J:J,Input!AB:AB),IF(_xlpm.Result="","",_xlpm.Result))</f>
        <v/>
      </c>
      <c r="T224" s="13" t="str" cm="1">
        <f t="array" ref="T224">IFERROR(_xlfn.IFS(
   --S224&lt;55,"Battery Defect",
  -- S224&lt;=69,"Battery D",
  --S224&lt;=80,"Battery C",
 --S224&gt;80,""
),"")</f>
        <v/>
      </c>
      <c r="U224" s="13" t="str" cm="1">
        <f t="array" ref="U224:Z224">IFERROR(IF(_xlfn.XLOOKUP(B224,Input!J:J,Input!N:S)=0,"",
          _xlfn.XLOOKUP(B224,Input!J:J,Input!N:S)),"")</f>
        <v/>
      </c>
      <c r="V224" s="13" t="str">
        <v/>
      </c>
      <c r="W224" s="13" t="str">
        <v/>
      </c>
      <c r="X224" s="13" t="str">
        <v/>
      </c>
      <c r="Y224" s="13" t="str">
        <v/>
      </c>
      <c r="Z224" s="13" t="str">
        <v/>
      </c>
      <c r="AA224" t="str">
        <f t="shared" si="10"/>
        <v/>
      </c>
      <c r="AB224" t="str">
        <f>_xlfn.XLOOKUP(B:B,Disk_Pivot!G:G,Disk_Pivot!I:I)</f>
        <v>No</v>
      </c>
      <c r="AC224" t="str">
        <f>_xlfn.XLOOKUP(B224,Disk_Pivot!G:G,Disk_Pivot!N:N)</f>
        <v/>
      </c>
    </row>
    <row r="225" spans="6:29">
      <c r="F225" t="str">
        <f>_xlfn.XLOOKUP(H225,Models!B:B,Models!F:F,"")</f>
        <v/>
      </c>
      <c r="K225">
        <f>_xlfn.XLOOKUP(B225,CPU_Formula!A:A,CPU_Formula!I:I)</f>
        <v>0</v>
      </c>
      <c r="L225" s="13" t="e">
        <f>INDEX(Input!$D$2:$AD$500,
       MATCH(B225, Input!$J$2:$J$500, 0),
       MATCH("Memory Capacity", Input!$D$1:$AD$1, 0))</f>
        <v>#N/A</v>
      </c>
      <c r="M225" s="13" t="e">
        <f>INDEX(Input!$D$2:$AD$500,
       MATCH(B225, Input!$J$2:$J$500, 0),
       MATCH("Memory Type", Input!$D$1:$AD$1, 0))</f>
        <v>#N/A</v>
      </c>
      <c r="N225" s="13" t="e">
        <f t="shared" si="9"/>
        <v>#N/A</v>
      </c>
      <c r="S225" s="13" t="str">
        <f>_xlfn.LET(_xlpm.Result,_xlfn.XLOOKUP(B225,Input!J:J,Input!AB:AB),IF(_xlpm.Result="","",_xlpm.Result))</f>
        <v/>
      </c>
      <c r="T225" s="13" t="str" cm="1">
        <f t="array" ref="T225">IFERROR(_xlfn.IFS(
   --S225&lt;55,"Battery Defect",
  -- S225&lt;=69,"Battery D",
  --S225&lt;=80,"Battery C",
 --S225&gt;80,""
),"")</f>
        <v/>
      </c>
      <c r="U225" s="13" t="str" cm="1">
        <f t="array" ref="U225:Z225">IFERROR(IF(_xlfn.XLOOKUP(B225,Input!J:J,Input!N:S)=0,"",
          _xlfn.XLOOKUP(B225,Input!J:J,Input!N:S)),"")</f>
        <v/>
      </c>
      <c r="V225" s="13" t="str">
        <v/>
      </c>
      <c r="W225" s="13" t="str">
        <v/>
      </c>
      <c r="X225" s="13" t="str">
        <v/>
      </c>
      <c r="Y225" s="13" t="str">
        <v/>
      </c>
      <c r="Z225" s="13" t="str">
        <v/>
      </c>
      <c r="AA225" t="str">
        <f t="shared" si="10"/>
        <v/>
      </c>
      <c r="AB225" t="str">
        <f>_xlfn.XLOOKUP(B:B,Disk_Pivot!G:G,Disk_Pivot!I:I)</f>
        <v>No</v>
      </c>
      <c r="AC225" t="str">
        <f>_xlfn.XLOOKUP(B225,Disk_Pivot!G:G,Disk_Pivot!N:N)</f>
        <v/>
      </c>
    </row>
    <row r="226" spans="6:29">
      <c r="F226" t="str">
        <f>_xlfn.XLOOKUP(H226,Models!B:B,Models!F:F,"")</f>
        <v/>
      </c>
      <c r="K226">
        <f>_xlfn.XLOOKUP(B226,CPU_Formula!A:A,CPU_Formula!I:I)</f>
        <v>0</v>
      </c>
      <c r="L226" s="13" t="e">
        <f>INDEX(Input!$D$2:$AD$500,
       MATCH(B226, Input!$J$2:$J$500, 0),
       MATCH("Memory Capacity", Input!$D$1:$AD$1, 0))</f>
        <v>#N/A</v>
      </c>
      <c r="M226" s="13" t="e">
        <f>INDEX(Input!$D$2:$AD$500,
       MATCH(B226, Input!$J$2:$J$500, 0),
       MATCH("Memory Type", Input!$D$1:$AD$1, 0))</f>
        <v>#N/A</v>
      </c>
      <c r="N226" s="13" t="e">
        <f t="shared" si="9"/>
        <v>#N/A</v>
      </c>
      <c r="S226" s="13" t="str">
        <f>_xlfn.LET(_xlpm.Result,_xlfn.XLOOKUP(B226,Input!J:J,Input!AB:AB),IF(_xlpm.Result="","",_xlpm.Result))</f>
        <v/>
      </c>
      <c r="T226" s="13" t="str" cm="1">
        <f t="array" ref="T226">IFERROR(_xlfn.IFS(
   --S226&lt;55,"Battery Defect",
  -- S226&lt;=69,"Battery D",
  --S226&lt;=80,"Battery C",
 --S226&gt;80,""
),"")</f>
        <v/>
      </c>
      <c r="U226" s="13" t="str" cm="1">
        <f t="array" ref="U226:Z226">IFERROR(IF(_xlfn.XLOOKUP(B226,Input!J:J,Input!N:S)=0,"",
          _xlfn.XLOOKUP(B226,Input!J:J,Input!N:S)),"")</f>
        <v/>
      </c>
      <c r="V226" s="13" t="str">
        <v/>
      </c>
      <c r="W226" s="13" t="str">
        <v/>
      </c>
      <c r="X226" s="13" t="str">
        <v/>
      </c>
      <c r="Y226" s="13" t="str">
        <v/>
      </c>
      <c r="Z226" s="13" t="str">
        <v/>
      </c>
      <c r="AA226" t="str">
        <f t="shared" si="10"/>
        <v/>
      </c>
      <c r="AB226" t="str">
        <f>_xlfn.XLOOKUP(B:B,Disk_Pivot!G:G,Disk_Pivot!I:I)</f>
        <v>No</v>
      </c>
      <c r="AC226" t="str">
        <f>_xlfn.XLOOKUP(B226,Disk_Pivot!G:G,Disk_Pivot!N:N)</f>
        <v/>
      </c>
    </row>
    <row r="227" spans="6:29">
      <c r="F227" t="str">
        <f>_xlfn.XLOOKUP(H227,Models!B:B,Models!F:F,"")</f>
        <v/>
      </c>
      <c r="K227">
        <f>_xlfn.XLOOKUP(B227,CPU_Formula!A:A,CPU_Formula!I:I)</f>
        <v>0</v>
      </c>
      <c r="L227" s="13" t="e">
        <f>INDEX(Input!$D$2:$AD$500,
       MATCH(B227, Input!$J$2:$J$500, 0),
       MATCH("Memory Capacity", Input!$D$1:$AD$1, 0))</f>
        <v>#N/A</v>
      </c>
      <c r="M227" s="13" t="e">
        <f>INDEX(Input!$D$2:$AD$500,
       MATCH(B227, Input!$J$2:$J$500, 0),
       MATCH("Memory Type", Input!$D$1:$AD$1, 0))</f>
        <v>#N/A</v>
      </c>
      <c r="N227" s="13" t="e">
        <f t="shared" si="9"/>
        <v>#N/A</v>
      </c>
      <c r="S227" s="13" t="str">
        <f>_xlfn.LET(_xlpm.Result,_xlfn.XLOOKUP(B227,Input!J:J,Input!AB:AB),IF(_xlpm.Result="","",_xlpm.Result))</f>
        <v/>
      </c>
      <c r="T227" s="13" t="str" cm="1">
        <f t="array" ref="T227">IFERROR(_xlfn.IFS(
   --S227&lt;55,"Battery Defect",
  -- S227&lt;=69,"Battery D",
  --S227&lt;=80,"Battery C",
 --S227&gt;80,""
),"")</f>
        <v/>
      </c>
      <c r="U227" s="13" t="str" cm="1">
        <f t="array" ref="U227:Z227">IFERROR(IF(_xlfn.XLOOKUP(B227,Input!J:J,Input!N:S)=0,"",
          _xlfn.XLOOKUP(B227,Input!J:J,Input!N:S)),"")</f>
        <v/>
      </c>
      <c r="V227" s="13" t="str">
        <v/>
      </c>
      <c r="W227" s="13" t="str">
        <v/>
      </c>
      <c r="X227" s="13" t="str">
        <v/>
      </c>
      <c r="Y227" s="13" t="str">
        <v/>
      </c>
      <c r="Z227" s="13" t="str">
        <v/>
      </c>
      <c r="AA227" t="str">
        <f t="shared" si="10"/>
        <v/>
      </c>
      <c r="AB227" t="str">
        <f>_xlfn.XLOOKUP(B:B,Disk_Pivot!G:G,Disk_Pivot!I:I)</f>
        <v>No</v>
      </c>
      <c r="AC227" t="str">
        <f>_xlfn.XLOOKUP(B227,Disk_Pivot!G:G,Disk_Pivot!N:N)</f>
        <v/>
      </c>
    </row>
    <row r="228" spans="6:29">
      <c r="F228" t="str">
        <f>_xlfn.XLOOKUP(H228,Models!B:B,Models!F:F,"")</f>
        <v/>
      </c>
      <c r="K228">
        <f>_xlfn.XLOOKUP(B228,CPU_Formula!A:A,CPU_Formula!I:I)</f>
        <v>0</v>
      </c>
      <c r="L228" s="13" t="e">
        <f>INDEX(Input!$D$2:$AD$500,
       MATCH(B228, Input!$J$2:$J$500, 0),
       MATCH("Memory Capacity", Input!$D$1:$AD$1, 0))</f>
        <v>#N/A</v>
      </c>
      <c r="M228" s="13" t="e">
        <f>INDEX(Input!$D$2:$AD$500,
       MATCH(B228, Input!$J$2:$J$500, 0),
       MATCH("Memory Type", Input!$D$1:$AD$1, 0))</f>
        <v>#N/A</v>
      </c>
      <c r="N228" s="13" t="e">
        <f t="shared" si="9"/>
        <v>#N/A</v>
      </c>
      <c r="S228" s="13" t="str">
        <f>_xlfn.LET(_xlpm.Result,_xlfn.XLOOKUP(B228,Input!J:J,Input!AB:AB),IF(_xlpm.Result="","",_xlpm.Result))</f>
        <v/>
      </c>
      <c r="T228" s="13" t="str" cm="1">
        <f t="array" ref="T228">IFERROR(_xlfn.IFS(
   --S228&lt;55,"Battery Defect",
  -- S228&lt;=69,"Battery D",
  --S228&lt;=80,"Battery C",
 --S228&gt;80,""
),"")</f>
        <v/>
      </c>
      <c r="U228" s="13" t="str" cm="1">
        <f t="array" ref="U228:Z228">IFERROR(IF(_xlfn.XLOOKUP(B228,Input!J:J,Input!N:S)=0,"",
          _xlfn.XLOOKUP(B228,Input!J:J,Input!N:S)),"")</f>
        <v/>
      </c>
      <c r="V228" s="13" t="str">
        <v/>
      </c>
      <c r="W228" s="13" t="str">
        <v/>
      </c>
      <c r="X228" s="13" t="str">
        <v/>
      </c>
      <c r="Y228" s="13" t="str">
        <v/>
      </c>
      <c r="Z228" s="13" t="str">
        <v/>
      </c>
      <c r="AA228" t="str">
        <f t="shared" si="10"/>
        <v/>
      </c>
      <c r="AB228" t="str">
        <f>_xlfn.XLOOKUP(B:B,Disk_Pivot!G:G,Disk_Pivot!I:I)</f>
        <v>No</v>
      </c>
      <c r="AC228" t="str">
        <f>_xlfn.XLOOKUP(B228,Disk_Pivot!G:G,Disk_Pivot!N:N)</f>
        <v/>
      </c>
    </row>
    <row r="229" spans="6:29">
      <c r="F229" t="str">
        <f>_xlfn.XLOOKUP(H229,Models!B:B,Models!F:F,"")</f>
        <v/>
      </c>
      <c r="K229">
        <f>_xlfn.XLOOKUP(B229,CPU_Formula!A:A,CPU_Formula!I:I)</f>
        <v>0</v>
      </c>
      <c r="L229" s="13" t="e">
        <f>INDEX(Input!$D$2:$AD$500,
       MATCH(B229, Input!$J$2:$J$500, 0),
       MATCH("Memory Capacity", Input!$D$1:$AD$1, 0))</f>
        <v>#N/A</v>
      </c>
      <c r="M229" s="13" t="e">
        <f>INDEX(Input!$D$2:$AD$500,
       MATCH(B229, Input!$J$2:$J$500, 0),
       MATCH("Memory Type", Input!$D$1:$AD$1, 0))</f>
        <v>#N/A</v>
      </c>
      <c r="N229" s="13" t="e">
        <f t="shared" si="9"/>
        <v>#N/A</v>
      </c>
      <c r="S229" s="13" t="str">
        <f>_xlfn.LET(_xlpm.Result,_xlfn.XLOOKUP(B229,Input!J:J,Input!AB:AB),IF(_xlpm.Result="","",_xlpm.Result))</f>
        <v/>
      </c>
      <c r="T229" s="13" t="str" cm="1">
        <f t="array" ref="T229">IFERROR(_xlfn.IFS(
   --S229&lt;55,"Battery Defect",
  -- S229&lt;=69,"Battery D",
  --S229&lt;=80,"Battery C",
 --S229&gt;80,""
),"")</f>
        <v/>
      </c>
      <c r="U229" s="13" t="str" cm="1">
        <f t="array" ref="U229:Z229">IFERROR(IF(_xlfn.XLOOKUP(B229,Input!J:J,Input!N:S)=0,"",
          _xlfn.XLOOKUP(B229,Input!J:J,Input!N:S)),"")</f>
        <v/>
      </c>
      <c r="V229" s="13" t="str">
        <v/>
      </c>
      <c r="W229" s="13" t="str">
        <v/>
      </c>
      <c r="X229" s="13" t="str">
        <v/>
      </c>
      <c r="Y229" s="13" t="str">
        <v/>
      </c>
      <c r="Z229" s="13" t="str">
        <v/>
      </c>
      <c r="AA229" t="str">
        <f t="shared" si="10"/>
        <v/>
      </c>
      <c r="AB229" t="str">
        <f>_xlfn.XLOOKUP(B:B,Disk_Pivot!G:G,Disk_Pivot!I:I)</f>
        <v>No</v>
      </c>
      <c r="AC229" t="str">
        <f>_xlfn.XLOOKUP(B229,Disk_Pivot!G:G,Disk_Pivot!N:N)</f>
        <v/>
      </c>
    </row>
    <row r="230" spans="6:29">
      <c r="F230" t="str">
        <f>_xlfn.XLOOKUP(H230,Models!B:B,Models!F:F,"")</f>
        <v/>
      </c>
      <c r="K230">
        <f>_xlfn.XLOOKUP(B230,CPU_Formula!A:A,CPU_Formula!I:I)</f>
        <v>0</v>
      </c>
      <c r="L230" s="13" t="e">
        <f>INDEX(Input!$D$2:$AD$500,
       MATCH(B230, Input!$J$2:$J$500, 0),
       MATCH("Memory Capacity", Input!$D$1:$AD$1, 0))</f>
        <v>#N/A</v>
      </c>
      <c r="M230" s="13" t="e">
        <f>INDEX(Input!$D$2:$AD$500,
       MATCH(B230, Input!$J$2:$J$500, 0),
       MATCH("Memory Type", Input!$D$1:$AD$1, 0))</f>
        <v>#N/A</v>
      </c>
      <c r="N230" s="13" t="e">
        <f t="shared" si="9"/>
        <v>#N/A</v>
      </c>
      <c r="S230" s="13" t="str">
        <f>_xlfn.LET(_xlpm.Result,_xlfn.XLOOKUP(B230,Input!J:J,Input!AB:AB),IF(_xlpm.Result="","",_xlpm.Result))</f>
        <v/>
      </c>
      <c r="T230" s="13" t="str" cm="1">
        <f t="array" ref="T230">IFERROR(_xlfn.IFS(
   --S230&lt;55,"Battery Defect",
  -- S230&lt;=69,"Battery D",
  --S230&lt;=80,"Battery C",
 --S230&gt;80,""
),"")</f>
        <v/>
      </c>
      <c r="U230" s="13" t="str" cm="1">
        <f t="array" ref="U230:Z230">IFERROR(IF(_xlfn.XLOOKUP(B230,Input!J:J,Input!N:S)=0,"",
          _xlfn.XLOOKUP(B230,Input!J:J,Input!N:S)),"")</f>
        <v/>
      </c>
      <c r="V230" s="13" t="str">
        <v/>
      </c>
      <c r="W230" s="13" t="str">
        <v/>
      </c>
      <c r="X230" s="13" t="str">
        <v/>
      </c>
      <c r="Y230" s="13" t="str">
        <v/>
      </c>
      <c r="Z230" s="13" t="str">
        <v/>
      </c>
      <c r="AA230" t="str">
        <f t="shared" si="10"/>
        <v/>
      </c>
      <c r="AB230" t="str">
        <f>_xlfn.XLOOKUP(B:B,Disk_Pivot!G:G,Disk_Pivot!I:I)</f>
        <v>No</v>
      </c>
      <c r="AC230" t="str">
        <f>_xlfn.XLOOKUP(B230,Disk_Pivot!G:G,Disk_Pivot!N:N)</f>
        <v/>
      </c>
    </row>
    <row r="231" spans="6:29">
      <c r="F231" t="str">
        <f>_xlfn.XLOOKUP(H231,Models!B:B,Models!F:F,"")</f>
        <v/>
      </c>
      <c r="K231">
        <f>_xlfn.XLOOKUP(B231,CPU_Formula!A:A,CPU_Formula!I:I)</f>
        <v>0</v>
      </c>
      <c r="L231" s="13" t="e">
        <f>INDEX(Input!$D$2:$AD$500,
       MATCH(B231, Input!$J$2:$J$500, 0),
       MATCH("Memory Capacity", Input!$D$1:$AD$1, 0))</f>
        <v>#N/A</v>
      </c>
      <c r="M231" s="13" t="e">
        <f>INDEX(Input!$D$2:$AD$500,
       MATCH(B231, Input!$J$2:$J$500, 0),
       MATCH("Memory Type", Input!$D$1:$AD$1, 0))</f>
        <v>#N/A</v>
      </c>
      <c r="N231" s="13" t="e">
        <f t="shared" si="9"/>
        <v>#N/A</v>
      </c>
      <c r="S231" s="13" t="str">
        <f>_xlfn.LET(_xlpm.Result,_xlfn.XLOOKUP(B231,Input!J:J,Input!AB:AB),IF(_xlpm.Result="","",_xlpm.Result))</f>
        <v/>
      </c>
      <c r="T231" s="13" t="str" cm="1">
        <f t="array" ref="T231">IFERROR(_xlfn.IFS(
   --S231&lt;55,"Battery Defect",
  -- S231&lt;=69,"Battery D",
  --S231&lt;=80,"Battery C",
 --S231&gt;80,""
),"")</f>
        <v/>
      </c>
      <c r="U231" s="13" t="str" cm="1">
        <f t="array" ref="U231:Z231">IFERROR(IF(_xlfn.XLOOKUP(B231,Input!J:J,Input!N:S)=0,"",
          _xlfn.XLOOKUP(B231,Input!J:J,Input!N:S)),"")</f>
        <v/>
      </c>
      <c r="V231" s="13" t="str">
        <v/>
      </c>
      <c r="W231" s="13" t="str">
        <v/>
      </c>
      <c r="X231" s="13" t="str">
        <v/>
      </c>
      <c r="Y231" s="13" t="str">
        <v/>
      </c>
      <c r="Z231" s="13" t="str">
        <v/>
      </c>
      <c r="AA231" t="str">
        <f t="shared" si="10"/>
        <v/>
      </c>
      <c r="AB231" t="str">
        <f>_xlfn.XLOOKUP(B:B,Disk_Pivot!G:G,Disk_Pivot!I:I)</f>
        <v>No</v>
      </c>
      <c r="AC231" t="str">
        <f>_xlfn.XLOOKUP(B231,Disk_Pivot!G:G,Disk_Pivot!N:N)</f>
        <v/>
      </c>
    </row>
    <row r="232" spans="6:29">
      <c r="F232" t="str">
        <f>_xlfn.XLOOKUP(H232,Models!B:B,Models!F:F,"")</f>
        <v/>
      </c>
      <c r="K232">
        <f>_xlfn.XLOOKUP(B232,CPU_Formula!A:A,CPU_Formula!I:I)</f>
        <v>0</v>
      </c>
      <c r="L232" s="13" t="e">
        <f>INDEX(Input!$D$2:$AD$500,
       MATCH(B232, Input!$J$2:$J$500, 0),
       MATCH("Memory Capacity", Input!$D$1:$AD$1, 0))</f>
        <v>#N/A</v>
      </c>
      <c r="M232" s="13" t="e">
        <f>INDEX(Input!$D$2:$AD$500,
       MATCH(B232, Input!$J$2:$J$500, 0),
       MATCH("Memory Type", Input!$D$1:$AD$1, 0))</f>
        <v>#N/A</v>
      </c>
      <c r="N232" s="13" t="e">
        <f t="shared" si="9"/>
        <v>#N/A</v>
      </c>
      <c r="S232" s="13" t="str">
        <f>_xlfn.LET(_xlpm.Result,_xlfn.XLOOKUP(B232,Input!J:J,Input!AB:AB),IF(_xlpm.Result="","",_xlpm.Result))</f>
        <v/>
      </c>
      <c r="T232" s="13" t="str" cm="1">
        <f t="array" ref="T232">IFERROR(_xlfn.IFS(
   --S232&lt;55,"Battery Defect",
  -- S232&lt;=69,"Battery D",
  --S232&lt;=80,"Battery C",
 --S232&gt;80,""
),"")</f>
        <v/>
      </c>
      <c r="U232" s="13" t="str" cm="1">
        <f t="array" ref="U232:Z232">IFERROR(IF(_xlfn.XLOOKUP(B232,Input!J:J,Input!N:S)=0,"",
          _xlfn.XLOOKUP(B232,Input!J:J,Input!N:S)),"")</f>
        <v/>
      </c>
      <c r="V232" s="13" t="str">
        <v/>
      </c>
      <c r="W232" s="13" t="str">
        <v/>
      </c>
      <c r="X232" s="13" t="str">
        <v/>
      </c>
      <c r="Y232" s="13" t="str">
        <v/>
      </c>
      <c r="Z232" s="13" t="str">
        <v/>
      </c>
      <c r="AA232" t="str">
        <f t="shared" si="10"/>
        <v/>
      </c>
      <c r="AB232" t="str">
        <f>_xlfn.XLOOKUP(B:B,Disk_Pivot!G:G,Disk_Pivot!I:I)</f>
        <v>No</v>
      </c>
      <c r="AC232" t="str">
        <f>_xlfn.XLOOKUP(B232,Disk_Pivot!G:G,Disk_Pivot!N:N)</f>
        <v/>
      </c>
    </row>
    <row r="233" spans="6:29">
      <c r="F233" t="str">
        <f>_xlfn.XLOOKUP(H233,Models!B:B,Models!F:F,"")</f>
        <v/>
      </c>
      <c r="K233">
        <f>_xlfn.XLOOKUP(B233,CPU_Formula!A:A,CPU_Formula!I:I)</f>
        <v>0</v>
      </c>
      <c r="L233" s="13" t="e">
        <f>INDEX(Input!$D$2:$AD$500,
       MATCH(B233, Input!$J$2:$J$500, 0),
       MATCH("Memory Capacity", Input!$D$1:$AD$1, 0))</f>
        <v>#N/A</v>
      </c>
      <c r="M233" s="13" t="e">
        <f>INDEX(Input!$D$2:$AD$500,
       MATCH(B233, Input!$J$2:$J$500, 0),
       MATCH("Memory Type", Input!$D$1:$AD$1, 0))</f>
        <v>#N/A</v>
      </c>
      <c r="N233" s="13" t="e">
        <f t="shared" si="9"/>
        <v>#N/A</v>
      </c>
      <c r="S233" s="13" t="str">
        <f>_xlfn.LET(_xlpm.Result,_xlfn.XLOOKUP(B233,Input!J:J,Input!AB:AB),IF(_xlpm.Result="","",_xlpm.Result))</f>
        <v/>
      </c>
      <c r="T233" s="13" t="str" cm="1">
        <f t="array" ref="T233">IFERROR(_xlfn.IFS(
   --S233&lt;55,"Battery Defect",
  -- S233&lt;=69,"Battery D",
  --S233&lt;=80,"Battery C",
 --S233&gt;80,""
),"")</f>
        <v/>
      </c>
      <c r="U233" s="13" t="str" cm="1">
        <f t="array" ref="U233:Z233">IFERROR(IF(_xlfn.XLOOKUP(B233,Input!J:J,Input!N:S)=0,"",
          _xlfn.XLOOKUP(B233,Input!J:J,Input!N:S)),"")</f>
        <v/>
      </c>
      <c r="V233" s="13" t="str">
        <v/>
      </c>
      <c r="W233" s="13" t="str">
        <v/>
      </c>
      <c r="X233" s="13" t="str">
        <v/>
      </c>
      <c r="Y233" s="13" t="str">
        <v/>
      </c>
      <c r="Z233" s="13" t="str">
        <v/>
      </c>
      <c r="AA233" t="str">
        <f t="shared" si="10"/>
        <v/>
      </c>
      <c r="AB233" t="str">
        <f>_xlfn.XLOOKUP(B:B,Disk_Pivot!G:G,Disk_Pivot!I:I)</f>
        <v>No</v>
      </c>
      <c r="AC233" t="str">
        <f>_xlfn.XLOOKUP(B233,Disk_Pivot!G:G,Disk_Pivot!N:N)</f>
        <v/>
      </c>
    </row>
    <row r="234" spans="6:29">
      <c r="F234" t="str">
        <f>_xlfn.XLOOKUP(H234,Models!B:B,Models!F:F,"")</f>
        <v/>
      </c>
      <c r="K234">
        <f>_xlfn.XLOOKUP(B234,CPU_Formula!A:A,CPU_Formula!I:I)</f>
        <v>0</v>
      </c>
      <c r="L234" s="13" t="e">
        <f>INDEX(Input!$D$2:$AD$500,
       MATCH(B234, Input!$J$2:$J$500, 0),
       MATCH("Memory Capacity", Input!$D$1:$AD$1, 0))</f>
        <v>#N/A</v>
      </c>
      <c r="M234" s="13" t="e">
        <f>INDEX(Input!$D$2:$AD$500,
       MATCH(B234, Input!$J$2:$J$500, 0),
       MATCH("Memory Type", Input!$D$1:$AD$1, 0))</f>
        <v>#N/A</v>
      </c>
      <c r="N234" s="13" t="e">
        <f t="shared" si="9"/>
        <v>#N/A</v>
      </c>
      <c r="S234" s="13" t="str">
        <f>_xlfn.LET(_xlpm.Result,_xlfn.XLOOKUP(B234,Input!J:J,Input!AB:AB),IF(_xlpm.Result="","",_xlpm.Result))</f>
        <v/>
      </c>
      <c r="T234" s="13" t="str" cm="1">
        <f t="array" ref="T234">IFERROR(_xlfn.IFS(
   --S234&lt;55,"Battery Defect",
  -- S234&lt;=69,"Battery D",
  --S234&lt;=80,"Battery C",
 --S234&gt;80,""
),"")</f>
        <v/>
      </c>
      <c r="U234" s="13" t="str" cm="1">
        <f t="array" ref="U234:Z234">IFERROR(IF(_xlfn.XLOOKUP(B234,Input!J:J,Input!N:S)=0,"",
          _xlfn.XLOOKUP(B234,Input!J:J,Input!N:S)),"")</f>
        <v/>
      </c>
      <c r="V234" s="13" t="str">
        <v/>
      </c>
      <c r="W234" s="13" t="str">
        <v/>
      </c>
      <c r="X234" s="13" t="str">
        <v/>
      </c>
      <c r="Y234" s="13" t="str">
        <v/>
      </c>
      <c r="Z234" s="13" t="str">
        <v/>
      </c>
      <c r="AA234" t="str">
        <f t="shared" si="10"/>
        <v/>
      </c>
      <c r="AB234" t="str">
        <f>_xlfn.XLOOKUP(B:B,Disk_Pivot!G:G,Disk_Pivot!I:I)</f>
        <v>No</v>
      </c>
      <c r="AC234" t="str">
        <f>_xlfn.XLOOKUP(B234,Disk_Pivot!G:G,Disk_Pivot!N:N)</f>
        <v/>
      </c>
    </row>
    <row r="235" spans="6:29">
      <c r="F235" t="str">
        <f>_xlfn.XLOOKUP(H235,Models!B:B,Models!F:F,"")</f>
        <v/>
      </c>
      <c r="K235">
        <f>_xlfn.XLOOKUP(B235,CPU_Formula!A:A,CPU_Formula!I:I)</f>
        <v>0</v>
      </c>
      <c r="L235" s="13" t="e">
        <f>INDEX(Input!$D$2:$AD$500,
       MATCH(B235, Input!$J$2:$J$500, 0),
       MATCH("Memory Capacity", Input!$D$1:$AD$1, 0))</f>
        <v>#N/A</v>
      </c>
      <c r="M235" s="13" t="e">
        <f>INDEX(Input!$D$2:$AD$500,
       MATCH(B235, Input!$J$2:$J$500, 0),
       MATCH("Memory Type", Input!$D$1:$AD$1, 0))</f>
        <v>#N/A</v>
      </c>
      <c r="N235" s="13" t="e">
        <f t="shared" si="9"/>
        <v>#N/A</v>
      </c>
      <c r="S235" s="13" t="str">
        <f>_xlfn.LET(_xlpm.Result,_xlfn.XLOOKUP(B235,Input!J:J,Input!AB:AB),IF(_xlpm.Result="","",_xlpm.Result))</f>
        <v/>
      </c>
      <c r="T235" s="13" t="str" cm="1">
        <f t="array" ref="T235">IFERROR(_xlfn.IFS(
   --S235&lt;55,"Battery Defect",
  -- S235&lt;=69,"Battery D",
  --S235&lt;=80,"Battery C",
 --S235&gt;80,""
),"")</f>
        <v/>
      </c>
      <c r="U235" s="13" t="str" cm="1">
        <f t="array" ref="U235:Z235">IFERROR(IF(_xlfn.XLOOKUP(B235,Input!J:J,Input!N:S)=0,"",
          _xlfn.XLOOKUP(B235,Input!J:J,Input!N:S)),"")</f>
        <v/>
      </c>
      <c r="V235" s="13" t="str">
        <v/>
      </c>
      <c r="W235" s="13" t="str">
        <v/>
      </c>
      <c r="X235" s="13" t="str">
        <v/>
      </c>
      <c r="Y235" s="13" t="str">
        <v/>
      </c>
      <c r="Z235" s="13" t="str">
        <v/>
      </c>
      <c r="AA235" t="str">
        <f t="shared" si="10"/>
        <v/>
      </c>
      <c r="AB235" t="str">
        <f>_xlfn.XLOOKUP(B:B,Disk_Pivot!G:G,Disk_Pivot!I:I)</f>
        <v>No</v>
      </c>
      <c r="AC235" t="str">
        <f>_xlfn.XLOOKUP(B235,Disk_Pivot!G:G,Disk_Pivot!N:N)</f>
        <v/>
      </c>
    </row>
    <row r="236" spans="6:29">
      <c r="F236" t="str">
        <f>_xlfn.XLOOKUP(H236,Models!B:B,Models!F:F,"")</f>
        <v/>
      </c>
      <c r="K236">
        <f>_xlfn.XLOOKUP(B236,CPU_Formula!A:A,CPU_Formula!I:I)</f>
        <v>0</v>
      </c>
      <c r="L236" s="13" t="e">
        <f>INDEX(Input!$D$2:$AD$500,
       MATCH(B236, Input!$J$2:$J$500, 0),
       MATCH("Memory Capacity", Input!$D$1:$AD$1, 0))</f>
        <v>#N/A</v>
      </c>
      <c r="M236" s="13" t="e">
        <f>INDEX(Input!$D$2:$AD$500,
       MATCH(B236, Input!$J$2:$J$500, 0),
       MATCH("Memory Type", Input!$D$1:$AD$1, 0))</f>
        <v>#N/A</v>
      </c>
      <c r="N236" s="13" t="e">
        <f t="shared" si="9"/>
        <v>#N/A</v>
      </c>
      <c r="S236" s="13" t="str">
        <f>_xlfn.LET(_xlpm.Result,_xlfn.XLOOKUP(B236,Input!J:J,Input!AB:AB),IF(_xlpm.Result="","",_xlpm.Result))</f>
        <v/>
      </c>
      <c r="T236" s="13" t="str" cm="1">
        <f t="array" ref="T236">IFERROR(_xlfn.IFS(
   --S236&lt;55,"Battery Defect",
  -- S236&lt;=69,"Battery D",
  --S236&lt;=80,"Battery C",
 --S236&gt;80,""
),"")</f>
        <v/>
      </c>
      <c r="U236" s="13" t="str" cm="1">
        <f t="array" ref="U236:Z236">IFERROR(IF(_xlfn.XLOOKUP(B236,Input!J:J,Input!N:S)=0,"",
          _xlfn.XLOOKUP(B236,Input!J:J,Input!N:S)),"")</f>
        <v/>
      </c>
      <c r="V236" s="13" t="str">
        <v/>
      </c>
      <c r="W236" s="13" t="str">
        <v/>
      </c>
      <c r="X236" s="13" t="str">
        <v/>
      </c>
      <c r="Y236" s="13" t="str">
        <v/>
      </c>
      <c r="Z236" s="13" t="str">
        <v/>
      </c>
      <c r="AA236" t="str">
        <f t="shared" si="10"/>
        <v/>
      </c>
      <c r="AB236" t="str">
        <f>_xlfn.XLOOKUP(B:B,Disk_Pivot!G:G,Disk_Pivot!I:I)</f>
        <v>No</v>
      </c>
      <c r="AC236" t="str">
        <f>_xlfn.XLOOKUP(B236,Disk_Pivot!G:G,Disk_Pivot!N:N)</f>
        <v/>
      </c>
    </row>
    <row r="237" spans="6:29">
      <c r="F237" t="str">
        <f>_xlfn.XLOOKUP(H237,Models!B:B,Models!F:F,"")</f>
        <v/>
      </c>
      <c r="K237">
        <f>_xlfn.XLOOKUP(B237,CPU_Formula!A:A,CPU_Formula!I:I)</f>
        <v>0</v>
      </c>
      <c r="L237" s="13" t="e">
        <f>INDEX(Input!$D$2:$AD$500,
       MATCH(B237, Input!$J$2:$J$500, 0),
       MATCH("Memory Capacity", Input!$D$1:$AD$1, 0))</f>
        <v>#N/A</v>
      </c>
      <c r="M237" s="13" t="e">
        <f>INDEX(Input!$D$2:$AD$500,
       MATCH(B237, Input!$J$2:$J$500, 0),
       MATCH("Memory Type", Input!$D$1:$AD$1, 0))</f>
        <v>#N/A</v>
      </c>
      <c r="N237" s="13" t="e">
        <f t="shared" si="9"/>
        <v>#N/A</v>
      </c>
      <c r="S237" s="13" t="str">
        <f>_xlfn.LET(_xlpm.Result,_xlfn.XLOOKUP(B237,Input!J:J,Input!AB:AB),IF(_xlpm.Result="","",_xlpm.Result))</f>
        <v/>
      </c>
      <c r="T237" s="13" t="str" cm="1">
        <f t="array" ref="T237">IFERROR(_xlfn.IFS(
   --S237&lt;55,"Battery Defect",
  -- S237&lt;=69,"Battery D",
  --S237&lt;=80,"Battery C",
 --S237&gt;80,""
),"")</f>
        <v/>
      </c>
      <c r="U237" s="13" t="str" cm="1">
        <f t="array" ref="U237:Z237">IFERROR(IF(_xlfn.XLOOKUP(B237,Input!J:J,Input!N:S)=0,"",
          _xlfn.XLOOKUP(B237,Input!J:J,Input!N:S)),"")</f>
        <v/>
      </c>
      <c r="V237" s="13" t="str">
        <v/>
      </c>
      <c r="W237" s="13" t="str">
        <v/>
      </c>
      <c r="X237" s="13" t="str">
        <v/>
      </c>
      <c r="Y237" s="13" t="str">
        <v/>
      </c>
      <c r="Z237" s="13" t="str">
        <v/>
      </c>
      <c r="AA237" t="str">
        <f t="shared" si="10"/>
        <v/>
      </c>
      <c r="AB237" t="str">
        <f>_xlfn.XLOOKUP(B:B,Disk_Pivot!G:G,Disk_Pivot!I:I)</f>
        <v>No</v>
      </c>
      <c r="AC237" t="str">
        <f>_xlfn.XLOOKUP(B237,Disk_Pivot!G:G,Disk_Pivot!N:N)</f>
        <v/>
      </c>
    </row>
    <row r="238" spans="6:29">
      <c r="F238" t="str">
        <f>_xlfn.XLOOKUP(H238,Models!B:B,Models!F:F,"")</f>
        <v/>
      </c>
      <c r="K238">
        <f>_xlfn.XLOOKUP(B238,CPU_Formula!A:A,CPU_Formula!I:I)</f>
        <v>0</v>
      </c>
      <c r="L238" s="13" t="e">
        <f>INDEX(Input!$D$2:$AD$500,
       MATCH(B238, Input!$J$2:$J$500, 0),
       MATCH("Memory Capacity", Input!$D$1:$AD$1, 0))</f>
        <v>#N/A</v>
      </c>
      <c r="M238" s="13" t="e">
        <f>INDEX(Input!$D$2:$AD$500,
       MATCH(B238, Input!$J$2:$J$500, 0),
       MATCH("Memory Type", Input!$D$1:$AD$1, 0))</f>
        <v>#N/A</v>
      </c>
      <c r="N238" s="13" t="e">
        <f t="shared" si="9"/>
        <v>#N/A</v>
      </c>
      <c r="S238" s="13" t="str">
        <f>_xlfn.LET(_xlpm.Result,_xlfn.XLOOKUP(B238,Input!J:J,Input!AB:AB),IF(_xlpm.Result="","",_xlpm.Result))</f>
        <v/>
      </c>
      <c r="T238" s="13" t="str" cm="1">
        <f t="array" ref="T238">IFERROR(_xlfn.IFS(
   --S238&lt;55,"Battery Defect",
  -- S238&lt;=69,"Battery D",
  --S238&lt;=80,"Battery C",
 --S238&gt;80,""
),"")</f>
        <v/>
      </c>
      <c r="U238" s="13" t="str" cm="1">
        <f t="array" ref="U238:Z238">IFERROR(IF(_xlfn.XLOOKUP(B238,Input!J:J,Input!N:S)=0,"",
          _xlfn.XLOOKUP(B238,Input!J:J,Input!N:S)),"")</f>
        <v/>
      </c>
      <c r="V238" s="13" t="str">
        <v/>
      </c>
      <c r="W238" s="13" t="str">
        <v/>
      </c>
      <c r="X238" s="13" t="str">
        <v/>
      </c>
      <c r="Y238" s="13" t="str">
        <v/>
      </c>
      <c r="Z238" s="13" t="str">
        <v/>
      </c>
      <c r="AA238" t="str">
        <f t="shared" si="10"/>
        <v/>
      </c>
      <c r="AB238" t="str">
        <f>_xlfn.XLOOKUP(B:B,Disk_Pivot!G:G,Disk_Pivot!I:I)</f>
        <v>No</v>
      </c>
      <c r="AC238" t="str">
        <f>_xlfn.XLOOKUP(B238,Disk_Pivot!G:G,Disk_Pivot!N:N)</f>
        <v/>
      </c>
    </row>
    <row r="239" spans="6:29">
      <c r="F239" t="str">
        <f>_xlfn.XLOOKUP(H239,Models!B:B,Models!F:F,"")</f>
        <v/>
      </c>
      <c r="K239">
        <f>_xlfn.XLOOKUP(B239,CPU_Formula!A:A,CPU_Formula!I:I)</f>
        <v>0</v>
      </c>
      <c r="L239" s="13" t="e">
        <f>INDEX(Input!$D$2:$AD$500,
       MATCH(B239, Input!$J$2:$J$500, 0),
       MATCH("Memory Capacity", Input!$D$1:$AD$1, 0))</f>
        <v>#N/A</v>
      </c>
      <c r="M239" s="13" t="e">
        <f>INDEX(Input!$D$2:$AD$500,
       MATCH(B239, Input!$J$2:$J$500, 0),
       MATCH("Memory Type", Input!$D$1:$AD$1, 0))</f>
        <v>#N/A</v>
      </c>
      <c r="N239" s="13" t="e">
        <f t="shared" si="9"/>
        <v>#N/A</v>
      </c>
      <c r="S239" s="13" t="str">
        <f>_xlfn.LET(_xlpm.Result,_xlfn.XLOOKUP(B239,Input!J:J,Input!AB:AB),IF(_xlpm.Result="","",_xlpm.Result))</f>
        <v/>
      </c>
      <c r="T239" s="13" t="str" cm="1">
        <f t="array" ref="T239">IFERROR(_xlfn.IFS(
   --S239&lt;55,"Battery Defect",
  -- S239&lt;=69,"Battery D",
  --S239&lt;=80,"Battery C",
 --S239&gt;80,""
),"")</f>
        <v/>
      </c>
      <c r="U239" s="13" t="str" cm="1">
        <f t="array" ref="U239:Z239">IFERROR(IF(_xlfn.XLOOKUP(B239,Input!J:J,Input!N:S)=0,"",
          _xlfn.XLOOKUP(B239,Input!J:J,Input!N:S)),"")</f>
        <v/>
      </c>
      <c r="V239" s="13" t="str">
        <v/>
      </c>
      <c r="W239" s="13" t="str">
        <v/>
      </c>
      <c r="X239" s="13" t="str">
        <v/>
      </c>
      <c r="Y239" s="13" t="str">
        <v/>
      </c>
      <c r="Z239" s="13" t="str">
        <v/>
      </c>
      <c r="AA239" t="str">
        <f t="shared" si="10"/>
        <v/>
      </c>
      <c r="AB239" t="str">
        <f>_xlfn.XLOOKUP(B:B,Disk_Pivot!G:G,Disk_Pivot!I:I)</f>
        <v>No</v>
      </c>
      <c r="AC239" t="str">
        <f>_xlfn.XLOOKUP(B239,Disk_Pivot!G:G,Disk_Pivot!N:N)</f>
        <v/>
      </c>
    </row>
    <row r="240" spans="6:29">
      <c r="F240" t="str">
        <f>_xlfn.XLOOKUP(H240,Models!B:B,Models!F:F,"")</f>
        <v/>
      </c>
      <c r="K240">
        <f>_xlfn.XLOOKUP(B240,CPU_Formula!A:A,CPU_Formula!I:I)</f>
        <v>0</v>
      </c>
      <c r="L240" s="13" t="e">
        <f>INDEX(Input!$D$2:$AD$500,
       MATCH(B240, Input!$J$2:$J$500, 0),
       MATCH("Memory Capacity", Input!$D$1:$AD$1, 0))</f>
        <v>#N/A</v>
      </c>
      <c r="M240" s="13" t="e">
        <f>INDEX(Input!$D$2:$AD$500,
       MATCH(B240, Input!$J$2:$J$500, 0),
       MATCH("Memory Type", Input!$D$1:$AD$1, 0))</f>
        <v>#N/A</v>
      </c>
      <c r="N240" s="13" t="e">
        <f t="shared" si="9"/>
        <v>#N/A</v>
      </c>
      <c r="S240" s="13" t="str">
        <f>_xlfn.LET(_xlpm.Result,_xlfn.XLOOKUP(B240,Input!J:J,Input!AB:AB),IF(_xlpm.Result="","",_xlpm.Result))</f>
        <v/>
      </c>
      <c r="T240" s="13" t="str" cm="1">
        <f t="array" ref="T240">IFERROR(_xlfn.IFS(
   --S240&lt;55,"Battery Defect",
  -- S240&lt;=69,"Battery D",
  --S240&lt;=80,"Battery C",
 --S240&gt;80,""
),"")</f>
        <v/>
      </c>
      <c r="U240" s="13" t="str" cm="1">
        <f t="array" ref="U240:Z240">IFERROR(IF(_xlfn.XLOOKUP(B240,Input!J:J,Input!N:S)=0,"",
          _xlfn.XLOOKUP(B240,Input!J:J,Input!N:S)),"")</f>
        <v/>
      </c>
      <c r="V240" s="13" t="str">
        <v/>
      </c>
      <c r="W240" s="13" t="str">
        <v/>
      </c>
      <c r="X240" s="13" t="str">
        <v/>
      </c>
      <c r="Y240" s="13" t="str">
        <v/>
      </c>
      <c r="Z240" s="13" t="str">
        <v/>
      </c>
      <c r="AA240" t="str">
        <f t="shared" si="10"/>
        <v/>
      </c>
      <c r="AB240" t="str">
        <f>_xlfn.XLOOKUP(B:B,Disk_Pivot!G:G,Disk_Pivot!I:I)</f>
        <v>No</v>
      </c>
      <c r="AC240" t="str">
        <f>_xlfn.XLOOKUP(B240,Disk_Pivot!G:G,Disk_Pivot!N:N)</f>
        <v/>
      </c>
    </row>
    <row r="241" spans="6:29">
      <c r="F241" t="str">
        <f>_xlfn.XLOOKUP(H241,Models!B:B,Models!F:F,"")</f>
        <v/>
      </c>
      <c r="K241">
        <f>_xlfn.XLOOKUP(B241,CPU_Formula!A:A,CPU_Formula!I:I)</f>
        <v>0</v>
      </c>
      <c r="L241" s="13" t="e">
        <f>INDEX(Input!$D$2:$AD$500,
       MATCH(B241, Input!$J$2:$J$500, 0),
       MATCH("Memory Capacity", Input!$D$1:$AD$1, 0))</f>
        <v>#N/A</v>
      </c>
      <c r="M241" s="13" t="e">
        <f>INDEX(Input!$D$2:$AD$500,
       MATCH(B241, Input!$J$2:$J$500, 0),
       MATCH("Memory Type", Input!$D$1:$AD$1, 0))</f>
        <v>#N/A</v>
      </c>
      <c r="N241" s="13" t="e">
        <f t="shared" si="9"/>
        <v>#N/A</v>
      </c>
      <c r="S241" s="13" t="str">
        <f>_xlfn.LET(_xlpm.Result,_xlfn.XLOOKUP(B241,Input!J:J,Input!AB:AB),IF(_xlpm.Result="","",_xlpm.Result))</f>
        <v/>
      </c>
      <c r="T241" s="13" t="str" cm="1">
        <f t="array" ref="T241">IFERROR(_xlfn.IFS(
   --S241&lt;55,"Battery Defect",
  -- S241&lt;=69,"Battery D",
  --S241&lt;=80,"Battery C",
 --S241&gt;80,""
),"")</f>
        <v/>
      </c>
      <c r="U241" s="13" t="str" cm="1">
        <f t="array" ref="U241:Z241">IFERROR(IF(_xlfn.XLOOKUP(B241,Input!J:J,Input!N:S)=0,"",
          _xlfn.XLOOKUP(B241,Input!J:J,Input!N:S)),"")</f>
        <v/>
      </c>
      <c r="V241" s="13" t="str">
        <v/>
      </c>
      <c r="W241" s="13" t="str">
        <v/>
      </c>
      <c r="X241" s="13" t="str">
        <v/>
      </c>
      <c r="Y241" s="13" t="str">
        <v/>
      </c>
      <c r="Z241" s="13" t="str">
        <v/>
      </c>
      <c r="AA241" t="str">
        <f t="shared" si="10"/>
        <v/>
      </c>
      <c r="AB241" t="str">
        <f>_xlfn.XLOOKUP(B:B,Disk_Pivot!G:G,Disk_Pivot!I:I)</f>
        <v>No</v>
      </c>
      <c r="AC241" t="str">
        <f>_xlfn.XLOOKUP(B241,Disk_Pivot!G:G,Disk_Pivot!N:N)</f>
        <v/>
      </c>
    </row>
    <row r="242" spans="6:29">
      <c r="F242" t="str">
        <f>_xlfn.XLOOKUP(H242,Models!B:B,Models!F:F,"")</f>
        <v/>
      </c>
      <c r="K242">
        <f>_xlfn.XLOOKUP(B242,CPU_Formula!A:A,CPU_Formula!I:I)</f>
        <v>0</v>
      </c>
      <c r="L242" s="13" t="e">
        <f>INDEX(Input!$D$2:$AD$500,
       MATCH(B242, Input!$J$2:$J$500, 0),
       MATCH("Memory Capacity", Input!$D$1:$AD$1, 0))</f>
        <v>#N/A</v>
      </c>
      <c r="M242" s="13" t="e">
        <f>INDEX(Input!$D$2:$AD$500,
       MATCH(B242, Input!$J$2:$J$500, 0),
       MATCH("Memory Type", Input!$D$1:$AD$1, 0))</f>
        <v>#N/A</v>
      </c>
      <c r="N242" s="13" t="e">
        <f t="shared" si="9"/>
        <v>#N/A</v>
      </c>
      <c r="S242" s="13" t="str">
        <f>_xlfn.LET(_xlpm.Result,_xlfn.XLOOKUP(B242,Input!J:J,Input!AB:AB),IF(_xlpm.Result="","",_xlpm.Result))</f>
        <v/>
      </c>
      <c r="T242" s="13" t="str" cm="1">
        <f t="array" ref="T242">IFERROR(_xlfn.IFS(
   --S242&lt;55,"Battery Defect",
  -- S242&lt;=69,"Battery D",
  --S242&lt;=80,"Battery C",
 --S242&gt;80,""
),"")</f>
        <v/>
      </c>
      <c r="U242" s="13" t="str" cm="1">
        <f t="array" ref="U242:Z242">IFERROR(IF(_xlfn.XLOOKUP(B242,Input!J:J,Input!N:S)=0,"",
          _xlfn.XLOOKUP(B242,Input!J:J,Input!N:S)),"")</f>
        <v/>
      </c>
      <c r="V242" s="13" t="str">
        <v/>
      </c>
      <c r="W242" s="13" t="str">
        <v/>
      </c>
      <c r="X242" s="13" t="str">
        <v/>
      </c>
      <c r="Y242" s="13" t="str">
        <v/>
      </c>
      <c r="Z242" s="13" t="str">
        <v/>
      </c>
      <c r="AA242" t="str">
        <f t="shared" si="10"/>
        <v/>
      </c>
      <c r="AB242" t="str">
        <f>_xlfn.XLOOKUP(B:B,Disk_Pivot!G:G,Disk_Pivot!I:I)</f>
        <v>No</v>
      </c>
      <c r="AC242" t="str">
        <f>_xlfn.XLOOKUP(B242,Disk_Pivot!G:G,Disk_Pivot!N:N)</f>
        <v/>
      </c>
    </row>
    <row r="243" spans="6:29">
      <c r="F243" t="str">
        <f>_xlfn.XLOOKUP(H243,Models!B:B,Models!F:F,"")</f>
        <v/>
      </c>
      <c r="K243">
        <f>_xlfn.XLOOKUP(B243,CPU_Formula!A:A,CPU_Formula!I:I)</f>
        <v>0</v>
      </c>
      <c r="L243" s="13" t="e">
        <f>INDEX(Input!$D$2:$AD$500,
       MATCH(B243, Input!$J$2:$J$500, 0),
       MATCH("Memory Capacity", Input!$D$1:$AD$1, 0))</f>
        <v>#N/A</v>
      </c>
      <c r="M243" s="13" t="e">
        <f>INDEX(Input!$D$2:$AD$500,
       MATCH(B243, Input!$J$2:$J$500, 0),
       MATCH("Memory Type", Input!$D$1:$AD$1, 0))</f>
        <v>#N/A</v>
      </c>
      <c r="N243" s="13" t="e">
        <f t="shared" si="9"/>
        <v>#N/A</v>
      </c>
      <c r="S243" s="13" t="str">
        <f>_xlfn.LET(_xlpm.Result,_xlfn.XLOOKUP(B243,Input!J:J,Input!AB:AB),IF(_xlpm.Result="","",_xlpm.Result))</f>
        <v/>
      </c>
      <c r="T243" s="13" t="str" cm="1">
        <f t="array" ref="T243">IFERROR(_xlfn.IFS(
   --S243&lt;55,"Battery Defect",
  -- S243&lt;=69,"Battery D",
  --S243&lt;=80,"Battery C",
 --S243&gt;80,""
),"")</f>
        <v/>
      </c>
      <c r="U243" s="13" t="str" cm="1">
        <f t="array" ref="U243:Z243">IFERROR(IF(_xlfn.XLOOKUP(B243,Input!J:J,Input!N:S)=0,"",
          _xlfn.XLOOKUP(B243,Input!J:J,Input!N:S)),"")</f>
        <v/>
      </c>
      <c r="V243" s="13" t="str">
        <v/>
      </c>
      <c r="W243" s="13" t="str">
        <v/>
      </c>
      <c r="X243" s="13" t="str">
        <v/>
      </c>
      <c r="Y243" s="13" t="str">
        <v/>
      </c>
      <c r="Z243" s="13" t="str">
        <v/>
      </c>
      <c r="AA243" t="str">
        <f t="shared" si="10"/>
        <v/>
      </c>
      <c r="AB243" t="str">
        <f>_xlfn.XLOOKUP(B:B,Disk_Pivot!G:G,Disk_Pivot!I:I)</f>
        <v>No</v>
      </c>
      <c r="AC243" t="str">
        <f>_xlfn.XLOOKUP(B243,Disk_Pivot!G:G,Disk_Pivot!N:N)</f>
        <v/>
      </c>
    </row>
    <row r="244" spans="6:29">
      <c r="F244" t="str">
        <f>_xlfn.XLOOKUP(H244,Models!B:B,Models!F:F,"")</f>
        <v/>
      </c>
      <c r="K244">
        <f>_xlfn.XLOOKUP(B244,CPU_Formula!A:A,CPU_Formula!I:I)</f>
        <v>0</v>
      </c>
      <c r="L244" s="13" t="e">
        <f>INDEX(Input!$D$2:$AD$500,
       MATCH(B244, Input!$J$2:$J$500, 0),
       MATCH("Memory Capacity", Input!$D$1:$AD$1, 0))</f>
        <v>#N/A</v>
      </c>
      <c r="M244" s="13" t="e">
        <f>INDEX(Input!$D$2:$AD$500,
       MATCH(B244, Input!$J$2:$J$500, 0),
       MATCH("Memory Type", Input!$D$1:$AD$1, 0))</f>
        <v>#N/A</v>
      </c>
      <c r="N244" s="13" t="e">
        <f t="shared" si="9"/>
        <v>#N/A</v>
      </c>
      <c r="S244" s="13" t="str">
        <f>_xlfn.LET(_xlpm.Result,_xlfn.XLOOKUP(B244,Input!J:J,Input!AB:AB),IF(_xlpm.Result="","",_xlpm.Result))</f>
        <v/>
      </c>
      <c r="T244" s="13" t="str" cm="1">
        <f t="array" ref="T244">IFERROR(_xlfn.IFS(
   --S244&lt;55,"Battery Defect",
  -- S244&lt;=69,"Battery D",
  --S244&lt;=80,"Battery C",
 --S244&gt;80,""
),"")</f>
        <v/>
      </c>
      <c r="U244" s="13" t="str" cm="1">
        <f t="array" ref="U244:Z244">IFERROR(IF(_xlfn.XLOOKUP(B244,Input!J:J,Input!N:S)=0,"",
          _xlfn.XLOOKUP(B244,Input!J:J,Input!N:S)),"")</f>
        <v/>
      </c>
      <c r="V244" s="13" t="str">
        <v/>
      </c>
      <c r="W244" s="13" t="str">
        <v/>
      </c>
      <c r="X244" s="13" t="str">
        <v/>
      </c>
      <c r="Y244" s="13" t="str">
        <v/>
      </c>
      <c r="Z244" s="13" t="str">
        <v/>
      </c>
      <c r="AA244" t="str">
        <f t="shared" si="10"/>
        <v/>
      </c>
      <c r="AB244" t="str">
        <f>_xlfn.XLOOKUP(B:B,Disk_Pivot!G:G,Disk_Pivot!I:I)</f>
        <v>No</v>
      </c>
      <c r="AC244" t="str">
        <f>_xlfn.XLOOKUP(B244,Disk_Pivot!G:G,Disk_Pivot!N:N)</f>
        <v/>
      </c>
    </row>
    <row r="245" spans="6:29">
      <c r="F245" t="str">
        <f>_xlfn.XLOOKUP(H245,Models!B:B,Models!F:F,"")</f>
        <v/>
      </c>
      <c r="K245">
        <f>_xlfn.XLOOKUP(B245,CPU_Formula!A:A,CPU_Formula!I:I)</f>
        <v>0</v>
      </c>
      <c r="L245" s="13" t="e">
        <f>INDEX(Input!$D$2:$AD$500,
       MATCH(B245, Input!$J$2:$J$500, 0),
       MATCH("Memory Capacity", Input!$D$1:$AD$1, 0))</f>
        <v>#N/A</v>
      </c>
      <c r="M245" s="13" t="e">
        <f>INDEX(Input!$D$2:$AD$500,
       MATCH(B245, Input!$J$2:$J$500, 0),
       MATCH("Memory Type", Input!$D$1:$AD$1, 0))</f>
        <v>#N/A</v>
      </c>
      <c r="N245" s="13" t="e">
        <f t="shared" si="9"/>
        <v>#N/A</v>
      </c>
      <c r="S245" s="13" t="str">
        <f>_xlfn.LET(_xlpm.Result,_xlfn.XLOOKUP(B245,Input!J:J,Input!AB:AB),IF(_xlpm.Result="","",_xlpm.Result))</f>
        <v/>
      </c>
      <c r="T245" s="13" t="str" cm="1">
        <f t="array" ref="T245">IFERROR(_xlfn.IFS(
   --S245&lt;55,"Battery Defect",
  -- S245&lt;=69,"Battery D",
  --S245&lt;=80,"Battery C",
 --S245&gt;80,""
),"")</f>
        <v/>
      </c>
      <c r="U245" s="13" t="str" cm="1">
        <f t="array" ref="U245:Z245">IFERROR(IF(_xlfn.XLOOKUP(B245,Input!J:J,Input!N:S)=0,"",
          _xlfn.XLOOKUP(B245,Input!J:J,Input!N:S)),"")</f>
        <v/>
      </c>
      <c r="V245" s="13" t="str">
        <v/>
      </c>
      <c r="W245" s="13" t="str">
        <v/>
      </c>
      <c r="X245" s="13" t="str">
        <v/>
      </c>
      <c r="Y245" s="13" t="str">
        <v/>
      </c>
      <c r="Z245" s="13" t="str">
        <v/>
      </c>
      <c r="AA245" t="str">
        <f t="shared" si="10"/>
        <v/>
      </c>
      <c r="AB245" t="str">
        <f>_xlfn.XLOOKUP(B:B,Disk_Pivot!G:G,Disk_Pivot!I:I)</f>
        <v>No</v>
      </c>
      <c r="AC245" t="str">
        <f>_xlfn.XLOOKUP(B245,Disk_Pivot!G:G,Disk_Pivot!N:N)</f>
        <v/>
      </c>
    </row>
    <row r="246" spans="6:29">
      <c r="F246" t="str">
        <f>_xlfn.XLOOKUP(H246,Models!B:B,Models!F:F,"")</f>
        <v/>
      </c>
      <c r="K246">
        <f>_xlfn.XLOOKUP(B246,CPU_Formula!A:A,CPU_Formula!I:I)</f>
        <v>0</v>
      </c>
      <c r="L246" s="13" t="e">
        <f>INDEX(Input!$D$2:$AD$500,
       MATCH(B246, Input!$J$2:$J$500, 0),
       MATCH("Memory Capacity", Input!$D$1:$AD$1, 0))</f>
        <v>#N/A</v>
      </c>
      <c r="M246" s="13" t="e">
        <f>INDEX(Input!$D$2:$AD$500,
       MATCH(B246, Input!$J$2:$J$500, 0),
       MATCH("Memory Type", Input!$D$1:$AD$1, 0))</f>
        <v>#N/A</v>
      </c>
      <c r="N246" s="13" t="e">
        <f t="shared" si="9"/>
        <v>#N/A</v>
      </c>
      <c r="S246" s="13" t="str">
        <f>_xlfn.LET(_xlpm.Result,_xlfn.XLOOKUP(B246,Input!J:J,Input!AB:AB),IF(_xlpm.Result="","",_xlpm.Result))</f>
        <v/>
      </c>
      <c r="T246" s="13" t="str" cm="1">
        <f t="array" ref="T246">IFERROR(_xlfn.IFS(
   --S246&lt;55,"Battery Defect",
  -- S246&lt;=69,"Battery D",
  --S246&lt;=80,"Battery C",
 --S246&gt;80,""
),"")</f>
        <v/>
      </c>
      <c r="U246" s="13" t="str" cm="1">
        <f t="array" ref="U246:Z246">IFERROR(IF(_xlfn.XLOOKUP(B246,Input!J:J,Input!N:S)=0,"",
          _xlfn.XLOOKUP(B246,Input!J:J,Input!N:S)),"")</f>
        <v/>
      </c>
      <c r="V246" s="13" t="str">
        <v/>
      </c>
      <c r="W246" s="13" t="str">
        <v/>
      </c>
      <c r="X246" s="13" t="str">
        <v/>
      </c>
      <c r="Y246" s="13" t="str">
        <v/>
      </c>
      <c r="Z246" s="13" t="str">
        <v/>
      </c>
      <c r="AA246" t="str">
        <f t="shared" si="10"/>
        <v/>
      </c>
      <c r="AB246" t="str">
        <f>_xlfn.XLOOKUP(B:B,Disk_Pivot!G:G,Disk_Pivot!I:I)</f>
        <v>No</v>
      </c>
      <c r="AC246" t="str">
        <f>_xlfn.XLOOKUP(B246,Disk_Pivot!G:G,Disk_Pivot!N:N)</f>
        <v/>
      </c>
    </row>
    <row r="247" spans="6:29">
      <c r="F247" t="str">
        <f>_xlfn.XLOOKUP(H247,Models!B:B,Models!F:F,"")</f>
        <v/>
      </c>
      <c r="K247">
        <f>_xlfn.XLOOKUP(B247,CPU_Formula!A:A,CPU_Formula!I:I)</f>
        <v>0</v>
      </c>
      <c r="L247" s="13" t="e">
        <f>INDEX(Input!$D$2:$AD$500,
       MATCH(B247, Input!$J$2:$J$500, 0),
       MATCH("Memory Capacity", Input!$D$1:$AD$1, 0))</f>
        <v>#N/A</v>
      </c>
      <c r="M247" s="13" t="e">
        <f>INDEX(Input!$D$2:$AD$500,
       MATCH(B247, Input!$J$2:$J$500, 0),
       MATCH("Memory Type", Input!$D$1:$AD$1, 0))</f>
        <v>#N/A</v>
      </c>
      <c r="N247" s="13" t="e">
        <f t="shared" si="9"/>
        <v>#N/A</v>
      </c>
      <c r="S247" s="13" t="str">
        <f>_xlfn.LET(_xlpm.Result,_xlfn.XLOOKUP(B247,Input!J:J,Input!AB:AB),IF(_xlpm.Result="","",_xlpm.Result))</f>
        <v/>
      </c>
      <c r="T247" s="13" t="str" cm="1">
        <f t="array" ref="T247">IFERROR(_xlfn.IFS(
   --S247&lt;55,"Battery Defect",
  -- S247&lt;=69,"Battery D",
  --S247&lt;=80,"Battery C",
 --S247&gt;80,""
),"")</f>
        <v/>
      </c>
      <c r="U247" s="13" t="str" cm="1">
        <f t="array" ref="U247:Z247">IFERROR(IF(_xlfn.XLOOKUP(B247,Input!J:J,Input!N:S)=0,"",
          _xlfn.XLOOKUP(B247,Input!J:J,Input!N:S)),"")</f>
        <v/>
      </c>
      <c r="V247" s="13" t="str">
        <v/>
      </c>
      <c r="W247" s="13" t="str">
        <v/>
      </c>
      <c r="X247" s="13" t="str">
        <v/>
      </c>
      <c r="Y247" s="13" t="str">
        <v/>
      </c>
      <c r="Z247" s="13" t="str">
        <v/>
      </c>
      <c r="AA247" t="str">
        <f t="shared" si="10"/>
        <v/>
      </c>
      <c r="AB247" t="str">
        <f>_xlfn.XLOOKUP(B:B,Disk_Pivot!G:G,Disk_Pivot!I:I)</f>
        <v>No</v>
      </c>
      <c r="AC247" t="str">
        <f>_xlfn.XLOOKUP(B247,Disk_Pivot!G:G,Disk_Pivot!N:N)</f>
        <v/>
      </c>
    </row>
    <row r="248" spans="6:29">
      <c r="F248">
        <f>_xlfn.XLOOKUP(H248,Models!B:B,Models!F:F,"")</f>
        <v>0</v>
      </c>
      <c r="K248">
        <f>_xlfn.XLOOKUP(B248,CPU_Formula!A:A,CPU_Formula!I:I)</f>
        <v>0</v>
      </c>
      <c r="L248" s="13" t="e">
        <f>INDEX(Input!$D$2:$AD$500,
       MATCH(B248, Input!$J$2:$J$500, 0),
       MATCH("Memory Capacity", Input!$D$1:$AD$1, 0))</f>
        <v>#N/A</v>
      </c>
      <c r="M248" s="13" t="e">
        <f>INDEX(Input!$D$2:$AD$500,
       MATCH(B248, Input!$J$2:$J$500, 0),
       MATCH("Memory Type", Input!$D$1:$AD$1, 0))</f>
        <v>#N/A</v>
      </c>
      <c r="N248" s="13" t="e">
        <f t="shared" si="9"/>
        <v>#N/A</v>
      </c>
      <c r="S248" s="13" t="str">
        <f>_xlfn.LET(_xlpm.Result,_xlfn.XLOOKUP(B248,Input!J:J,Input!AB:AB),IF(_xlpm.Result="","",_xlpm.Result))</f>
        <v/>
      </c>
      <c r="T248" s="13" t="str" cm="1">
        <f t="array" ref="T248">IFERROR(_xlfn.IFS(
   --S248&lt;55,"Battery Defect",
  -- S248&lt;=69,"Battery D",
  --S248&lt;=80,"Battery C",
 --S248&gt;80,""
),"")</f>
        <v/>
      </c>
      <c r="U248" s="13" t="str" cm="1">
        <f t="array" ref="U248:Z248">IFERROR(IF(_xlfn.XLOOKUP(B248,Input!J:J,Input!N:S)=0,"",
          _xlfn.XLOOKUP(B248,Input!J:J,Input!N:S)),"")</f>
        <v/>
      </c>
      <c r="V248" s="13" t="str">
        <v/>
      </c>
      <c r="W248" s="13" t="str">
        <v/>
      </c>
      <c r="X248" s="13" t="str">
        <v/>
      </c>
      <c r="Y248" s="13" t="str">
        <v/>
      </c>
      <c r="Z248" s="13" t="str">
        <v/>
      </c>
      <c r="AA248" t="str">
        <f t="shared" si="10"/>
        <v/>
      </c>
      <c r="AB248" t="str">
        <f>_xlfn.XLOOKUP(B:B,Disk_Pivot!G:G,Disk_Pivot!I:I)</f>
        <v>No</v>
      </c>
      <c r="AC248" t="str">
        <f>_xlfn.XLOOKUP(B248,Disk_Pivot!G:G,Disk_Pivot!N:N)</f>
        <v/>
      </c>
    </row>
    <row r="249" spans="6:29">
      <c r="F249" t="str">
        <f>_xlfn.XLOOKUP(H249,Models!B:B,Models!F:F,"")</f>
        <v/>
      </c>
      <c r="K249">
        <f>_xlfn.XLOOKUP(B249,CPU_Formula!A:A,CPU_Formula!I:I)</f>
        <v>0</v>
      </c>
      <c r="L249" s="13" t="e">
        <f>INDEX(Input!$D$2:$AD$500,
       MATCH(B249, Input!$J$2:$J$500, 0),
       MATCH("Memory Capacity", Input!$D$1:$AD$1, 0))</f>
        <v>#N/A</v>
      </c>
      <c r="M249" s="13" t="e">
        <f>INDEX(Input!$D$2:$AD$500,
       MATCH(B249, Input!$J$2:$J$500, 0),
       MATCH("Memory Type", Input!$D$1:$AD$1, 0))</f>
        <v>#N/A</v>
      </c>
      <c r="N249" s="13" t="e">
        <f t="shared" si="9"/>
        <v>#N/A</v>
      </c>
      <c r="S249" s="13" t="str">
        <f>_xlfn.LET(_xlpm.Result,_xlfn.XLOOKUP(B249,Input!J:J,Input!AB:AB),IF(_xlpm.Result="","",_xlpm.Result))</f>
        <v/>
      </c>
      <c r="T249" s="13" t="str" cm="1">
        <f t="array" ref="T249">IFERROR(_xlfn.IFS(
   --S249&lt;55,"Battery Defect",
  -- S249&lt;=69,"Battery D",
  --S249&lt;=80,"Battery C",
 --S249&gt;80,""
),"")</f>
        <v/>
      </c>
      <c r="U249" s="13" t="str" cm="1">
        <f t="array" ref="U249:Z249">IFERROR(IF(_xlfn.XLOOKUP(B249,Input!J:J,Input!N:S)=0,"",
          _xlfn.XLOOKUP(B249,Input!J:J,Input!N:S)),"")</f>
        <v/>
      </c>
      <c r="V249" s="13" t="str">
        <v/>
      </c>
      <c r="W249" s="13" t="str">
        <v/>
      </c>
      <c r="X249" s="13" t="str">
        <v/>
      </c>
      <c r="Y249" s="13" t="str">
        <v/>
      </c>
      <c r="Z249" s="13" t="str">
        <v/>
      </c>
      <c r="AA249" t="str">
        <f t="shared" si="10"/>
        <v/>
      </c>
      <c r="AB249" t="str">
        <f>_xlfn.XLOOKUP(B:B,Disk_Pivot!G:G,Disk_Pivot!I:I)</f>
        <v>No</v>
      </c>
      <c r="AC249" t="str">
        <f>_xlfn.XLOOKUP(B249,Disk_Pivot!G:G,Disk_Pivot!N:N)</f>
        <v/>
      </c>
    </row>
    <row r="250" spans="6:29">
      <c r="F250" t="str">
        <f>_xlfn.XLOOKUP(H250,Models!B:B,Models!F:F,"")</f>
        <v/>
      </c>
      <c r="K250">
        <f>_xlfn.XLOOKUP(B250,CPU_Formula!A:A,CPU_Formula!I:I)</f>
        <v>0</v>
      </c>
      <c r="L250" s="13" t="e">
        <f>INDEX(Input!$D$2:$AD$500,
       MATCH(B250, Input!$J$2:$J$500, 0),
       MATCH("Memory Capacity", Input!$D$1:$AD$1, 0))</f>
        <v>#N/A</v>
      </c>
      <c r="M250" s="13" t="e">
        <f>INDEX(Input!$D$2:$AD$500,
       MATCH(B250, Input!$J$2:$J$500, 0),
       MATCH("Memory Type", Input!$D$1:$AD$1, 0))</f>
        <v>#N/A</v>
      </c>
      <c r="N250" s="13" t="e">
        <f t="shared" si="9"/>
        <v>#N/A</v>
      </c>
      <c r="S250" s="13" t="str">
        <f>_xlfn.LET(_xlpm.Result,_xlfn.XLOOKUP(B250,Input!J:J,Input!AB:AB),IF(_xlpm.Result="","",_xlpm.Result))</f>
        <v/>
      </c>
      <c r="T250" s="13" t="str" cm="1">
        <f t="array" ref="T250">IFERROR(_xlfn.IFS(
   --S250&lt;55,"Battery Defect",
  -- S250&lt;=69,"Battery D",
  --S250&lt;=80,"Battery C",
 --S250&gt;80,""
),"")</f>
        <v/>
      </c>
      <c r="U250" s="13" t="str" cm="1">
        <f t="array" ref="U250:Z250">IFERROR(IF(_xlfn.XLOOKUP(B250,Input!J:J,Input!N:S)=0,"",
          _xlfn.XLOOKUP(B250,Input!J:J,Input!N:S)),"")</f>
        <v/>
      </c>
      <c r="V250" s="13" t="str">
        <v/>
      </c>
      <c r="W250" s="13" t="str">
        <v/>
      </c>
      <c r="X250" s="13" t="str">
        <v/>
      </c>
      <c r="Y250" s="13" t="str">
        <v/>
      </c>
      <c r="Z250" s="13" t="str">
        <v/>
      </c>
      <c r="AA250" t="str">
        <f t="shared" si="10"/>
        <v/>
      </c>
      <c r="AB250" t="str">
        <f>_xlfn.XLOOKUP(B:B,Disk_Pivot!G:G,Disk_Pivot!I:I)</f>
        <v>No</v>
      </c>
      <c r="AC250" t="str">
        <f>_xlfn.XLOOKUP(B250,Disk_Pivot!G:G,Disk_Pivot!N:N)</f>
        <v/>
      </c>
    </row>
    <row r="251" spans="6:29">
      <c r="F251">
        <f>_xlfn.XLOOKUP(H251,Models!B:B,Models!F:F,"")</f>
        <v>0</v>
      </c>
      <c r="K251">
        <f>_xlfn.XLOOKUP(B251,CPU_Formula!A:A,CPU_Formula!I:I)</f>
        <v>0</v>
      </c>
      <c r="L251" s="13" t="e">
        <f>INDEX(Input!$D$2:$AD$500,
       MATCH(B251, Input!$J$2:$J$500, 0),
       MATCH("Memory Capacity", Input!$D$1:$AD$1, 0))</f>
        <v>#N/A</v>
      </c>
      <c r="M251" s="13" t="e">
        <f>INDEX(Input!$D$2:$AD$500,
       MATCH(B251, Input!$J$2:$J$500, 0),
       MATCH("Memory Type", Input!$D$1:$AD$1, 0))</f>
        <v>#N/A</v>
      </c>
      <c r="N251" s="13" t="e">
        <f t="shared" si="9"/>
        <v>#N/A</v>
      </c>
      <c r="S251" s="13" t="str">
        <f>_xlfn.LET(_xlpm.Result,_xlfn.XLOOKUP(B251,Input!J:J,Input!AB:AB),IF(_xlpm.Result="","",_xlpm.Result))</f>
        <v/>
      </c>
      <c r="T251" s="13" t="str" cm="1">
        <f t="array" ref="T251">IFERROR(_xlfn.IFS(
   --S251&lt;55,"Battery Defect",
  -- S251&lt;=69,"Battery D",
  --S251&lt;=80,"Battery C",
 --S251&gt;80,""
),"")</f>
        <v/>
      </c>
      <c r="U251" s="13" t="str" cm="1">
        <f t="array" ref="U251:Z251">IFERROR(IF(_xlfn.XLOOKUP(B252,Input!J:J,Input!N:S)=0,"",
          _xlfn.XLOOKUP(B252,Input!J:J,Input!N:S)),"")</f>
        <v/>
      </c>
      <c r="V251" s="13" t="str">
        <v/>
      </c>
      <c r="W251" s="13" t="str">
        <v/>
      </c>
      <c r="X251" s="13" t="str">
        <v/>
      </c>
      <c r="Y251" s="13" t="str">
        <v/>
      </c>
      <c r="Z251" s="13" t="str">
        <v/>
      </c>
      <c r="AA251" t="str">
        <f t="shared" si="10"/>
        <v/>
      </c>
      <c r="AB251" t="str">
        <f>_xlfn.XLOOKUP(B:B,Disk_Pivot!G:G,Disk_Pivot!I:I)</f>
        <v>No</v>
      </c>
      <c r="AC251" t="str">
        <f>_xlfn.XLOOKUP(B251,Disk_Pivot!G:G,Disk_Pivot!N:N)</f>
        <v/>
      </c>
    </row>
    <row r="252" spans="6:29">
      <c r="F252" t="str">
        <f>_xlfn.XLOOKUP(H252,Models!B:B,Models!F:F,"")</f>
        <v/>
      </c>
      <c r="K252">
        <f>_xlfn.XLOOKUP(B252,CPU_Formula!A:A,CPU_Formula!I:I)</f>
        <v>0</v>
      </c>
      <c r="L252" s="13" t="e">
        <f>INDEX(Input!$D$2:$AD$500,
       MATCH(B252, Input!$J$2:$J$500, 0),
       MATCH("Memory Capacity", Input!$D$1:$AD$1, 0))</f>
        <v>#N/A</v>
      </c>
      <c r="M252" s="13" t="e">
        <f>INDEX(Input!$D$2:$AD$500,
       MATCH(B252, Input!$J$2:$J$500, 0),
       MATCH("Memory Type", Input!$D$1:$AD$1, 0))</f>
        <v>#N/A</v>
      </c>
      <c r="N252" s="13" t="e">
        <f t="shared" si="9"/>
        <v>#N/A</v>
      </c>
      <c r="S252" s="13" t="str">
        <f>_xlfn.LET(_xlpm.Result,_xlfn.XLOOKUP(B252,Input!J:J,Input!AB:AB),IF(_xlpm.Result="","",_xlpm.Result))</f>
        <v/>
      </c>
      <c r="T252" s="13" t="str" cm="1">
        <f t="array" ref="T252">IFERROR(_xlfn.IFS(
   --S252&lt;55,"Battery Defect",
  -- S252&lt;=69,"Battery D",
  --S252&lt;=80,"Battery C",
 --S252&gt;80,""
),"")</f>
        <v/>
      </c>
      <c r="U252" s="13" t="str" cm="1">
        <f t="array" ref="U252:Z252">IFERROR(IF(_xlfn.XLOOKUP(B253,Input!J:J,Input!N:S)=0,"",
          _xlfn.XLOOKUP(B253,Input!J:J,Input!N:S)),"")</f>
        <v/>
      </c>
      <c r="V252" s="13" t="str">
        <v/>
      </c>
      <c r="W252" s="13" t="str">
        <v/>
      </c>
      <c r="X252" s="13" t="str">
        <v/>
      </c>
      <c r="Y252" s="13" t="str">
        <v/>
      </c>
      <c r="Z252" s="13" t="str">
        <v/>
      </c>
      <c r="AA252" t="str">
        <f t="shared" si="10"/>
        <v/>
      </c>
      <c r="AB252" t="str">
        <f>_xlfn.XLOOKUP(B:B,Disk_Pivot!G:G,Disk_Pivot!I:I)</f>
        <v>No</v>
      </c>
      <c r="AC252" t="str">
        <f>_xlfn.XLOOKUP(B252,Disk_Pivot!G:G,Disk_Pivot!N:N)</f>
        <v/>
      </c>
    </row>
    <row r="253" spans="6:29">
      <c r="F253" t="str">
        <f>_xlfn.XLOOKUP(H253,Models!B:B,Models!F:F,"")</f>
        <v/>
      </c>
      <c r="K253">
        <f>_xlfn.XLOOKUP(B253,CPU_Formula!A:A,CPU_Formula!I:I)</f>
        <v>0</v>
      </c>
      <c r="L253" s="13" t="e">
        <f>INDEX(Input!$D$2:$AD$500,
       MATCH(B253, Input!$J$2:$J$500, 0),
       MATCH("Memory Capacity", Input!$D$1:$AD$1, 0))</f>
        <v>#N/A</v>
      </c>
      <c r="M253" s="13" t="e">
        <f>INDEX(Input!$D$2:$AD$500,
       MATCH(B253, Input!$J$2:$J$500, 0),
       MATCH("Memory Type", Input!$D$1:$AD$1, 0))</f>
        <v>#N/A</v>
      </c>
      <c r="N253" s="13" t="e">
        <f t="shared" si="9"/>
        <v>#N/A</v>
      </c>
      <c r="S253" s="13" t="str">
        <f>_xlfn.LET(_xlpm.Result,_xlfn.XLOOKUP(B253,Input!J:J,Input!AB:AB),IF(_xlpm.Result="","",_xlpm.Result))</f>
        <v/>
      </c>
      <c r="T253" s="13" t="str" cm="1">
        <f t="array" ref="T253">IFERROR(_xlfn.IFS(
   --S253&lt;55,"Battery Defect",
  -- S253&lt;=69,"Battery D",
  --S253&lt;=80,"Battery C",
 --S253&gt;80,""
),"")</f>
        <v/>
      </c>
      <c r="U253" s="13" t="str" cm="1">
        <f t="array" ref="U253:Z253">IFERROR(IF(_xlfn.XLOOKUP(B254,Input!J:J,Input!N:S)=0,"",
          _xlfn.XLOOKUP(B254,Input!J:J,Input!N:S)),"")</f>
        <v/>
      </c>
      <c r="V253" s="13" t="str">
        <v/>
      </c>
      <c r="W253" s="13" t="str">
        <v/>
      </c>
      <c r="X253" s="13" t="str">
        <v/>
      </c>
      <c r="Y253" s="13" t="str">
        <v/>
      </c>
      <c r="Z253" s="13" t="str">
        <v/>
      </c>
      <c r="AA253" t="str">
        <f t="shared" si="10"/>
        <v/>
      </c>
    </row>
    <row r="254" spans="6:29">
      <c r="F254" t="str">
        <f>_xlfn.XLOOKUP(H254,Models!B:B,Models!F:F,"")</f>
        <v/>
      </c>
      <c r="K254">
        <f>_xlfn.XLOOKUP(B254,CPU_Formula!A:A,CPU_Formula!I:I)</f>
        <v>0</v>
      </c>
      <c r="L254" s="13" t="e">
        <f>INDEX(Input!$D$2:$AD$500,
       MATCH(B254, Input!$J$2:$J$500, 0),
       MATCH("Memory Capacity", Input!$D$1:$AD$1, 0))</f>
        <v>#N/A</v>
      </c>
      <c r="M254" s="13" t="e">
        <f>INDEX(Input!$D$2:$AD$500,
       MATCH(B254, Input!$J$2:$J$500, 0),
       MATCH("Memory Type", Input!$D$1:$AD$1, 0))</f>
        <v>#N/A</v>
      </c>
      <c r="N254" s="13" t="e">
        <f t="shared" si="9"/>
        <v>#N/A</v>
      </c>
      <c r="S254" s="13" t="str">
        <f>_xlfn.LET(_xlpm.Result,_xlfn.XLOOKUP(B254,Input!J:J,Input!AB:AB),IF(_xlpm.Result="","",_xlpm.Result))</f>
        <v/>
      </c>
      <c r="T254" s="13" t="str" cm="1">
        <f t="array" ref="T254">IFERROR(_xlfn.IFS(
   --S254&lt;55,"Battery Defect",
  -- S254&lt;=69,"Battery D",
  --S254&lt;=80,"Battery C",
 --S254&gt;80,""
),"")</f>
        <v/>
      </c>
      <c r="U254" s="13" t="str" cm="1">
        <f t="array" ref="U254:Z254">IFERROR(IF(_xlfn.XLOOKUP(B255,Input!J:J,Input!N:S)=0,"",
          _xlfn.XLOOKUP(B255,Input!J:J,Input!N:S)),"")</f>
        <v/>
      </c>
      <c r="V254" s="13" t="str">
        <v/>
      </c>
      <c r="W254" s="13" t="str">
        <v/>
      </c>
      <c r="X254" s="13" t="str">
        <v/>
      </c>
      <c r="Y254" s="13" t="str">
        <v/>
      </c>
      <c r="Z254" s="13" t="str">
        <v/>
      </c>
      <c r="AA254" t="str">
        <f t="shared" si="10"/>
        <v/>
      </c>
    </row>
    <row r="255" spans="6:29">
      <c r="K255">
        <f>_xlfn.XLOOKUP(B255,CPU_Formula!A:A,CPU_Formula!I:I)</f>
        <v>0</v>
      </c>
      <c r="S255" s="13" t="str">
        <f>_xlfn.LET(_xlpm.Result,_xlfn.XLOOKUP(B255,Input!J:J,Input!AB:AB),IF(_xlpm.Result="","",_xlpm.Result))</f>
        <v/>
      </c>
      <c r="T255" s="13" t="str" cm="1">
        <f t="array" ref="T255">IFERROR(_xlfn.IFS(
   --S255&lt;55,"Battery Defect",
  -- S255&lt;=69,"Battery D",
  --S255&lt;=80,"Battery C",
 --S255&gt;80,""
),"")</f>
        <v/>
      </c>
      <c r="U255" s="13" t="str" cm="1">
        <f t="array" ref="U255:Z255">IFERROR(IF(_xlfn.XLOOKUP(B256,Input!J:J,Input!N:S)=0,"",
          _xlfn.XLOOKUP(B256,Input!J:J,Input!N:S)),"")</f>
        <v/>
      </c>
      <c r="V255" s="13" t="str">
        <v/>
      </c>
      <c r="W255" s="13" t="str">
        <v/>
      </c>
      <c r="X255" s="13" t="str">
        <v/>
      </c>
      <c r="Y255" s="13" t="str">
        <v/>
      </c>
      <c r="Z255" s="13" t="str">
        <v/>
      </c>
      <c r="AA255" t="str">
        <f t="shared" si="10"/>
        <v/>
      </c>
    </row>
    <row r="256" spans="6:29">
      <c r="K256">
        <f>_xlfn.XLOOKUP(B256,CPU_Formula!A:A,CPU_Formula!I:I)</f>
        <v>0</v>
      </c>
      <c r="S256" s="13" t="str">
        <f>_xlfn.LET(_xlpm.Result,_xlfn.XLOOKUP(B256,Input!J:J,Input!AB:AB),IF(_xlpm.Result="","",_xlpm.Result))</f>
        <v/>
      </c>
      <c r="T256" s="13" t="str" cm="1">
        <f t="array" ref="T256">IFERROR(_xlfn.IFS(
   --S256&lt;55,"Battery Defect",
  -- S256&lt;=69,"Battery D",
  --S256&lt;=80,"Battery C",
 --S256&gt;80,""
),"")</f>
        <v/>
      </c>
      <c r="U256" s="13" t="str" cm="1">
        <f t="array" ref="U256:Z256">IFERROR(IF(_xlfn.XLOOKUP(B257,Input!J:J,Input!N:S)=0,"",
          _xlfn.XLOOKUP(B257,Input!J:J,Input!N:S)),"")</f>
        <v/>
      </c>
      <c r="V256" s="13" t="str">
        <v/>
      </c>
      <c r="W256" s="13" t="str">
        <v/>
      </c>
      <c r="X256" s="13" t="str">
        <v/>
      </c>
      <c r="Y256" s="13" t="str">
        <v/>
      </c>
      <c r="Z256" s="13" t="str">
        <v/>
      </c>
      <c r="AA256" t="str">
        <f t="shared" si="10"/>
        <v/>
      </c>
    </row>
    <row r="257" spans="11:26">
      <c r="K257">
        <f>_xlfn.XLOOKUP(B257,CPU_Formula!A:A,CPU_Formula!I:I)</f>
        <v>0</v>
      </c>
      <c r="S257" s="13" t="str">
        <f>_xlfn.LET(_xlpm.Result,_xlfn.XLOOKUP(B257,Input!J:J,Input!AB:AB),IF(_xlpm.Result="","",_xlpm.Result))</f>
        <v/>
      </c>
      <c r="T257" s="13" t="str" cm="1">
        <f t="array" ref="T257">IFERROR(_xlfn.IFS(
   --S257&lt;55,"Battery Defect",
  -- S257&lt;=69,"Battery D",
  --S257&lt;=80,"Battery C",
 --S257&gt;80,""
),"")</f>
        <v/>
      </c>
      <c r="U257" s="13" t="str" cm="1">
        <f t="array" ref="U257:Z257">IFERROR(IF(_xlfn.XLOOKUP(B258,Input!J:J,Input!N:S)=0,"",
          _xlfn.XLOOKUP(B258,Input!J:J,Input!N:S)),"")</f>
        <v/>
      </c>
      <c r="V257" s="13" t="str">
        <v/>
      </c>
      <c r="W257" s="13" t="str">
        <v/>
      </c>
      <c r="X257" s="13" t="str">
        <v/>
      </c>
      <c r="Y257" s="13" t="str">
        <v/>
      </c>
      <c r="Z257" s="13" t="str">
        <v/>
      </c>
    </row>
    <row r="258" spans="11:26">
      <c r="K258">
        <f>_xlfn.XLOOKUP(B258,CPU_Formula!A:A,CPU_Formula!I:I)</f>
        <v>0</v>
      </c>
      <c r="S258" s="13" t="str">
        <f>_xlfn.LET(_xlpm.Result,_xlfn.XLOOKUP(B258,Input!J:J,Input!AB:AB),IF(_xlpm.Result="","",_xlpm.Result))</f>
        <v/>
      </c>
      <c r="T258" s="13" t="str" cm="1">
        <f t="array" ref="T258">IFERROR(_xlfn.IFS(
   --S258&lt;55,"Battery Defect",
  -- S258&lt;=69,"Battery D",
  --S258&lt;=80,"Battery C",
 --S258&gt;80,""
),"")</f>
        <v/>
      </c>
      <c r="U258" s="13" t="str" cm="1">
        <f t="array" ref="U258:Z258">IFERROR(IF(_xlfn.XLOOKUP(B259,Input!J:J,Input!N:S)=0,"",
          _xlfn.XLOOKUP(B259,Input!J:J,Input!N:S)),"")</f>
        <v/>
      </c>
      <c r="V258" s="13" t="str">
        <v/>
      </c>
      <c r="W258" s="13" t="str">
        <v/>
      </c>
      <c r="X258" s="13" t="str">
        <v/>
      </c>
      <c r="Y258" s="13" t="str">
        <v/>
      </c>
      <c r="Z258" s="13" t="str">
        <v/>
      </c>
    </row>
    <row r="259" spans="11:26">
      <c r="K259">
        <f>_xlfn.XLOOKUP(B259,CPU_Formula!A:A,CPU_Formula!I:I)</f>
        <v>0</v>
      </c>
      <c r="S259" s="13" t="str">
        <f>_xlfn.LET(_xlpm.Result,_xlfn.XLOOKUP(B259,Input!J:J,Input!AB:AB),IF(_xlpm.Result="","",_xlpm.Result))</f>
        <v/>
      </c>
      <c r="T259" s="13" t="str" cm="1">
        <f t="array" ref="T259">IFERROR(_xlfn.IFS(
   --S259&lt;55,"Battery Defect",
  -- S259&lt;=69,"Battery D",
  --S259&lt;=80,"Battery C",
 --S259&gt;80,""
),"")</f>
        <v/>
      </c>
      <c r="U259" s="13" t="str" cm="1">
        <f t="array" ref="U259:Z259">IFERROR(IF(_xlfn.XLOOKUP(B260,Input!J:J,Input!N:S)=0,"",
          _xlfn.XLOOKUP(B260,Input!J:J,Input!N:S)),"")</f>
        <v/>
      </c>
      <c r="V259" s="13" t="str">
        <v/>
      </c>
      <c r="W259" s="13" t="str">
        <v/>
      </c>
      <c r="X259" s="13" t="str">
        <v/>
      </c>
      <c r="Y259" s="13" t="str">
        <v/>
      </c>
      <c r="Z259" s="13" t="str">
        <v/>
      </c>
    </row>
    <row r="260" spans="11:26">
      <c r="K260">
        <f>_xlfn.XLOOKUP(B260,CPU_Formula!A:A,CPU_Formula!I:I)</f>
        <v>0</v>
      </c>
      <c r="S260" s="13" t="str">
        <f>_xlfn.LET(_xlpm.Result,_xlfn.XLOOKUP(B260,Input!J:J,Input!AB:AB),IF(_xlpm.Result="","",_xlpm.Result))</f>
        <v/>
      </c>
      <c r="T260" s="13" t="str" cm="1">
        <f t="array" ref="T260">IFERROR(_xlfn.IFS(
   --S260&lt;55,"Battery Defect",
  -- S260&lt;=69,"Battery D",
  --S260&lt;=80,"Battery C",
 --S260&gt;80,""
),"")</f>
        <v/>
      </c>
    </row>
  </sheetData>
  <mergeCells count="1">
    <mergeCell ref="U1:Z1"/>
  </mergeCells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4EDF4BD-6969-4466-9094-7377506CD81B}">
  <sheetPr codeName="Sheet8"/>
  <dimension ref="A1:I104"/>
  <sheetViews>
    <sheetView workbookViewId="0">
      <selection activeCell="G53" sqref="G53"/>
    </sheetView>
  </sheetViews>
  <sheetFormatPr defaultRowHeight="15"/>
  <cols>
    <col min="1" max="1" width="11.28515625" bestFit="1" customWidth="1"/>
    <col min="2" max="2" width="46" style="13" bestFit="1" customWidth="1"/>
    <col min="3" max="3" width="23.5703125" style="13" bestFit="1" customWidth="1"/>
    <col min="4" max="4" width="35.85546875" style="13" bestFit="1" customWidth="1"/>
    <col min="5" max="5" width="11.42578125" style="13" bestFit="1" customWidth="1"/>
    <col min="6" max="6" width="11.7109375" style="13" bestFit="1" customWidth="1"/>
    <col min="7" max="7" width="12.85546875" style="13" bestFit="1" customWidth="1"/>
    <col min="8" max="8" width="11.7109375" style="13" bestFit="1" customWidth="1"/>
    <col min="9" max="9" width="11.42578125" bestFit="1" customWidth="1"/>
  </cols>
  <sheetData>
    <row r="1" spans="1:9" ht="18" thickBot="1">
      <c r="A1" s="29" t="s">
        <v>65</v>
      </c>
      <c r="B1" s="12" t="s">
        <v>322</v>
      </c>
      <c r="C1" s="12" t="s">
        <v>316</v>
      </c>
      <c r="D1" s="12" t="s">
        <v>317</v>
      </c>
      <c r="E1" s="12" t="s">
        <v>318</v>
      </c>
      <c r="F1" s="12" t="s">
        <v>319</v>
      </c>
      <c r="G1" s="12" t="s">
        <v>320</v>
      </c>
      <c r="H1" s="12" t="s">
        <v>321</v>
      </c>
      <c r="I1" s="1" t="s">
        <v>9</v>
      </c>
    </row>
    <row r="2" spans="1:9" ht="15.75" thickTop="1">
      <c r="A2">
        <f>CSV!B2</f>
        <v>0</v>
      </c>
      <c r="B2" s="13" t="e">
        <f>INDEX(Input!$D$2:$AD$500,
       MATCH(CPU_Formula!A2, Input!$J$2:$J$500, 0),
       MATCH("CPU model", Input!$D$1:$AD$1, 0))</f>
        <v>#N/A</v>
      </c>
      <c r="C2" s="13" t="str">
        <f t="shared" ref="C2:C65" si="0">IFERROR(_xlfn.TEXTAFTER(B2,"Core(TM) "), "")</f>
        <v/>
      </c>
      <c r="D2" s="13" t="str">
        <f t="shared" ref="D2:D65" si="1">IF(ISNUMBER(SEARCH("Ryzen", B2)), _xlfn.TEXTAFTER(B2, "AMD"), "")</f>
        <v/>
      </c>
      <c r="E2" s="13" t="str">
        <f t="shared" ref="E2:E65" si="2">IF(ISNUMBER(SEARCH("Ultra", B2)), "Ultra"&amp;_xlfn.TEXTAFTER(B2, "Ultra"), "")</f>
        <v/>
      </c>
      <c r="F2" s="13" t="str">
        <f t="shared" ref="F2:F65" si="3">IF(C2&lt;&gt;"", TRIM(_xlfn.TEXTBEFORE(C2," ",,1,1)), "")</f>
        <v/>
      </c>
      <c r="G2" s="13" t="str">
        <f t="shared" ref="G2:G65" si="4">IFERROR(_xlfn.TEXTBEFORE(D2,"w/"),"")</f>
        <v/>
      </c>
      <c r="H2" s="13" t="str">
        <f t="shared" ref="H2:H65" si="5">E2</f>
        <v/>
      </c>
      <c r="I2" t="str">
        <f t="shared" ref="I2:I65" si="6">IF(H2&lt;&gt;"",H2,IF(G2&lt;&gt;"",G2,F2))</f>
        <v/>
      </c>
    </row>
    <row r="3" spans="1:9">
      <c r="A3">
        <f>CSV!B3</f>
        <v>0</v>
      </c>
      <c r="B3" s="13" t="e">
        <f>INDEX(Input!$D$2:$AD$500,
       MATCH(CPU_Formula!A3, Input!$J$2:$J$500, 0),
       MATCH("CPU model", Input!$D$1:$AD$1, 0))</f>
        <v>#N/A</v>
      </c>
      <c r="C3" s="13" t="str">
        <f t="shared" si="0"/>
        <v/>
      </c>
      <c r="D3" s="13" t="str">
        <f t="shared" si="1"/>
        <v/>
      </c>
      <c r="E3" s="13" t="str">
        <f t="shared" si="2"/>
        <v/>
      </c>
      <c r="F3" s="13" t="str">
        <f t="shared" si="3"/>
        <v/>
      </c>
      <c r="G3" s="13" t="str">
        <f t="shared" si="4"/>
        <v/>
      </c>
      <c r="H3" s="13" t="str">
        <f t="shared" si="5"/>
        <v/>
      </c>
      <c r="I3" t="str">
        <f t="shared" si="6"/>
        <v/>
      </c>
    </row>
    <row r="4" spans="1:9">
      <c r="A4">
        <f>CSV!B4</f>
        <v>0</v>
      </c>
      <c r="B4" s="13" t="e">
        <f>INDEX(Input!$D$2:$AD$500,
       MATCH(CPU_Formula!A4, Input!$J$2:$J$500, 0),
       MATCH("CPU model", Input!$D$1:$AD$1, 0))</f>
        <v>#N/A</v>
      </c>
      <c r="C4" s="13" t="str">
        <f t="shared" si="0"/>
        <v/>
      </c>
      <c r="D4" s="13" t="str">
        <f t="shared" si="1"/>
        <v/>
      </c>
      <c r="E4" s="13" t="str">
        <f t="shared" si="2"/>
        <v/>
      </c>
      <c r="F4" s="13" t="str">
        <f t="shared" si="3"/>
        <v/>
      </c>
      <c r="G4" s="13" t="str">
        <f t="shared" si="4"/>
        <v/>
      </c>
      <c r="H4" s="13" t="str">
        <f t="shared" si="5"/>
        <v/>
      </c>
      <c r="I4" t="str">
        <f t="shared" si="6"/>
        <v/>
      </c>
    </row>
    <row r="5" spans="1:9">
      <c r="A5">
        <f>CSV!B5</f>
        <v>0</v>
      </c>
      <c r="B5" s="13" t="e">
        <f>INDEX(Input!$D$2:$AD$500,
       MATCH(CPU_Formula!A5, Input!$J$2:$J$500, 0),
       MATCH("CPU model", Input!$D$1:$AD$1, 0))</f>
        <v>#N/A</v>
      </c>
      <c r="C5" s="13" t="str">
        <f t="shared" si="0"/>
        <v/>
      </c>
      <c r="D5" s="13" t="str">
        <f t="shared" si="1"/>
        <v/>
      </c>
      <c r="E5" s="13" t="str">
        <f t="shared" si="2"/>
        <v/>
      </c>
      <c r="F5" s="13" t="str">
        <f t="shared" si="3"/>
        <v/>
      </c>
      <c r="G5" s="13" t="str">
        <f t="shared" si="4"/>
        <v/>
      </c>
      <c r="H5" s="13" t="str">
        <f t="shared" si="5"/>
        <v/>
      </c>
      <c r="I5" t="str">
        <f t="shared" si="6"/>
        <v/>
      </c>
    </row>
    <row r="6" spans="1:9">
      <c r="A6">
        <f>CSV!B6</f>
        <v>0</v>
      </c>
      <c r="B6" s="13" t="e">
        <f>INDEX(Input!$D$2:$AD$500,
       MATCH(CPU_Formula!A6, Input!$J$2:$J$500, 0),
       MATCH("CPU model", Input!$D$1:$AD$1, 0))</f>
        <v>#N/A</v>
      </c>
      <c r="C6" s="13" t="str">
        <f t="shared" si="0"/>
        <v/>
      </c>
      <c r="D6" s="13" t="str">
        <f t="shared" si="1"/>
        <v/>
      </c>
      <c r="E6" s="13" t="str">
        <f t="shared" si="2"/>
        <v/>
      </c>
      <c r="F6" s="13" t="str">
        <f t="shared" si="3"/>
        <v/>
      </c>
      <c r="G6" s="13" t="str">
        <f t="shared" si="4"/>
        <v/>
      </c>
      <c r="H6" s="13" t="str">
        <f t="shared" si="5"/>
        <v/>
      </c>
      <c r="I6" t="str">
        <f t="shared" si="6"/>
        <v/>
      </c>
    </row>
    <row r="7" spans="1:9">
      <c r="A7">
        <f>CSV!B7</f>
        <v>0</v>
      </c>
      <c r="B7" s="13" t="e">
        <f>INDEX(Input!$D$2:$AD$500,
       MATCH(CPU_Formula!A7, Input!$J$2:$J$500, 0),
       MATCH("CPU model", Input!$D$1:$AD$1, 0))</f>
        <v>#N/A</v>
      </c>
      <c r="C7" s="13" t="str">
        <f t="shared" si="0"/>
        <v/>
      </c>
      <c r="D7" s="13" t="str">
        <f t="shared" si="1"/>
        <v/>
      </c>
      <c r="E7" s="13" t="str">
        <f t="shared" si="2"/>
        <v/>
      </c>
      <c r="F7" s="13" t="str">
        <f t="shared" si="3"/>
        <v/>
      </c>
      <c r="G7" s="13" t="str">
        <f t="shared" si="4"/>
        <v/>
      </c>
      <c r="H7" s="13" t="str">
        <f t="shared" si="5"/>
        <v/>
      </c>
      <c r="I7" t="str">
        <f t="shared" si="6"/>
        <v/>
      </c>
    </row>
    <row r="8" spans="1:9">
      <c r="A8">
        <f>CSV!B8</f>
        <v>0</v>
      </c>
      <c r="B8" s="13" t="e">
        <f>INDEX(Input!$D$2:$AD$500,
       MATCH(CPU_Formula!A8, Input!$J$2:$J$500, 0),
       MATCH("CPU model", Input!$D$1:$AD$1, 0))</f>
        <v>#N/A</v>
      </c>
      <c r="C8" s="13" t="str">
        <f t="shared" si="0"/>
        <v/>
      </c>
      <c r="D8" s="13" t="str">
        <f t="shared" si="1"/>
        <v/>
      </c>
      <c r="E8" s="13" t="str">
        <f t="shared" si="2"/>
        <v/>
      </c>
      <c r="F8" s="13" t="str">
        <f t="shared" si="3"/>
        <v/>
      </c>
      <c r="G8" s="13" t="str">
        <f t="shared" si="4"/>
        <v/>
      </c>
      <c r="H8" s="13" t="str">
        <f t="shared" si="5"/>
        <v/>
      </c>
      <c r="I8" t="str">
        <f t="shared" si="6"/>
        <v/>
      </c>
    </row>
    <row r="9" spans="1:9">
      <c r="A9">
        <f>CSV!B9</f>
        <v>0</v>
      </c>
      <c r="B9" s="13" t="e">
        <f>INDEX(Input!$D$2:$AD$500,
       MATCH(CPU_Formula!A9, Input!$J$2:$J$500, 0),
       MATCH("CPU model", Input!$D$1:$AD$1, 0))</f>
        <v>#N/A</v>
      </c>
      <c r="C9" s="13" t="str">
        <f t="shared" si="0"/>
        <v/>
      </c>
      <c r="D9" s="13" t="str">
        <f t="shared" si="1"/>
        <v/>
      </c>
      <c r="E9" s="13" t="str">
        <f t="shared" si="2"/>
        <v/>
      </c>
      <c r="F9" s="13" t="str">
        <f t="shared" si="3"/>
        <v/>
      </c>
      <c r="G9" s="13" t="str">
        <f t="shared" si="4"/>
        <v/>
      </c>
      <c r="H9" s="13" t="str">
        <f t="shared" si="5"/>
        <v/>
      </c>
      <c r="I9" t="str">
        <f t="shared" si="6"/>
        <v/>
      </c>
    </row>
    <row r="10" spans="1:9">
      <c r="A10">
        <f>CSV!B10</f>
        <v>0</v>
      </c>
      <c r="B10" s="13" t="e">
        <f>INDEX(Input!$D$2:$AD$500,
       MATCH(CPU_Formula!A10, Input!$J$2:$J$500, 0),
       MATCH("CPU model", Input!$D$1:$AD$1, 0))</f>
        <v>#N/A</v>
      </c>
      <c r="C10" s="13" t="str">
        <f t="shared" si="0"/>
        <v/>
      </c>
      <c r="D10" s="13" t="str">
        <f t="shared" si="1"/>
        <v/>
      </c>
      <c r="E10" s="13" t="str">
        <f t="shared" si="2"/>
        <v/>
      </c>
      <c r="F10" s="13" t="str">
        <f t="shared" si="3"/>
        <v/>
      </c>
      <c r="G10" s="13" t="str">
        <f t="shared" si="4"/>
        <v/>
      </c>
      <c r="H10" s="13" t="str">
        <f t="shared" si="5"/>
        <v/>
      </c>
      <c r="I10" t="str">
        <f t="shared" si="6"/>
        <v/>
      </c>
    </row>
    <row r="11" spans="1:9">
      <c r="A11">
        <f>CSV!B11</f>
        <v>0</v>
      </c>
      <c r="B11" s="13" t="e">
        <f>INDEX(Input!$D$2:$AD$500,
       MATCH(CPU_Formula!A11, Input!$J$2:$J$500, 0),
       MATCH("CPU model", Input!$D$1:$AD$1, 0))</f>
        <v>#N/A</v>
      </c>
      <c r="C11" s="13" t="str">
        <f t="shared" si="0"/>
        <v/>
      </c>
      <c r="D11" s="13" t="str">
        <f t="shared" si="1"/>
        <v/>
      </c>
      <c r="E11" s="13" t="str">
        <f t="shared" si="2"/>
        <v/>
      </c>
      <c r="F11" s="13" t="str">
        <f t="shared" si="3"/>
        <v/>
      </c>
      <c r="G11" s="13" t="str">
        <f t="shared" si="4"/>
        <v/>
      </c>
      <c r="H11" s="13" t="str">
        <f t="shared" si="5"/>
        <v/>
      </c>
      <c r="I11" t="str">
        <f t="shared" si="6"/>
        <v/>
      </c>
    </row>
    <row r="12" spans="1:9">
      <c r="A12">
        <f>CSV!B12</f>
        <v>0</v>
      </c>
      <c r="B12" s="13" t="e">
        <f>INDEX(Input!$D$2:$AD$500,
       MATCH(CPU_Formula!A12, Input!$J$2:$J$500, 0),
       MATCH("CPU model", Input!$D$1:$AD$1, 0))</f>
        <v>#N/A</v>
      </c>
      <c r="C12" s="13" t="str">
        <f t="shared" si="0"/>
        <v/>
      </c>
      <c r="D12" s="13" t="str">
        <f t="shared" si="1"/>
        <v/>
      </c>
      <c r="E12" s="13" t="str">
        <f t="shared" si="2"/>
        <v/>
      </c>
      <c r="F12" s="13" t="str">
        <f t="shared" si="3"/>
        <v/>
      </c>
      <c r="G12" s="13" t="str">
        <f t="shared" si="4"/>
        <v/>
      </c>
      <c r="H12" s="13" t="str">
        <f t="shared" si="5"/>
        <v/>
      </c>
      <c r="I12" t="str">
        <f t="shared" si="6"/>
        <v/>
      </c>
    </row>
    <row r="13" spans="1:9">
      <c r="A13">
        <f>CSV!B13</f>
        <v>0</v>
      </c>
      <c r="B13" s="13" t="e">
        <f>INDEX(Input!$D$2:$AD$500,
       MATCH(CPU_Formula!A13, Input!$J$2:$J$500, 0),
       MATCH("CPU model", Input!$D$1:$AD$1, 0))</f>
        <v>#N/A</v>
      </c>
      <c r="C13" s="13" t="str">
        <f t="shared" si="0"/>
        <v/>
      </c>
      <c r="D13" s="13" t="str">
        <f t="shared" si="1"/>
        <v/>
      </c>
      <c r="E13" s="13" t="str">
        <f t="shared" si="2"/>
        <v/>
      </c>
      <c r="F13" s="13" t="str">
        <f t="shared" si="3"/>
        <v/>
      </c>
      <c r="G13" s="13" t="str">
        <f t="shared" si="4"/>
        <v/>
      </c>
      <c r="H13" s="13" t="str">
        <f t="shared" si="5"/>
        <v/>
      </c>
      <c r="I13" t="str">
        <f t="shared" si="6"/>
        <v/>
      </c>
    </row>
    <row r="14" spans="1:9">
      <c r="A14">
        <f>CSV!B14</f>
        <v>0</v>
      </c>
      <c r="B14" s="13" t="e">
        <f>INDEX(Input!$D$2:$AD$500,
       MATCH(CPU_Formula!A14, Input!$J$2:$J$500, 0),
       MATCH("CPU model", Input!$D$1:$AD$1, 0))</f>
        <v>#N/A</v>
      </c>
      <c r="C14" s="13" t="str">
        <f t="shared" si="0"/>
        <v/>
      </c>
      <c r="D14" s="13" t="str">
        <f t="shared" si="1"/>
        <v/>
      </c>
      <c r="E14" s="13" t="str">
        <f t="shared" si="2"/>
        <v/>
      </c>
      <c r="F14" s="13" t="str">
        <f t="shared" si="3"/>
        <v/>
      </c>
      <c r="G14" s="13" t="str">
        <f t="shared" si="4"/>
        <v/>
      </c>
      <c r="H14" s="13" t="str">
        <f t="shared" si="5"/>
        <v/>
      </c>
      <c r="I14" t="str">
        <f t="shared" si="6"/>
        <v/>
      </c>
    </row>
    <row r="15" spans="1:9">
      <c r="A15">
        <f>CSV!B15</f>
        <v>0</v>
      </c>
      <c r="B15" s="13" t="e">
        <f>INDEX(Input!$D$2:$AD$500,
       MATCH(CPU_Formula!A15, Input!$J$2:$J$500, 0),
       MATCH("CPU model", Input!$D$1:$AD$1, 0))</f>
        <v>#N/A</v>
      </c>
      <c r="C15" s="13" t="str">
        <f t="shared" si="0"/>
        <v/>
      </c>
      <c r="D15" s="13" t="str">
        <f t="shared" si="1"/>
        <v/>
      </c>
      <c r="E15" s="13" t="str">
        <f t="shared" si="2"/>
        <v/>
      </c>
      <c r="F15" s="13" t="str">
        <f t="shared" si="3"/>
        <v/>
      </c>
      <c r="G15" s="13" t="str">
        <f t="shared" si="4"/>
        <v/>
      </c>
      <c r="H15" s="13" t="str">
        <f t="shared" si="5"/>
        <v/>
      </c>
      <c r="I15" t="str">
        <f t="shared" si="6"/>
        <v/>
      </c>
    </row>
    <row r="16" spans="1:9">
      <c r="A16">
        <f>CSV!B16</f>
        <v>0</v>
      </c>
      <c r="B16" s="13" t="e">
        <f>INDEX(Input!$D$2:$AD$500,
       MATCH(CPU_Formula!A16, Input!$J$2:$J$500, 0),
       MATCH("CPU model", Input!$D$1:$AD$1, 0))</f>
        <v>#N/A</v>
      </c>
      <c r="C16" s="13" t="str">
        <f t="shared" si="0"/>
        <v/>
      </c>
      <c r="D16" s="13" t="str">
        <f t="shared" si="1"/>
        <v/>
      </c>
      <c r="E16" s="13" t="str">
        <f t="shared" si="2"/>
        <v/>
      </c>
      <c r="F16" s="13" t="str">
        <f t="shared" si="3"/>
        <v/>
      </c>
      <c r="G16" s="13" t="str">
        <f t="shared" si="4"/>
        <v/>
      </c>
      <c r="H16" s="13" t="str">
        <f t="shared" si="5"/>
        <v/>
      </c>
      <c r="I16" t="str">
        <f t="shared" si="6"/>
        <v/>
      </c>
    </row>
    <row r="17" spans="1:9">
      <c r="A17">
        <f>CSV!B17</f>
        <v>0</v>
      </c>
      <c r="B17" s="13" t="e">
        <f>INDEX(Input!$D$2:$AD$500,
       MATCH(CPU_Formula!A17, Input!$J$2:$J$500, 0),
       MATCH("CPU model", Input!$D$1:$AD$1, 0))</f>
        <v>#N/A</v>
      </c>
      <c r="C17" s="13" t="str">
        <f t="shared" si="0"/>
        <v/>
      </c>
      <c r="D17" s="13" t="str">
        <f t="shared" si="1"/>
        <v/>
      </c>
      <c r="E17" s="13" t="str">
        <f t="shared" si="2"/>
        <v/>
      </c>
      <c r="F17" s="13" t="str">
        <f t="shared" si="3"/>
        <v/>
      </c>
      <c r="G17" s="13" t="str">
        <f t="shared" si="4"/>
        <v/>
      </c>
      <c r="H17" s="13" t="str">
        <f t="shared" si="5"/>
        <v/>
      </c>
      <c r="I17" t="str">
        <f t="shared" si="6"/>
        <v/>
      </c>
    </row>
    <row r="18" spans="1:9">
      <c r="A18">
        <f>CSV!B18</f>
        <v>0</v>
      </c>
      <c r="B18" s="13" t="e">
        <f>INDEX(Input!$D$2:$AD$500,
       MATCH(CPU_Formula!A18, Input!$J$2:$J$500, 0),
       MATCH("CPU model", Input!$D$1:$AD$1, 0))</f>
        <v>#N/A</v>
      </c>
      <c r="C18" s="13" t="str">
        <f t="shared" si="0"/>
        <v/>
      </c>
      <c r="D18" s="13" t="str">
        <f t="shared" si="1"/>
        <v/>
      </c>
      <c r="E18" s="13" t="str">
        <f t="shared" si="2"/>
        <v/>
      </c>
      <c r="F18" s="13" t="str">
        <f t="shared" si="3"/>
        <v/>
      </c>
      <c r="G18" s="13" t="str">
        <f t="shared" si="4"/>
        <v/>
      </c>
      <c r="H18" s="13" t="str">
        <f t="shared" si="5"/>
        <v/>
      </c>
      <c r="I18" t="str">
        <f t="shared" si="6"/>
        <v/>
      </c>
    </row>
    <row r="19" spans="1:9">
      <c r="A19">
        <f>CSV!B19</f>
        <v>0</v>
      </c>
      <c r="B19" s="13" t="e">
        <f>INDEX(Input!$D$2:$AD$500,
       MATCH(CPU_Formula!A19, Input!$J$2:$J$500, 0),
       MATCH("CPU model", Input!$D$1:$AD$1, 0))</f>
        <v>#N/A</v>
      </c>
      <c r="C19" s="13" t="str">
        <f t="shared" si="0"/>
        <v/>
      </c>
      <c r="D19" s="13" t="str">
        <f t="shared" si="1"/>
        <v/>
      </c>
      <c r="E19" s="13" t="str">
        <f t="shared" si="2"/>
        <v/>
      </c>
      <c r="F19" s="13" t="str">
        <f t="shared" si="3"/>
        <v/>
      </c>
      <c r="G19" s="13" t="str">
        <f t="shared" si="4"/>
        <v/>
      </c>
      <c r="H19" s="13" t="str">
        <f t="shared" si="5"/>
        <v/>
      </c>
      <c r="I19" t="str">
        <f t="shared" si="6"/>
        <v/>
      </c>
    </row>
    <row r="20" spans="1:9">
      <c r="A20">
        <f>CSV!B20</f>
        <v>0</v>
      </c>
      <c r="B20" s="13" t="e">
        <f>INDEX(Input!$D$2:$AD$500,
       MATCH(CPU_Formula!A20, Input!$J$2:$J$500, 0),
       MATCH("CPU model", Input!$D$1:$AD$1, 0))</f>
        <v>#N/A</v>
      </c>
      <c r="C20" s="13" t="str">
        <f t="shared" si="0"/>
        <v/>
      </c>
      <c r="D20" s="13" t="str">
        <f t="shared" si="1"/>
        <v/>
      </c>
      <c r="E20" s="13" t="str">
        <f t="shared" si="2"/>
        <v/>
      </c>
      <c r="F20" s="13" t="str">
        <f t="shared" si="3"/>
        <v/>
      </c>
      <c r="G20" s="13" t="str">
        <f t="shared" si="4"/>
        <v/>
      </c>
      <c r="H20" s="13" t="str">
        <f t="shared" si="5"/>
        <v/>
      </c>
      <c r="I20" t="str">
        <f t="shared" si="6"/>
        <v/>
      </c>
    </row>
    <row r="21" spans="1:9">
      <c r="A21">
        <f>CSV!B21</f>
        <v>0</v>
      </c>
      <c r="B21" s="13" t="e">
        <f>INDEX(Input!$D$2:$AD$500,
       MATCH(CPU_Formula!A21, Input!$J$2:$J$500, 0),
       MATCH("CPU model", Input!$D$1:$AD$1, 0))</f>
        <v>#N/A</v>
      </c>
      <c r="C21" s="13" t="str">
        <f t="shared" si="0"/>
        <v/>
      </c>
      <c r="D21" s="13" t="str">
        <f t="shared" si="1"/>
        <v/>
      </c>
      <c r="E21" s="13" t="str">
        <f t="shared" si="2"/>
        <v/>
      </c>
      <c r="F21" s="13" t="str">
        <f t="shared" si="3"/>
        <v/>
      </c>
      <c r="G21" s="13" t="str">
        <f t="shared" si="4"/>
        <v/>
      </c>
      <c r="H21" s="13" t="str">
        <f t="shared" si="5"/>
        <v/>
      </c>
      <c r="I21" t="str">
        <f t="shared" si="6"/>
        <v/>
      </c>
    </row>
    <row r="22" spans="1:9">
      <c r="A22">
        <f>CSV!B22</f>
        <v>0</v>
      </c>
      <c r="B22" s="13" t="e">
        <f>INDEX(Input!$D$2:$AD$500,
       MATCH(CPU_Formula!A22, Input!$J$2:$J$500, 0),
       MATCH("CPU model", Input!$D$1:$AD$1, 0))</f>
        <v>#N/A</v>
      </c>
      <c r="C22" s="13" t="str">
        <f t="shared" si="0"/>
        <v/>
      </c>
      <c r="D22" s="13" t="str">
        <f t="shared" si="1"/>
        <v/>
      </c>
      <c r="E22" s="13" t="str">
        <f t="shared" si="2"/>
        <v/>
      </c>
      <c r="F22" s="13" t="str">
        <f t="shared" si="3"/>
        <v/>
      </c>
      <c r="G22" s="13" t="str">
        <f t="shared" si="4"/>
        <v/>
      </c>
      <c r="H22" s="13" t="str">
        <f t="shared" si="5"/>
        <v/>
      </c>
      <c r="I22" t="str">
        <f t="shared" si="6"/>
        <v/>
      </c>
    </row>
    <row r="23" spans="1:9">
      <c r="A23">
        <f>CSV!B23</f>
        <v>0</v>
      </c>
      <c r="B23" s="13" t="e">
        <f>INDEX(Input!$D$2:$AD$500,
       MATCH(CPU_Formula!A23, Input!$J$2:$J$500, 0),
       MATCH("CPU model", Input!$D$1:$AD$1, 0))</f>
        <v>#N/A</v>
      </c>
      <c r="C23" s="13" t="str">
        <f t="shared" si="0"/>
        <v/>
      </c>
      <c r="D23" s="13" t="str">
        <f t="shared" si="1"/>
        <v/>
      </c>
      <c r="E23" s="13" t="str">
        <f t="shared" si="2"/>
        <v/>
      </c>
      <c r="F23" s="13" t="str">
        <f t="shared" si="3"/>
        <v/>
      </c>
      <c r="G23" s="13" t="str">
        <f t="shared" si="4"/>
        <v/>
      </c>
      <c r="H23" s="13" t="str">
        <f t="shared" si="5"/>
        <v/>
      </c>
      <c r="I23" t="str">
        <f t="shared" si="6"/>
        <v/>
      </c>
    </row>
    <row r="24" spans="1:9">
      <c r="A24">
        <f>CSV!B24</f>
        <v>0</v>
      </c>
      <c r="B24" s="13" t="e">
        <f>INDEX(Input!$D$2:$AD$500,
       MATCH(CPU_Formula!A24, Input!$J$2:$J$500, 0),
       MATCH("CPU model", Input!$D$1:$AD$1, 0))</f>
        <v>#N/A</v>
      </c>
      <c r="C24" s="13" t="str">
        <f t="shared" si="0"/>
        <v/>
      </c>
      <c r="D24" s="13" t="str">
        <f t="shared" si="1"/>
        <v/>
      </c>
      <c r="E24" s="13" t="str">
        <f t="shared" si="2"/>
        <v/>
      </c>
      <c r="F24" s="13" t="str">
        <f t="shared" si="3"/>
        <v/>
      </c>
      <c r="G24" s="13" t="str">
        <f t="shared" si="4"/>
        <v/>
      </c>
      <c r="H24" s="13" t="str">
        <f t="shared" si="5"/>
        <v/>
      </c>
      <c r="I24" t="str">
        <f t="shared" si="6"/>
        <v/>
      </c>
    </row>
    <row r="25" spans="1:9">
      <c r="A25">
        <f>CSV!B25</f>
        <v>0</v>
      </c>
      <c r="B25" s="13" t="e">
        <f>INDEX(Input!$D$2:$AD$500,
       MATCH(CPU_Formula!A25, Input!$J$2:$J$500, 0),
       MATCH("CPU model", Input!$D$1:$AD$1, 0))</f>
        <v>#N/A</v>
      </c>
      <c r="C25" s="13" t="str">
        <f t="shared" si="0"/>
        <v/>
      </c>
      <c r="D25" s="13" t="str">
        <f t="shared" si="1"/>
        <v/>
      </c>
      <c r="E25" s="13" t="str">
        <f t="shared" si="2"/>
        <v/>
      </c>
      <c r="F25" s="13" t="str">
        <f t="shared" si="3"/>
        <v/>
      </c>
      <c r="G25" s="13" t="str">
        <f t="shared" si="4"/>
        <v/>
      </c>
      <c r="H25" s="13" t="str">
        <f t="shared" si="5"/>
        <v/>
      </c>
      <c r="I25" t="str">
        <f t="shared" si="6"/>
        <v/>
      </c>
    </row>
    <row r="26" spans="1:9">
      <c r="A26">
        <f>CSV!B26</f>
        <v>0</v>
      </c>
      <c r="B26" s="13" t="e">
        <f>INDEX(Input!$D$2:$AD$500,
       MATCH(CPU_Formula!A26, Input!$J$2:$J$500, 0),
       MATCH("CPU model", Input!$D$1:$AD$1, 0))</f>
        <v>#N/A</v>
      </c>
      <c r="C26" s="13" t="str">
        <f t="shared" si="0"/>
        <v/>
      </c>
      <c r="D26" s="13" t="str">
        <f t="shared" si="1"/>
        <v/>
      </c>
      <c r="E26" s="13" t="str">
        <f t="shared" si="2"/>
        <v/>
      </c>
      <c r="F26" s="13" t="str">
        <f t="shared" si="3"/>
        <v/>
      </c>
      <c r="G26" s="13" t="str">
        <f t="shared" si="4"/>
        <v/>
      </c>
      <c r="H26" s="13" t="str">
        <f t="shared" si="5"/>
        <v/>
      </c>
      <c r="I26" t="str">
        <f t="shared" si="6"/>
        <v/>
      </c>
    </row>
    <row r="27" spans="1:9">
      <c r="A27">
        <f>CSV!B27</f>
        <v>0</v>
      </c>
      <c r="B27" s="13" t="e">
        <f>INDEX(Input!$D$2:$AD$500,
       MATCH(CPU_Formula!A27, Input!$J$2:$J$500, 0),
       MATCH("CPU model", Input!$D$1:$AD$1, 0))</f>
        <v>#N/A</v>
      </c>
      <c r="C27" s="13" t="str">
        <f t="shared" si="0"/>
        <v/>
      </c>
      <c r="D27" s="13" t="str">
        <f t="shared" si="1"/>
        <v/>
      </c>
      <c r="E27" s="13" t="str">
        <f t="shared" si="2"/>
        <v/>
      </c>
      <c r="F27" s="13" t="str">
        <f t="shared" si="3"/>
        <v/>
      </c>
      <c r="G27" s="13" t="str">
        <f t="shared" si="4"/>
        <v/>
      </c>
      <c r="H27" s="13" t="str">
        <f t="shared" si="5"/>
        <v/>
      </c>
      <c r="I27" t="str">
        <f t="shared" si="6"/>
        <v/>
      </c>
    </row>
    <row r="28" spans="1:9">
      <c r="A28">
        <f>CSV!B28</f>
        <v>0</v>
      </c>
      <c r="B28" s="13" t="e">
        <f>INDEX(Input!$D$2:$AD$500,
       MATCH(CPU_Formula!A28, Input!$J$2:$J$500, 0),
       MATCH("CPU model", Input!$D$1:$AD$1, 0))</f>
        <v>#N/A</v>
      </c>
      <c r="C28" s="13" t="str">
        <f t="shared" si="0"/>
        <v/>
      </c>
      <c r="D28" s="13" t="str">
        <f t="shared" si="1"/>
        <v/>
      </c>
      <c r="E28" s="13" t="str">
        <f t="shared" si="2"/>
        <v/>
      </c>
      <c r="F28" s="13" t="str">
        <f t="shared" si="3"/>
        <v/>
      </c>
      <c r="G28" s="13" t="str">
        <f t="shared" si="4"/>
        <v/>
      </c>
      <c r="H28" s="13" t="str">
        <f t="shared" si="5"/>
        <v/>
      </c>
      <c r="I28" t="str">
        <f t="shared" si="6"/>
        <v/>
      </c>
    </row>
    <row r="29" spans="1:9">
      <c r="A29">
        <f>CSV!B29</f>
        <v>0</v>
      </c>
      <c r="B29" s="13" t="e">
        <f>INDEX(Input!$D$2:$AD$500,
       MATCH(CPU_Formula!A29, Input!$J$2:$J$500, 0),
       MATCH("CPU model", Input!$D$1:$AD$1, 0))</f>
        <v>#N/A</v>
      </c>
      <c r="C29" s="13" t="str">
        <f t="shared" si="0"/>
        <v/>
      </c>
      <c r="D29" s="13" t="str">
        <f t="shared" si="1"/>
        <v/>
      </c>
      <c r="E29" s="13" t="str">
        <f t="shared" si="2"/>
        <v/>
      </c>
      <c r="F29" s="13" t="str">
        <f t="shared" si="3"/>
        <v/>
      </c>
      <c r="G29" s="13" t="str">
        <f t="shared" si="4"/>
        <v/>
      </c>
      <c r="H29" s="13" t="str">
        <f t="shared" si="5"/>
        <v/>
      </c>
      <c r="I29" t="str">
        <f t="shared" si="6"/>
        <v/>
      </c>
    </row>
    <row r="30" spans="1:9">
      <c r="A30">
        <f>CSV!B30</f>
        <v>0</v>
      </c>
      <c r="B30" s="13" t="e">
        <f>INDEX(Input!$D$2:$AD$500,
       MATCH(CPU_Formula!A30, Input!$J$2:$J$500, 0),
       MATCH("CPU model", Input!$D$1:$AD$1, 0))</f>
        <v>#N/A</v>
      </c>
      <c r="C30" s="13" t="str">
        <f t="shared" si="0"/>
        <v/>
      </c>
      <c r="D30" s="13" t="str">
        <f t="shared" si="1"/>
        <v/>
      </c>
      <c r="E30" s="13" t="str">
        <f t="shared" si="2"/>
        <v/>
      </c>
      <c r="F30" s="13" t="str">
        <f t="shared" si="3"/>
        <v/>
      </c>
      <c r="G30" s="13" t="str">
        <f t="shared" si="4"/>
        <v/>
      </c>
      <c r="H30" s="13" t="str">
        <f t="shared" si="5"/>
        <v/>
      </c>
      <c r="I30" t="str">
        <f t="shared" si="6"/>
        <v/>
      </c>
    </row>
    <row r="31" spans="1:9">
      <c r="A31">
        <f>CSV!B31</f>
        <v>0</v>
      </c>
      <c r="B31" s="13" t="e">
        <f>INDEX(Input!$D$2:$AD$500,
       MATCH(CPU_Formula!A31, Input!$J$2:$J$500, 0),
       MATCH("CPU model", Input!$D$1:$AD$1, 0))</f>
        <v>#N/A</v>
      </c>
      <c r="C31" s="13" t="str">
        <f t="shared" si="0"/>
        <v/>
      </c>
      <c r="D31" s="13" t="str">
        <f t="shared" si="1"/>
        <v/>
      </c>
      <c r="E31" s="13" t="str">
        <f t="shared" si="2"/>
        <v/>
      </c>
      <c r="F31" s="13" t="str">
        <f t="shared" si="3"/>
        <v/>
      </c>
      <c r="G31" s="13" t="str">
        <f t="shared" si="4"/>
        <v/>
      </c>
      <c r="H31" s="13" t="str">
        <f t="shared" si="5"/>
        <v/>
      </c>
      <c r="I31" t="str">
        <f t="shared" si="6"/>
        <v/>
      </c>
    </row>
    <row r="32" spans="1:9">
      <c r="A32">
        <f>CSV!B32</f>
        <v>0</v>
      </c>
      <c r="B32" s="13" t="e">
        <f>INDEX(Input!$D$2:$AD$500,
       MATCH(CPU_Formula!A32, Input!$J$2:$J$500, 0),
       MATCH("CPU model", Input!$D$1:$AD$1, 0))</f>
        <v>#N/A</v>
      </c>
      <c r="C32" s="13" t="str">
        <f t="shared" si="0"/>
        <v/>
      </c>
      <c r="D32" s="13" t="str">
        <f t="shared" si="1"/>
        <v/>
      </c>
      <c r="E32" s="13" t="str">
        <f t="shared" si="2"/>
        <v/>
      </c>
      <c r="F32" s="13" t="str">
        <f t="shared" si="3"/>
        <v/>
      </c>
      <c r="G32" s="13" t="str">
        <f t="shared" si="4"/>
        <v/>
      </c>
      <c r="H32" s="13" t="str">
        <f t="shared" si="5"/>
        <v/>
      </c>
      <c r="I32" t="str">
        <f t="shared" si="6"/>
        <v/>
      </c>
    </row>
    <row r="33" spans="1:9">
      <c r="A33">
        <f>CSV!B33</f>
        <v>0</v>
      </c>
      <c r="B33" s="13" t="e">
        <f>INDEX(Input!$D$2:$AD$500,
       MATCH(CPU_Formula!A33, Input!$J$2:$J$500, 0),
       MATCH("CPU model", Input!$D$1:$AD$1, 0))</f>
        <v>#N/A</v>
      </c>
      <c r="C33" s="13" t="str">
        <f t="shared" si="0"/>
        <v/>
      </c>
      <c r="D33" s="13" t="str">
        <f t="shared" si="1"/>
        <v/>
      </c>
      <c r="E33" s="13" t="str">
        <f t="shared" si="2"/>
        <v/>
      </c>
      <c r="F33" s="13" t="str">
        <f t="shared" si="3"/>
        <v/>
      </c>
      <c r="G33" s="13" t="str">
        <f t="shared" si="4"/>
        <v/>
      </c>
      <c r="H33" s="13" t="str">
        <f t="shared" si="5"/>
        <v/>
      </c>
      <c r="I33" t="str">
        <f t="shared" si="6"/>
        <v/>
      </c>
    </row>
    <row r="34" spans="1:9">
      <c r="A34">
        <f>CSV!B34</f>
        <v>0</v>
      </c>
      <c r="B34" s="13" t="e">
        <f>INDEX(Input!$D$2:$AD$500,
       MATCH(CPU_Formula!A34, Input!$J$2:$J$500, 0),
       MATCH("CPU model", Input!$D$1:$AD$1, 0))</f>
        <v>#N/A</v>
      </c>
      <c r="C34" s="13" t="str">
        <f t="shared" si="0"/>
        <v/>
      </c>
      <c r="D34" s="13" t="str">
        <f t="shared" si="1"/>
        <v/>
      </c>
      <c r="E34" s="13" t="str">
        <f t="shared" si="2"/>
        <v/>
      </c>
      <c r="F34" s="13" t="str">
        <f t="shared" si="3"/>
        <v/>
      </c>
      <c r="G34" s="13" t="str">
        <f t="shared" si="4"/>
        <v/>
      </c>
      <c r="H34" s="13" t="str">
        <f t="shared" si="5"/>
        <v/>
      </c>
      <c r="I34" t="str">
        <f t="shared" si="6"/>
        <v/>
      </c>
    </row>
    <row r="35" spans="1:9">
      <c r="A35">
        <f>CSV!B35</f>
        <v>0</v>
      </c>
      <c r="B35" s="13" t="e">
        <f>INDEX(Input!$D$2:$AD$500,
       MATCH(CPU_Formula!A35, Input!$J$2:$J$500, 0),
       MATCH("CPU model", Input!$D$1:$AD$1, 0))</f>
        <v>#N/A</v>
      </c>
      <c r="C35" s="13" t="str">
        <f t="shared" si="0"/>
        <v/>
      </c>
      <c r="D35" s="13" t="str">
        <f t="shared" si="1"/>
        <v/>
      </c>
      <c r="E35" s="13" t="str">
        <f t="shared" si="2"/>
        <v/>
      </c>
      <c r="F35" s="13" t="str">
        <f t="shared" si="3"/>
        <v/>
      </c>
      <c r="G35" s="13" t="str">
        <f t="shared" si="4"/>
        <v/>
      </c>
      <c r="H35" s="13" t="str">
        <f t="shared" si="5"/>
        <v/>
      </c>
      <c r="I35" t="str">
        <f t="shared" si="6"/>
        <v/>
      </c>
    </row>
    <row r="36" spans="1:9">
      <c r="A36">
        <f>CSV!B36</f>
        <v>0</v>
      </c>
      <c r="B36" s="13" t="e">
        <f>INDEX(Input!$D$2:$AD$500,
       MATCH(CPU_Formula!A36, Input!$J$2:$J$500, 0),
       MATCH("CPU model", Input!$D$1:$AD$1, 0))</f>
        <v>#N/A</v>
      </c>
      <c r="C36" s="13" t="str">
        <f t="shared" si="0"/>
        <v/>
      </c>
      <c r="D36" s="13" t="str">
        <f t="shared" si="1"/>
        <v/>
      </c>
      <c r="E36" s="13" t="str">
        <f t="shared" si="2"/>
        <v/>
      </c>
      <c r="F36" s="13" t="str">
        <f t="shared" si="3"/>
        <v/>
      </c>
      <c r="G36" s="13" t="str">
        <f t="shared" si="4"/>
        <v/>
      </c>
      <c r="H36" s="13" t="str">
        <f t="shared" si="5"/>
        <v/>
      </c>
      <c r="I36" t="str">
        <f t="shared" si="6"/>
        <v/>
      </c>
    </row>
    <row r="37" spans="1:9">
      <c r="A37">
        <f>CSV!B37</f>
        <v>0</v>
      </c>
      <c r="B37" s="13" t="e">
        <f>INDEX(Input!$D$2:$AD$500,
       MATCH(CPU_Formula!A37, Input!$J$2:$J$500, 0),
       MATCH("CPU model", Input!$D$1:$AD$1, 0))</f>
        <v>#N/A</v>
      </c>
      <c r="C37" s="13" t="str">
        <f t="shared" si="0"/>
        <v/>
      </c>
      <c r="D37" s="13" t="str">
        <f t="shared" si="1"/>
        <v/>
      </c>
      <c r="E37" s="13" t="str">
        <f t="shared" si="2"/>
        <v/>
      </c>
      <c r="F37" s="13" t="str">
        <f t="shared" si="3"/>
        <v/>
      </c>
      <c r="G37" s="13" t="str">
        <f t="shared" si="4"/>
        <v/>
      </c>
      <c r="H37" s="13" t="str">
        <f t="shared" si="5"/>
        <v/>
      </c>
      <c r="I37" t="str">
        <f t="shared" si="6"/>
        <v/>
      </c>
    </row>
    <row r="38" spans="1:9">
      <c r="A38">
        <f>CSV!B38</f>
        <v>0</v>
      </c>
      <c r="B38" s="13" t="e">
        <f>INDEX(Input!$D$2:$AD$500,
       MATCH(CPU_Formula!A38, Input!$J$2:$J$500, 0),
       MATCH("CPU model", Input!$D$1:$AD$1, 0))</f>
        <v>#N/A</v>
      </c>
      <c r="C38" s="13" t="str">
        <f t="shared" si="0"/>
        <v/>
      </c>
      <c r="D38" s="13" t="str">
        <f t="shared" si="1"/>
        <v/>
      </c>
      <c r="E38" s="13" t="str">
        <f t="shared" si="2"/>
        <v/>
      </c>
      <c r="F38" s="13" t="str">
        <f t="shared" si="3"/>
        <v/>
      </c>
      <c r="G38" s="13" t="str">
        <f t="shared" si="4"/>
        <v/>
      </c>
      <c r="H38" s="13" t="str">
        <f t="shared" si="5"/>
        <v/>
      </c>
      <c r="I38" t="str">
        <f t="shared" si="6"/>
        <v/>
      </c>
    </row>
    <row r="39" spans="1:9">
      <c r="A39">
        <f>CSV!B39</f>
        <v>0</v>
      </c>
      <c r="B39" s="13" t="e">
        <f>INDEX(Input!$D$2:$AD$500,
       MATCH(CPU_Formula!A39, Input!$J$2:$J$500, 0),
       MATCH("CPU model", Input!$D$1:$AD$1, 0))</f>
        <v>#N/A</v>
      </c>
      <c r="C39" s="13" t="str">
        <f t="shared" si="0"/>
        <v/>
      </c>
      <c r="D39" s="13" t="str">
        <f t="shared" si="1"/>
        <v/>
      </c>
      <c r="E39" s="13" t="str">
        <f t="shared" si="2"/>
        <v/>
      </c>
      <c r="F39" s="13" t="str">
        <f t="shared" si="3"/>
        <v/>
      </c>
      <c r="G39" s="13" t="str">
        <f t="shared" si="4"/>
        <v/>
      </c>
      <c r="H39" s="13" t="str">
        <f t="shared" si="5"/>
        <v/>
      </c>
      <c r="I39" t="str">
        <f t="shared" si="6"/>
        <v/>
      </c>
    </row>
    <row r="40" spans="1:9">
      <c r="A40">
        <f>CSV!B40</f>
        <v>0</v>
      </c>
      <c r="B40" s="13" t="e">
        <f>INDEX(Input!$D$2:$AD$500,
       MATCH(CPU_Formula!A40, Input!$J$2:$J$500, 0),
       MATCH("CPU model", Input!$D$1:$AD$1, 0))</f>
        <v>#N/A</v>
      </c>
      <c r="C40" s="13" t="str">
        <f t="shared" si="0"/>
        <v/>
      </c>
      <c r="D40" s="13" t="str">
        <f t="shared" si="1"/>
        <v/>
      </c>
      <c r="E40" s="13" t="str">
        <f t="shared" si="2"/>
        <v/>
      </c>
      <c r="F40" s="13" t="str">
        <f t="shared" si="3"/>
        <v/>
      </c>
      <c r="G40" s="13" t="str">
        <f t="shared" si="4"/>
        <v/>
      </c>
      <c r="H40" s="13" t="str">
        <f t="shared" si="5"/>
        <v/>
      </c>
      <c r="I40" t="str">
        <f t="shared" si="6"/>
        <v/>
      </c>
    </row>
    <row r="41" spans="1:9">
      <c r="A41">
        <f>CSV!B41</f>
        <v>0</v>
      </c>
      <c r="B41" s="13" t="e">
        <f>INDEX(Input!$D$2:$AD$500,
       MATCH(CPU_Formula!A41, Input!$J$2:$J$500, 0),
       MATCH("CPU model", Input!$D$1:$AD$1, 0))</f>
        <v>#N/A</v>
      </c>
      <c r="C41" s="13" t="str">
        <f t="shared" si="0"/>
        <v/>
      </c>
      <c r="D41" s="13" t="str">
        <f t="shared" si="1"/>
        <v/>
      </c>
      <c r="E41" s="13" t="str">
        <f t="shared" si="2"/>
        <v/>
      </c>
      <c r="F41" s="13" t="str">
        <f t="shared" si="3"/>
        <v/>
      </c>
      <c r="G41" s="13" t="str">
        <f t="shared" si="4"/>
        <v/>
      </c>
      <c r="H41" s="13" t="str">
        <f t="shared" si="5"/>
        <v/>
      </c>
      <c r="I41" t="str">
        <f t="shared" si="6"/>
        <v/>
      </c>
    </row>
    <row r="42" spans="1:9">
      <c r="A42">
        <f>CSV!B42</f>
        <v>0</v>
      </c>
      <c r="B42" s="13" t="e">
        <f>INDEX(Input!$D$2:$AD$500,
       MATCH(CPU_Formula!A42, Input!$J$2:$J$500, 0),
       MATCH("CPU model", Input!$D$1:$AD$1, 0))</f>
        <v>#N/A</v>
      </c>
      <c r="C42" s="13" t="str">
        <f t="shared" si="0"/>
        <v/>
      </c>
      <c r="D42" s="13" t="str">
        <f t="shared" si="1"/>
        <v/>
      </c>
      <c r="E42" s="13" t="str">
        <f t="shared" si="2"/>
        <v/>
      </c>
      <c r="F42" s="13" t="str">
        <f t="shared" si="3"/>
        <v/>
      </c>
      <c r="G42" s="13" t="str">
        <f t="shared" si="4"/>
        <v/>
      </c>
      <c r="H42" s="13" t="str">
        <f t="shared" si="5"/>
        <v/>
      </c>
      <c r="I42" t="str">
        <f t="shared" si="6"/>
        <v/>
      </c>
    </row>
    <row r="43" spans="1:9">
      <c r="A43">
        <f>CSV!B43</f>
        <v>0</v>
      </c>
      <c r="B43" s="13" t="e">
        <f>INDEX(Input!$D$2:$AD$500,
       MATCH(CPU_Formula!A43, Input!$J$2:$J$500, 0),
       MATCH("CPU model", Input!$D$1:$AD$1, 0))</f>
        <v>#N/A</v>
      </c>
      <c r="C43" s="13" t="str">
        <f t="shared" si="0"/>
        <v/>
      </c>
      <c r="D43" s="13" t="str">
        <f t="shared" si="1"/>
        <v/>
      </c>
      <c r="E43" s="13" t="str">
        <f t="shared" si="2"/>
        <v/>
      </c>
      <c r="F43" s="13" t="str">
        <f t="shared" si="3"/>
        <v/>
      </c>
      <c r="G43" s="13" t="str">
        <f t="shared" si="4"/>
        <v/>
      </c>
      <c r="H43" s="13" t="str">
        <f t="shared" si="5"/>
        <v/>
      </c>
      <c r="I43" t="str">
        <f t="shared" si="6"/>
        <v/>
      </c>
    </row>
    <row r="44" spans="1:9">
      <c r="A44">
        <f>CSV!B44</f>
        <v>0</v>
      </c>
      <c r="B44" s="13" t="e">
        <f>INDEX(Input!$D$2:$AD$500,
       MATCH(CPU_Formula!A44, Input!$J$2:$J$500, 0),
       MATCH("CPU model", Input!$D$1:$AD$1, 0))</f>
        <v>#N/A</v>
      </c>
      <c r="C44" s="13" t="str">
        <f t="shared" si="0"/>
        <v/>
      </c>
      <c r="D44" s="13" t="str">
        <f t="shared" si="1"/>
        <v/>
      </c>
      <c r="E44" s="13" t="str">
        <f t="shared" si="2"/>
        <v/>
      </c>
      <c r="F44" s="13" t="str">
        <f t="shared" si="3"/>
        <v/>
      </c>
      <c r="G44" s="13" t="str">
        <f t="shared" si="4"/>
        <v/>
      </c>
      <c r="H44" s="13" t="str">
        <f t="shared" si="5"/>
        <v/>
      </c>
      <c r="I44" t="str">
        <f t="shared" si="6"/>
        <v/>
      </c>
    </row>
    <row r="45" spans="1:9">
      <c r="A45">
        <f>CSV!B45</f>
        <v>0</v>
      </c>
      <c r="B45" s="13" t="e">
        <f>INDEX(Input!$D$2:$AD$500,
       MATCH(CPU_Formula!A45, Input!$J$2:$J$500, 0),
       MATCH("CPU model", Input!$D$1:$AD$1, 0))</f>
        <v>#N/A</v>
      </c>
      <c r="C45" s="13" t="str">
        <f t="shared" si="0"/>
        <v/>
      </c>
      <c r="D45" s="13" t="str">
        <f t="shared" si="1"/>
        <v/>
      </c>
      <c r="E45" s="13" t="str">
        <f t="shared" si="2"/>
        <v/>
      </c>
      <c r="F45" s="13" t="str">
        <f t="shared" si="3"/>
        <v/>
      </c>
      <c r="G45" s="13" t="str">
        <f t="shared" si="4"/>
        <v/>
      </c>
      <c r="H45" s="13" t="str">
        <f t="shared" si="5"/>
        <v/>
      </c>
      <c r="I45" t="str">
        <f t="shared" si="6"/>
        <v/>
      </c>
    </row>
    <row r="46" spans="1:9">
      <c r="A46">
        <f>CSV!B46</f>
        <v>0</v>
      </c>
      <c r="B46" s="13" t="e">
        <f>INDEX(Input!$D$2:$AD$500,
       MATCH(CPU_Formula!A46, Input!$J$2:$J$500, 0),
       MATCH("CPU model", Input!$D$1:$AD$1, 0))</f>
        <v>#N/A</v>
      </c>
      <c r="C46" s="13" t="str">
        <f t="shared" si="0"/>
        <v/>
      </c>
      <c r="D46" s="13" t="str">
        <f t="shared" si="1"/>
        <v/>
      </c>
      <c r="E46" s="13" t="str">
        <f t="shared" si="2"/>
        <v/>
      </c>
      <c r="F46" s="13" t="str">
        <f t="shared" si="3"/>
        <v/>
      </c>
      <c r="G46" s="13" t="str">
        <f t="shared" si="4"/>
        <v/>
      </c>
      <c r="H46" s="13" t="str">
        <f t="shared" si="5"/>
        <v/>
      </c>
      <c r="I46" t="str">
        <f t="shared" si="6"/>
        <v/>
      </c>
    </row>
    <row r="47" spans="1:9">
      <c r="A47">
        <f>CSV!B47</f>
        <v>0</v>
      </c>
      <c r="B47" s="13" t="e">
        <f>INDEX(Input!$D$2:$AD$500,
       MATCH(CPU_Formula!A47, Input!$J$2:$J$500, 0),
       MATCH("CPU model", Input!$D$1:$AD$1, 0))</f>
        <v>#N/A</v>
      </c>
      <c r="C47" s="13" t="str">
        <f t="shared" si="0"/>
        <v/>
      </c>
      <c r="D47" s="13" t="str">
        <f t="shared" si="1"/>
        <v/>
      </c>
      <c r="E47" s="13" t="str">
        <f t="shared" si="2"/>
        <v/>
      </c>
      <c r="F47" s="13" t="str">
        <f t="shared" si="3"/>
        <v/>
      </c>
      <c r="G47" s="13" t="str">
        <f t="shared" si="4"/>
        <v/>
      </c>
      <c r="H47" s="13" t="str">
        <f t="shared" si="5"/>
        <v/>
      </c>
      <c r="I47" t="str">
        <f t="shared" si="6"/>
        <v/>
      </c>
    </row>
    <row r="48" spans="1:9">
      <c r="A48">
        <f>CSV!B48</f>
        <v>0</v>
      </c>
      <c r="B48" s="13" t="e">
        <f>INDEX(Input!$D$2:$AD$500,
       MATCH(CPU_Formula!A48, Input!$J$2:$J$500, 0),
       MATCH("CPU model", Input!$D$1:$AD$1, 0))</f>
        <v>#N/A</v>
      </c>
      <c r="C48" s="13" t="str">
        <f t="shared" si="0"/>
        <v/>
      </c>
      <c r="D48" s="13" t="str">
        <f t="shared" si="1"/>
        <v/>
      </c>
      <c r="E48" s="13" t="str">
        <f t="shared" si="2"/>
        <v/>
      </c>
      <c r="F48" s="13" t="str">
        <f t="shared" si="3"/>
        <v/>
      </c>
      <c r="G48" s="13" t="str">
        <f t="shared" si="4"/>
        <v/>
      </c>
      <c r="H48" s="13" t="str">
        <f t="shared" si="5"/>
        <v/>
      </c>
      <c r="I48" t="str">
        <f t="shared" si="6"/>
        <v/>
      </c>
    </row>
    <row r="49" spans="1:9">
      <c r="A49">
        <f>CSV!B49</f>
        <v>0</v>
      </c>
      <c r="B49" s="13" t="e">
        <f>INDEX(Input!$D$2:$AD$500,
       MATCH(CPU_Formula!A49, Input!$J$2:$J$500, 0),
       MATCH("CPU model", Input!$D$1:$AD$1, 0))</f>
        <v>#N/A</v>
      </c>
      <c r="C49" s="13" t="str">
        <f t="shared" si="0"/>
        <v/>
      </c>
      <c r="D49" s="13" t="str">
        <f t="shared" si="1"/>
        <v/>
      </c>
      <c r="E49" s="13" t="str">
        <f t="shared" si="2"/>
        <v/>
      </c>
      <c r="F49" s="13" t="str">
        <f t="shared" si="3"/>
        <v/>
      </c>
      <c r="G49" s="13" t="str">
        <f t="shared" si="4"/>
        <v/>
      </c>
      <c r="H49" s="13" t="str">
        <f t="shared" si="5"/>
        <v/>
      </c>
      <c r="I49" t="str">
        <f t="shared" si="6"/>
        <v/>
      </c>
    </row>
    <row r="50" spans="1:9">
      <c r="A50">
        <f>CSV!B50</f>
        <v>0</v>
      </c>
      <c r="B50" s="13" t="e">
        <f>INDEX(Input!$D$2:$AD$500,
       MATCH(CPU_Formula!A50, Input!$J$2:$J$500, 0),
       MATCH("CPU model", Input!$D$1:$AD$1, 0))</f>
        <v>#N/A</v>
      </c>
      <c r="C50" s="13" t="str">
        <f t="shared" si="0"/>
        <v/>
      </c>
      <c r="D50" s="13" t="str">
        <f t="shared" si="1"/>
        <v/>
      </c>
      <c r="E50" s="13" t="str">
        <f t="shared" si="2"/>
        <v/>
      </c>
      <c r="F50" s="13" t="str">
        <f t="shared" si="3"/>
        <v/>
      </c>
      <c r="G50" s="13" t="str">
        <f t="shared" si="4"/>
        <v/>
      </c>
      <c r="H50" s="13" t="str">
        <f t="shared" si="5"/>
        <v/>
      </c>
      <c r="I50" t="str">
        <f t="shared" si="6"/>
        <v/>
      </c>
    </row>
    <row r="51" spans="1:9">
      <c r="A51">
        <f>CSV!B51</f>
        <v>0</v>
      </c>
      <c r="B51" s="13" t="e">
        <f>INDEX(Input!$D$2:$AD$500,
       MATCH(CPU_Formula!A51, Input!$J$2:$J$500, 0),
       MATCH("CPU model", Input!$D$1:$AD$1, 0))</f>
        <v>#N/A</v>
      </c>
      <c r="C51" s="13" t="str">
        <f t="shared" si="0"/>
        <v/>
      </c>
      <c r="D51" s="13" t="str">
        <f t="shared" si="1"/>
        <v/>
      </c>
      <c r="E51" s="13" t="str">
        <f t="shared" si="2"/>
        <v/>
      </c>
      <c r="F51" s="13" t="str">
        <f t="shared" si="3"/>
        <v/>
      </c>
      <c r="G51" s="13" t="str">
        <f t="shared" si="4"/>
        <v/>
      </c>
      <c r="H51" s="13" t="str">
        <f t="shared" si="5"/>
        <v/>
      </c>
      <c r="I51" t="str">
        <f t="shared" si="6"/>
        <v/>
      </c>
    </row>
    <row r="52" spans="1:9">
      <c r="A52">
        <f>CSV!B52</f>
        <v>0</v>
      </c>
      <c r="B52" s="13" t="e">
        <f>INDEX(Input!$D$2:$AD$500,
       MATCH(CPU_Formula!A52, Input!$J$2:$J$500, 0),
       MATCH("CPU model", Input!$D$1:$AD$1, 0))</f>
        <v>#N/A</v>
      </c>
      <c r="C52" s="13" t="str">
        <f t="shared" si="0"/>
        <v/>
      </c>
      <c r="D52" s="13" t="str">
        <f t="shared" si="1"/>
        <v/>
      </c>
      <c r="E52" s="13" t="str">
        <f t="shared" si="2"/>
        <v/>
      </c>
      <c r="F52" s="13" t="str">
        <f t="shared" si="3"/>
        <v/>
      </c>
      <c r="G52" s="13" t="str">
        <f t="shared" si="4"/>
        <v/>
      </c>
      <c r="H52" s="13" t="str">
        <f t="shared" si="5"/>
        <v/>
      </c>
      <c r="I52" t="str">
        <f t="shared" si="6"/>
        <v/>
      </c>
    </row>
    <row r="53" spans="1:9">
      <c r="A53">
        <f>CSV!B53</f>
        <v>0</v>
      </c>
      <c r="B53" s="13" t="e">
        <f>INDEX(Input!$D$2:$AD$500,
       MATCH(CPU_Formula!A53, Input!$J$2:$J$500, 0),
       MATCH("CPU model", Input!$D$1:$AD$1, 0))</f>
        <v>#N/A</v>
      </c>
      <c r="C53" s="13" t="str">
        <f t="shared" si="0"/>
        <v/>
      </c>
      <c r="D53" s="13" t="str">
        <f t="shared" si="1"/>
        <v/>
      </c>
      <c r="E53" s="13" t="str">
        <f t="shared" si="2"/>
        <v/>
      </c>
      <c r="F53" s="13" t="str">
        <f t="shared" si="3"/>
        <v/>
      </c>
      <c r="G53" s="13" t="str">
        <f t="shared" si="4"/>
        <v/>
      </c>
      <c r="H53" s="13" t="str">
        <f t="shared" si="5"/>
        <v/>
      </c>
      <c r="I53" t="str">
        <f t="shared" si="6"/>
        <v/>
      </c>
    </row>
    <row r="54" spans="1:9">
      <c r="A54">
        <f>CSV!B54</f>
        <v>0</v>
      </c>
      <c r="B54" s="13" t="e">
        <f>INDEX(Input!$D$2:$AD$500,
       MATCH(CPU_Formula!A54, Input!$J$2:$J$500, 0),
       MATCH("CPU model", Input!$D$1:$AD$1, 0))</f>
        <v>#N/A</v>
      </c>
      <c r="C54" s="13" t="str">
        <f t="shared" si="0"/>
        <v/>
      </c>
      <c r="D54" s="13" t="str">
        <f t="shared" si="1"/>
        <v/>
      </c>
      <c r="E54" s="13" t="str">
        <f t="shared" si="2"/>
        <v/>
      </c>
      <c r="F54" s="13" t="str">
        <f t="shared" si="3"/>
        <v/>
      </c>
      <c r="G54" s="13" t="str">
        <f t="shared" si="4"/>
        <v/>
      </c>
      <c r="H54" s="13" t="str">
        <f t="shared" si="5"/>
        <v/>
      </c>
      <c r="I54" t="str">
        <f t="shared" si="6"/>
        <v/>
      </c>
    </row>
    <row r="55" spans="1:9">
      <c r="A55">
        <f>CSV!B55</f>
        <v>0</v>
      </c>
      <c r="B55" s="13" t="e">
        <f>INDEX(Input!$D$2:$AD$500,
       MATCH(CPU_Formula!A55, Input!$J$2:$J$500, 0),
       MATCH("CPU model", Input!$D$1:$AD$1, 0))</f>
        <v>#N/A</v>
      </c>
      <c r="C55" s="13" t="str">
        <f t="shared" si="0"/>
        <v/>
      </c>
      <c r="D55" s="13" t="str">
        <f t="shared" si="1"/>
        <v/>
      </c>
      <c r="E55" s="13" t="str">
        <f t="shared" si="2"/>
        <v/>
      </c>
      <c r="F55" s="13" t="str">
        <f t="shared" si="3"/>
        <v/>
      </c>
      <c r="G55" s="13" t="str">
        <f t="shared" si="4"/>
        <v/>
      </c>
      <c r="H55" s="13" t="str">
        <f t="shared" si="5"/>
        <v/>
      </c>
      <c r="I55" t="str">
        <f t="shared" si="6"/>
        <v/>
      </c>
    </row>
    <row r="56" spans="1:9">
      <c r="A56">
        <f>CSV!B56</f>
        <v>0</v>
      </c>
      <c r="B56" s="13" t="e">
        <f>INDEX(Input!$D$2:$AD$500,
       MATCH(CPU_Formula!A56, Input!$J$2:$J$500, 0),
       MATCH("CPU model", Input!$D$1:$AD$1, 0))</f>
        <v>#N/A</v>
      </c>
      <c r="C56" s="13" t="str">
        <f t="shared" si="0"/>
        <v/>
      </c>
      <c r="D56" s="13" t="str">
        <f t="shared" si="1"/>
        <v/>
      </c>
      <c r="E56" s="13" t="str">
        <f t="shared" si="2"/>
        <v/>
      </c>
      <c r="F56" s="13" t="str">
        <f t="shared" si="3"/>
        <v/>
      </c>
      <c r="G56" s="13" t="str">
        <f t="shared" si="4"/>
        <v/>
      </c>
      <c r="H56" s="13" t="str">
        <f t="shared" si="5"/>
        <v/>
      </c>
      <c r="I56" t="str">
        <f t="shared" si="6"/>
        <v/>
      </c>
    </row>
    <row r="57" spans="1:9">
      <c r="A57">
        <f>CSV!B57</f>
        <v>0</v>
      </c>
      <c r="B57" s="13" t="e">
        <f>INDEX(Input!$D$2:$AD$500,
       MATCH(CPU_Formula!A57, Input!$J$2:$J$500, 0),
       MATCH("CPU model", Input!$D$1:$AD$1, 0))</f>
        <v>#N/A</v>
      </c>
      <c r="C57" s="13" t="str">
        <f t="shared" si="0"/>
        <v/>
      </c>
      <c r="D57" s="13" t="str">
        <f t="shared" si="1"/>
        <v/>
      </c>
      <c r="E57" s="13" t="str">
        <f t="shared" si="2"/>
        <v/>
      </c>
      <c r="F57" s="13" t="str">
        <f t="shared" si="3"/>
        <v/>
      </c>
      <c r="G57" s="13" t="str">
        <f t="shared" si="4"/>
        <v/>
      </c>
      <c r="H57" s="13" t="str">
        <f t="shared" si="5"/>
        <v/>
      </c>
      <c r="I57" t="str">
        <f t="shared" si="6"/>
        <v/>
      </c>
    </row>
    <row r="58" spans="1:9">
      <c r="A58">
        <f>CSV!B58</f>
        <v>0</v>
      </c>
      <c r="B58" s="13" t="e">
        <f>INDEX(Input!$D$2:$AD$500,
       MATCH(CPU_Formula!A58, Input!$J$2:$J$500, 0),
       MATCH("CPU model", Input!$D$1:$AD$1, 0))</f>
        <v>#N/A</v>
      </c>
      <c r="C58" s="13" t="str">
        <f t="shared" si="0"/>
        <v/>
      </c>
      <c r="D58" s="13" t="str">
        <f t="shared" si="1"/>
        <v/>
      </c>
      <c r="E58" s="13" t="str">
        <f t="shared" si="2"/>
        <v/>
      </c>
      <c r="F58" s="13" t="str">
        <f t="shared" si="3"/>
        <v/>
      </c>
      <c r="G58" s="13" t="str">
        <f t="shared" si="4"/>
        <v/>
      </c>
      <c r="H58" s="13" t="str">
        <f t="shared" si="5"/>
        <v/>
      </c>
      <c r="I58" t="str">
        <f t="shared" si="6"/>
        <v/>
      </c>
    </row>
    <row r="59" spans="1:9">
      <c r="A59">
        <f>CSV!B59</f>
        <v>0</v>
      </c>
      <c r="B59" s="13" t="e">
        <f>INDEX(Input!$D$2:$AD$500,
       MATCH(CPU_Formula!A59, Input!$J$2:$J$500, 0),
       MATCH("CPU model", Input!$D$1:$AD$1, 0))</f>
        <v>#N/A</v>
      </c>
      <c r="C59" s="13" t="str">
        <f t="shared" si="0"/>
        <v/>
      </c>
      <c r="D59" s="13" t="str">
        <f t="shared" si="1"/>
        <v/>
      </c>
      <c r="E59" s="13" t="str">
        <f t="shared" si="2"/>
        <v/>
      </c>
      <c r="F59" s="13" t="str">
        <f t="shared" si="3"/>
        <v/>
      </c>
      <c r="G59" s="13" t="str">
        <f t="shared" si="4"/>
        <v/>
      </c>
      <c r="H59" s="13" t="str">
        <f t="shared" si="5"/>
        <v/>
      </c>
      <c r="I59" t="str">
        <f t="shared" si="6"/>
        <v/>
      </c>
    </row>
    <row r="60" spans="1:9">
      <c r="A60">
        <f>CSV!B60</f>
        <v>0</v>
      </c>
      <c r="B60" s="13" t="e">
        <f>INDEX(Input!$D$2:$AD$500,
       MATCH(CPU_Formula!A60, Input!$J$2:$J$500, 0),
       MATCH("CPU model", Input!$D$1:$AD$1, 0))</f>
        <v>#N/A</v>
      </c>
      <c r="C60" s="13" t="str">
        <f t="shared" si="0"/>
        <v/>
      </c>
      <c r="D60" s="13" t="str">
        <f t="shared" si="1"/>
        <v/>
      </c>
      <c r="E60" s="13" t="str">
        <f t="shared" si="2"/>
        <v/>
      </c>
      <c r="F60" s="13" t="str">
        <f t="shared" si="3"/>
        <v/>
      </c>
      <c r="G60" s="13" t="str">
        <f t="shared" si="4"/>
        <v/>
      </c>
      <c r="H60" s="13" t="str">
        <f t="shared" si="5"/>
        <v/>
      </c>
      <c r="I60" t="str">
        <f t="shared" si="6"/>
        <v/>
      </c>
    </row>
    <row r="61" spans="1:9">
      <c r="A61">
        <f>CSV!B61</f>
        <v>0</v>
      </c>
      <c r="B61" s="13" t="e">
        <f>INDEX(Input!$D$2:$AD$500,
       MATCH(CPU_Formula!A61, Input!$J$2:$J$500, 0),
       MATCH("CPU model", Input!$D$1:$AD$1, 0))</f>
        <v>#N/A</v>
      </c>
      <c r="C61" s="13" t="str">
        <f t="shared" si="0"/>
        <v/>
      </c>
      <c r="D61" s="13" t="str">
        <f t="shared" si="1"/>
        <v/>
      </c>
      <c r="E61" s="13" t="str">
        <f t="shared" si="2"/>
        <v/>
      </c>
      <c r="F61" s="13" t="str">
        <f t="shared" si="3"/>
        <v/>
      </c>
      <c r="G61" s="13" t="str">
        <f t="shared" si="4"/>
        <v/>
      </c>
      <c r="H61" s="13" t="str">
        <f t="shared" si="5"/>
        <v/>
      </c>
      <c r="I61" t="str">
        <f t="shared" si="6"/>
        <v/>
      </c>
    </row>
    <row r="62" spans="1:9">
      <c r="A62">
        <f>CSV!B62</f>
        <v>0</v>
      </c>
      <c r="B62" s="13" t="e">
        <f>INDEX(Input!$D$2:$AD$500,
       MATCH(CPU_Formula!A62, Input!$J$2:$J$500, 0),
       MATCH("CPU model", Input!$D$1:$AD$1, 0))</f>
        <v>#N/A</v>
      </c>
      <c r="C62" s="13" t="str">
        <f t="shared" si="0"/>
        <v/>
      </c>
      <c r="D62" s="13" t="str">
        <f t="shared" si="1"/>
        <v/>
      </c>
      <c r="E62" s="13" t="str">
        <f t="shared" si="2"/>
        <v/>
      </c>
      <c r="F62" s="13" t="str">
        <f t="shared" si="3"/>
        <v/>
      </c>
      <c r="G62" s="13" t="str">
        <f t="shared" si="4"/>
        <v/>
      </c>
      <c r="H62" s="13" t="str">
        <f t="shared" si="5"/>
        <v/>
      </c>
      <c r="I62" t="str">
        <f t="shared" si="6"/>
        <v/>
      </c>
    </row>
    <row r="63" spans="1:9">
      <c r="A63">
        <f>CSV!B63</f>
        <v>0</v>
      </c>
      <c r="B63" s="13" t="e">
        <f>INDEX(Input!$D$2:$AD$500,
       MATCH(CPU_Formula!A63, Input!$J$2:$J$500, 0),
       MATCH("CPU model", Input!$D$1:$AD$1, 0))</f>
        <v>#N/A</v>
      </c>
      <c r="C63" s="13" t="str">
        <f t="shared" si="0"/>
        <v/>
      </c>
      <c r="D63" s="13" t="str">
        <f t="shared" si="1"/>
        <v/>
      </c>
      <c r="E63" s="13" t="str">
        <f t="shared" si="2"/>
        <v/>
      </c>
      <c r="F63" s="13" t="str">
        <f t="shared" si="3"/>
        <v/>
      </c>
      <c r="G63" s="13" t="str">
        <f t="shared" si="4"/>
        <v/>
      </c>
      <c r="H63" s="13" t="str">
        <f t="shared" si="5"/>
        <v/>
      </c>
      <c r="I63" t="str">
        <f t="shared" si="6"/>
        <v/>
      </c>
    </row>
    <row r="64" spans="1:9">
      <c r="A64">
        <f>CSV!B64</f>
        <v>0</v>
      </c>
      <c r="B64" s="13" t="e">
        <f>INDEX(Input!$D$2:$AD$500,
       MATCH(CPU_Formula!A64, Input!$J$2:$J$500, 0),
       MATCH("CPU model", Input!$D$1:$AD$1, 0))</f>
        <v>#N/A</v>
      </c>
      <c r="C64" s="13" t="str">
        <f t="shared" si="0"/>
        <v/>
      </c>
      <c r="D64" s="13" t="str">
        <f t="shared" si="1"/>
        <v/>
      </c>
      <c r="E64" s="13" t="str">
        <f t="shared" si="2"/>
        <v/>
      </c>
      <c r="F64" s="13" t="str">
        <f t="shared" si="3"/>
        <v/>
      </c>
      <c r="G64" s="13" t="str">
        <f t="shared" si="4"/>
        <v/>
      </c>
      <c r="H64" s="13" t="str">
        <f t="shared" si="5"/>
        <v/>
      </c>
      <c r="I64" t="str">
        <f t="shared" si="6"/>
        <v/>
      </c>
    </row>
    <row r="65" spans="1:9">
      <c r="A65">
        <f>CSV!B65</f>
        <v>0</v>
      </c>
      <c r="B65" s="13" t="e">
        <f>INDEX(Input!$D$2:$AD$500,
       MATCH(CPU_Formula!A65, Input!$J$2:$J$500, 0),
       MATCH("CPU model", Input!$D$1:$AD$1, 0))</f>
        <v>#N/A</v>
      </c>
      <c r="C65" s="13" t="str">
        <f t="shared" si="0"/>
        <v/>
      </c>
      <c r="D65" s="13" t="str">
        <f t="shared" si="1"/>
        <v/>
      </c>
      <c r="E65" s="13" t="str">
        <f t="shared" si="2"/>
        <v/>
      </c>
      <c r="F65" s="13" t="str">
        <f t="shared" si="3"/>
        <v/>
      </c>
      <c r="G65" s="13" t="str">
        <f t="shared" si="4"/>
        <v/>
      </c>
      <c r="H65" s="13" t="str">
        <f t="shared" si="5"/>
        <v/>
      </c>
      <c r="I65" t="str">
        <f t="shared" si="6"/>
        <v/>
      </c>
    </row>
    <row r="66" spans="1:9">
      <c r="A66">
        <f>CSV!B66</f>
        <v>0</v>
      </c>
      <c r="B66" s="13" t="e">
        <f>INDEX(Input!$D$2:$AD$500,
       MATCH(CPU_Formula!A66, Input!$J$2:$J$500, 0),
       MATCH("CPU model", Input!$D$1:$AD$1, 0))</f>
        <v>#N/A</v>
      </c>
      <c r="C66" s="13" t="str">
        <f t="shared" ref="C66:C73" si="7">IFERROR(_xlfn.TEXTAFTER(B66,"Core(TM) "), "")</f>
        <v/>
      </c>
      <c r="D66" s="13" t="str">
        <f t="shared" ref="D66:D73" si="8">IF(ISNUMBER(SEARCH("Ryzen", B66)), _xlfn.TEXTAFTER(B66, "AMD"), "")</f>
        <v/>
      </c>
      <c r="E66" s="13" t="str">
        <f t="shared" ref="E66:E73" si="9">IF(ISNUMBER(SEARCH("Ultra", B66)), "Ultra"&amp;_xlfn.TEXTAFTER(B66, "Ultra"), "")</f>
        <v/>
      </c>
      <c r="F66" s="13" t="str">
        <f t="shared" ref="F66:F73" si="10">IF(C66&lt;&gt;"", TRIM(_xlfn.TEXTBEFORE(C66," ",,1,1)), "")</f>
        <v/>
      </c>
      <c r="G66" s="13" t="str">
        <f t="shared" ref="G66:G73" si="11">IFERROR(_xlfn.TEXTBEFORE(D66,"w/"),"")</f>
        <v/>
      </c>
      <c r="H66" s="13" t="str">
        <f t="shared" ref="H66:H73" si="12">E66</f>
        <v/>
      </c>
      <c r="I66" t="str">
        <f t="shared" ref="I66:I73" si="13">IF(H66&lt;&gt;"",H66,IF(G66&lt;&gt;"",G66,F66))</f>
        <v/>
      </c>
    </row>
    <row r="67" spans="1:9">
      <c r="A67">
        <f>CSV!B67</f>
        <v>0</v>
      </c>
      <c r="B67" s="13" t="e">
        <f>INDEX(Input!$D$2:$AD$500,
       MATCH(CPU_Formula!A67, Input!$J$2:$J$500, 0),
       MATCH("CPU model", Input!$D$1:$AD$1, 0))</f>
        <v>#N/A</v>
      </c>
      <c r="C67" s="13" t="str">
        <f t="shared" si="7"/>
        <v/>
      </c>
      <c r="D67" s="13" t="str">
        <f t="shared" si="8"/>
        <v/>
      </c>
      <c r="E67" s="13" t="str">
        <f t="shared" si="9"/>
        <v/>
      </c>
      <c r="F67" s="13" t="str">
        <f t="shared" si="10"/>
        <v/>
      </c>
      <c r="G67" s="13" t="str">
        <f t="shared" si="11"/>
        <v/>
      </c>
      <c r="H67" s="13" t="str">
        <f t="shared" si="12"/>
        <v/>
      </c>
      <c r="I67" t="str">
        <f t="shared" si="13"/>
        <v/>
      </c>
    </row>
    <row r="68" spans="1:9">
      <c r="A68">
        <f>CSV!B68</f>
        <v>0</v>
      </c>
      <c r="B68" s="13" t="e">
        <f>INDEX(Input!$D$2:$AD$500,
       MATCH(CPU_Formula!A68, Input!$J$2:$J$500, 0),
       MATCH("CPU model", Input!$D$1:$AD$1, 0))</f>
        <v>#N/A</v>
      </c>
      <c r="C68" s="13" t="str">
        <f t="shared" si="7"/>
        <v/>
      </c>
      <c r="D68" s="13" t="str">
        <f t="shared" si="8"/>
        <v/>
      </c>
      <c r="E68" s="13" t="str">
        <f t="shared" si="9"/>
        <v/>
      </c>
      <c r="F68" s="13" t="str">
        <f t="shared" si="10"/>
        <v/>
      </c>
      <c r="G68" s="13" t="str">
        <f t="shared" si="11"/>
        <v/>
      </c>
      <c r="H68" s="13" t="str">
        <f t="shared" si="12"/>
        <v/>
      </c>
      <c r="I68" t="str">
        <f t="shared" si="13"/>
        <v/>
      </c>
    </row>
    <row r="69" spans="1:9">
      <c r="A69">
        <f>CSV!B69</f>
        <v>0</v>
      </c>
      <c r="B69" s="13" t="e">
        <f>INDEX(Input!$D$2:$AD$500,
       MATCH(CPU_Formula!A69, Input!$J$2:$J$500, 0),
       MATCH("CPU model", Input!$D$1:$AD$1, 0))</f>
        <v>#N/A</v>
      </c>
      <c r="C69" s="13" t="str">
        <f t="shared" si="7"/>
        <v/>
      </c>
      <c r="D69" s="13" t="str">
        <f t="shared" si="8"/>
        <v/>
      </c>
      <c r="E69" s="13" t="str">
        <f t="shared" si="9"/>
        <v/>
      </c>
      <c r="F69" s="13" t="str">
        <f t="shared" si="10"/>
        <v/>
      </c>
      <c r="G69" s="13" t="str">
        <f t="shared" si="11"/>
        <v/>
      </c>
      <c r="H69" s="13" t="str">
        <f t="shared" si="12"/>
        <v/>
      </c>
      <c r="I69" t="str">
        <f t="shared" si="13"/>
        <v/>
      </c>
    </row>
    <row r="70" spans="1:9">
      <c r="A70">
        <f>CSV!B70</f>
        <v>0</v>
      </c>
      <c r="B70" s="13" t="e">
        <f>INDEX(Input!$D$2:$AD$500,
       MATCH(CPU_Formula!A70, Input!$J$2:$J$500, 0),
       MATCH("CPU model", Input!$D$1:$AD$1, 0))</f>
        <v>#N/A</v>
      </c>
      <c r="C70" s="13" t="str">
        <f t="shared" si="7"/>
        <v/>
      </c>
      <c r="D70" s="13" t="str">
        <f t="shared" si="8"/>
        <v/>
      </c>
      <c r="E70" s="13" t="str">
        <f t="shared" si="9"/>
        <v/>
      </c>
      <c r="F70" s="13" t="str">
        <f t="shared" si="10"/>
        <v/>
      </c>
      <c r="G70" s="13" t="str">
        <f t="shared" si="11"/>
        <v/>
      </c>
      <c r="H70" s="13" t="str">
        <f t="shared" si="12"/>
        <v/>
      </c>
      <c r="I70" t="str">
        <f t="shared" si="13"/>
        <v/>
      </c>
    </row>
    <row r="71" spans="1:9">
      <c r="A71">
        <f>CSV!B71</f>
        <v>0</v>
      </c>
      <c r="B71" s="13" t="e">
        <f>INDEX(Input!$D$2:$AD$500,
       MATCH(CPU_Formula!A71, Input!$J$2:$J$500, 0),
       MATCH("CPU model", Input!$D$1:$AD$1, 0))</f>
        <v>#N/A</v>
      </c>
      <c r="C71" s="13" t="str">
        <f t="shared" si="7"/>
        <v/>
      </c>
      <c r="D71" s="13" t="str">
        <f t="shared" si="8"/>
        <v/>
      </c>
      <c r="E71" s="13" t="str">
        <f t="shared" si="9"/>
        <v/>
      </c>
      <c r="F71" s="13" t="str">
        <f t="shared" si="10"/>
        <v/>
      </c>
      <c r="G71" s="13" t="str">
        <f t="shared" si="11"/>
        <v/>
      </c>
      <c r="H71" s="13" t="str">
        <f t="shared" si="12"/>
        <v/>
      </c>
      <c r="I71" t="str">
        <f t="shared" si="13"/>
        <v/>
      </c>
    </row>
    <row r="72" spans="1:9">
      <c r="A72">
        <f>CSV!B72</f>
        <v>0</v>
      </c>
      <c r="B72" s="13" t="e">
        <f>INDEX(Input!$D$2:$AD$500,
       MATCH(CPU_Formula!A72, Input!$J$2:$J$500, 0),
       MATCH("CPU model", Input!$D$1:$AD$1, 0))</f>
        <v>#N/A</v>
      </c>
      <c r="C72" s="13" t="str">
        <f t="shared" si="7"/>
        <v/>
      </c>
      <c r="D72" s="13" t="str">
        <f t="shared" si="8"/>
        <v/>
      </c>
      <c r="E72" s="13" t="str">
        <f t="shared" si="9"/>
        <v/>
      </c>
      <c r="F72" s="13" t="str">
        <f t="shared" si="10"/>
        <v/>
      </c>
      <c r="G72" s="13" t="str">
        <f t="shared" si="11"/>
        <v/>
      </c>
      <c r="H72" s="13" t="str">
        <f t="shared" si="12"/>
        <v/>
      </c>
      <c r="I72" t="str">
        <f t="shared" si="13"/>
        <v/>
      </c>
    </row>
    <row r="73" spans="1:9">
      <c r="A73">
        <f>CSV!B73</f>
        <v>0</v>
      </c>
      <c r="B73" s="13" t="e">
        <f>INDEX(Input!$D$2:$AD$500,
       MATCH(CPU_Formula!A73, Input!$J$2:$J$500, 0),
       MATCH("CPU model", Input!$D$1:$AD$1, 0))</f>
        <v>#N/A</v>
      </c>
      <c r="C73" s="13" t="str">
        <f t="shared" si="7"/>
        <v/>
      </c>
      <c r="D73" s="13" t="str">
        <f t="shared" si="8"/>
        <v/>
      </c>
      <c r="E73" s="13" t="str">
        <f t="shared" si="9"/>
        <v/>
      </c>
      <c r="F73" s="13" t="str">
        <f t="shared" si="10"/>
        <v/>
      </c>
      <c r="G73" s="13" t="str">
        <f t="shared" si="11"/>
        <v/>
      </c>
      <c r="H73" s="13" t="str">
        <f t="shared" si="12"/>
        <v/>
      </c>
      <c r="I73" t="str">
        <f t="shared" si="13"/>
        <v/>
      </c>
    </row>
    <row r="74" spans="1:9">
      <c r="A74">
        <f>CSV!B74</f>
        <v>0</v>
      </c>
      <c r="B74" s="13" t="e">
        <f>INDEX(Input!$D$2:$AD$500,
       MATCH(CPU_Formula!A74, Input!$J$2:$J$500, 0),
       MATCH("CPU model", Input!$D$1:$AD$1, 0))</f>
        <v>#N/A</v>
      </c>
      <c r="C74" s="13" t="str">
        <f t="shared" ref="C74:C104" si="14">IFERROR(_xlfn.TEXTAFTER(B74,"Core(TM) "), "")</f>
        <v/>
      </c>
      <c r="D74" s="13" t="str">
        <f>IF(ISNUMBER(SEARCH("Ryzen", B74)), _xlfn.TEXTAFTER(B74, "AMD"), "")</f>
        <v/>
      </c>
      <c r="E74" s="13" t="str">
        <f t="shared" ref="E74:E104" si="15">IF(ISNUMBER(SEARCH("Ultra", B74)), "Ultra"&amp;_xlfn.TEXTAFTER(B74, "Ultra"), "")</f>
        <v/>
      </c>
      <c r="F74" s="13" t="str">
        <f t="shared" ref="F74:F104" si="16">IF(C74&lt;&gt;"", TRIM(_xlfn.TEXTBEFORE(C74," ",,1,1)), "")</f>
        <v/>
      </c>
      <c r="G74" s="13" t="str">
        <f>IFERROR(_xlfn.TEXTBEFORE(D74,"w/"),"")</f>
        <v/>
      </c>
      <c r="H74" s="13" t="str">
        <f t="shared" ref="H74:H104" si="17">E74</f>
        <v/>
      </c>
      <c r="I74" t="str">
        <f t="shared" ref="I74:I104" si="18">IF(H74&lt;&gt;"",H74,IF(G74&lt;&gt;"",G74,F74))</f>
        <v/>
      </c>
    </row>
    <row r="75" spans="1:9">
      <c r="A75">
        <f>CSV!B75</f>
        <v>0</v>
      </c>
      <c r="B75" s="13" t="e">
        <f>INDEX(Input!$D$2:$AD$500,
       MATCH(CPU_Formula!A75, Input!$J$2:$J$500, 0),
       MATCH("CPU model", Input!$D$1:$AD$1, 0))</f>
        <v>#N/A</v>
      </c>
      <c r="C75" s="13" t="str">
        <f t="shared" si="14"/>
        <v/>
      </c>
      <c r="D75" s="13" t="str">
        <f t="shared" ref="D75:D87" si="19">IF(ISNUMBER(SEARCH("Ryzen", B75)), _xlfn.TEXTAFTER(B75, "AMD"), "")</f>
        <v/>
      </c>
      <c r="E75" s="13" t="str">
        <f t="shared" ref="E75:E87" si="20">IF(ISNUMBER(SEARCH("Ultra", B75)), "Ultra"&amp;_xlfn.TEXTAFTER(B75, "Ultra"), "")</f>
        <v/>
      </c>
      <c r="F75" s="13" t="str">
        <f t="shared" ref="F75:F87" si="21">IF(C75&lt;&gt;"", TRIM(_xlfn.TEXTBEFORE(C75," ",,1,1)), "")</f>
        <v/>
      </c>
      <c r="G75" s="13" t="str">
        <f t="shared" ref="G75:G87" si="22">IFERROR(_xlfn.TEXTBEFORE(D75,"w/"),"")</f>
        <v/>
      </c>
      <c r="H75" s="13" t="str">
        <f t="shared" ref="H75:H87" si="23">E75</f>
        <v/>
      </c>
      <c r="I75" t="str">
        <f t="shared" ref="I75:I87" si="24">IF(H75&lt;&gt;"",H75,IF(G75&lt;&gt;"",G75,F75))</f>
        <v/>
      </c>
    </row>
    <row r="76" spans="1:9">
      <c r="A76">
        <f>CSV!B76</f>
        <v>0</v>
      </c>
      <c r="B76" s="13" t="e">
        <f>INDEX(Input!$D$2:$AD$500,
       MATCH(CPU_Formula!A76, Input!$J$2:$J$500, 0),
       MATCH("CPU model", Input!$D$1:$AD$1, 0))</f>
        <v>#N/A</v>
      </c>
      <c r="C76" s="13" t="str">
        <f t="shared" si="14"/>
        <v/>
      </c>
      <c r="D76" s="13" t="str">
        <f t="shared" si="19"/>
        <v/>
      </c>
      <c r="E76" s="13" t="str">
        <f t="shared" si="20"/>
        <v/>
      </c>
      <c r="F76" s="13" t="str">
        <f t="shared" si="21"/>
        <v/>
      </c>
      <c r="G76" s="13" t="str">
        <f t="shared" si="22"/>
        <v/>
      </c>
      <c r="H76" s="13" t="str">
        <f t="shared" si="23"/>
        <v/>
      </c>
      <c r="I76" t="str">
        <f t="shared" si="24"/>
        <v/>
      </c>
    </row>
    <row r="77" spans="1:9">
      <c r="A77">
        <f>CSV!B77</f>
        <v>0</v>
      </c>
      <c r="B77" s="13" t="e">
        <f>INDEX(Input!$D$2:$AD$500,
       MATCH(CPU_Formula!A77, Input!$J$2:$J$500, 0),
       MATCH("CPU model", Input!$D$1:$AD$1, 0))</f>
        <v>#N/A</v>
      </c>
      <c r="C77" s="13" t="str">
        <f t="shared" si="14"/>
        <v/>
      </c>
      <c r="D77" s="13" t="str">
        <f t="shared" si="19"/>
        <v/>
      </c>
      <c r="E77" s="13" t="str">
        <f t="shared" si="20"/>
        <v/>
      </c>
      <c r="F77" s="13" t="str">
        <f t="shared" si="21"/>
        <v/>
      </c>
      <c r="G77" s="13" t="str">
        <f t="shared" si="22"/>
        <v/>
      </c>
      <c r="H77" s="13" t="str">
        <f t="shared" si="23"/>
        <v/>
      </c>
      <c r="I77" t="str">
        <f t="shared" si="24"/>
        <v/>
      </c>
    </row>
    <row r="78" spans="1:9">
      <c r="A78">
        <f>CSV!B78</f>
        <v>0</v>
      </c>
      <c r="B78" s="13" t="e">
        <f>INDEX(Input!$D$2:$AD$500,
       MATCH(CPU_Formula!A78, Input!$J$2:$J$500, 0),
       MATCH("CPU model", Input!$D$1:$AD$1, 0))</f>
        <v>#N/A</v>
      </c>
      <c r="C78" s="13" t="str">
        <f t="shared" si="14"/>
        <v/>
      </c>
      <c r="D78" s="13" t="str">
        <f t="shared" si="19"/>
        <v/>
      </c>
      <c r="E78" s="13" t="str">
        <f t="shared" si="20"/>
        <v/>
      </c>
      <c r="F78" s="13" t="str">
        <f t="shared" si="21"/>
        <v/>
      </c>
      <c r="G78" s="13" t="str">
        <f t="shared" si="22"/>
        <v/>
      </c>
      <c r="H78" s="13" t="str">
        <f t="shared" si="23"/>
        <v/>
      </c>
      <c r="I78" t="str">
        <f t="shared" si="24"/>
        <v/>
      </c>
    </row>
    <row r="79" spans="1:9">
      <c r="A79">
        <f>CSV!B79</f>
        <v>0</v>
      </c>
      <c r="B79" s="13" t="e">
        <f>INDEX(Input!$D$2:$AD$500,
       MATCH(CPU_Formula!A79, Input!$J$2:$J$500, 0),
       MATCH("CPU model", Input!$D$1:$AD$1, 0))</f>
        <v>#N/A</v>
      </c>
      <c r="C79" s="13" t="str">
        <f t="shared" si="14"/>
        <v/>
      </c>
      <c r="D79" s="13" t="str">
        <f t="shared" si="19"/>
        <v/>
      </c>
      <c r="E79" s="13" t="str">
        <f t="shared" si="20"/>
        <v/>
      </c>
      <c r="F79" s="13" t="str">
        <f t="shared" si="21"/>
        <v/>
      </c>
      <c r="G79" s="13" t="str">
        <f t="shared" si="22"/>
        <v/>
      </c>
      <c r="H79" s="13" t="str">
        <f t="shared" si="23"/>
        <v/>
      </c>
      <c r="I79" t="str">
        <f t="shared" si="24"/>
        <v/>
      </c>
    </row>
    <row r="80" spans="1:9">
      <c r="A80">
        <f>CSV!B80</f>
        <v>0</v>
      </c>
      <c r="B80" s="13" t="e">
        <f>INDEX(Input!$D$2:$AD$500,
       MATCH(CPU_Formula!A80, Input!$J$2:$J$500, 0),
       MATCH("CPU model", Input!$D$1:$AD$1, 0))</f>
        <v>#N/A</v>
      </c>
      <c r="C80" s="13" t="str">
        <f t="shared" si="14"/>
        <v/>
      </c>
      <c r="D80" s="13" t="str">
        <f t="shared" si="19"/>
        <v/>
      </c>
      <c r="E80" s="13" t="str">
        <f t="shared" si="20"/>
        <v/>
      </c>
      <c r="F80" s="13" t="str">
        <f t="shared" si="21"/>
        <v/>
      </c>
      <c r="G80" s="13" t="str">
        <f t="shared" si="22"/>
        <v/>
      </c>
      <c r="H80" s="13" t="str">
        <f t="shared" si="23"/>
        <v/>
      </c>
      <c r="I80" t="str">
        <f t="shared" si="24"/>
        <v/>
      </c>
    </row>
    <row r="81" spans="1:9">
      <c r="A81">
        <f>CSV!B81</f>
        <v>0</v>
      </c>
      <c r="B81" s="13" t="e">
        <f>INDEX(Input!$D$2:$AD$500,
       MATCH(CPU_Formula!A81, Input!$J$2:$J$500, 0),
       MATCH("CPU model", Input!$D$1:$AD$1, 0))</f>
        <v>#N/A</v>
      </c>
      <c r="C81" s="13" t="str">
        <f t="shared" si="14"/>
        <v/>
      </c>
      <c r="D81" s="13" t="str">
        <f t="shared" si="19"/>
        <v/>
      </c>
      <c r="E81" s="13" t="str">
        <f t="shared" si="20"/>
        <v/>
      </c>
      <c r="F81" s="13" t="str">
        <f t="shared" si="21"/>
        <v/>
      </c>
      <c r="G81" s="13" t="str">
        <f t="shared" si="22"/>
        <v/>
      </c>
      <c r="H81" s="13" t="str">
        <f t="shared" si="23"/>
        <v/>
      </c>
      <c r="I81" t="str">
        <f t="shared" si="24"/>
        <v/>
      </c>
    </row>
    <row r="82" spans="1:9">
      <c r="A82">
        <f>CSV!B82</f>
        <v>0</v>
      </c>
      <c r="B82" s="13" t="e">
        <f>INDEX(Input!$D$2:$AD$500,
       MATCH(CPU_Formula!A82, Input!$J$2:$J$500, 0),
       MATCH("CPU model", Input!$D$1:$AD$1, 0))</f>
        <v>#N/A</v>
      </c>
      <c r="C82" s="13" t="str">
        <f t="shared" si="14"/>
        <v/>
      </c>
      <c r="D82" s="13" t="str">
        <f t="shared" si="19"/>
        <v/>
      </c>
      <c r="E82" s="13" t="str">
        <f t="shared" si="20"/>
        <v/>
      </c>
      <c r="F82" s="13" t="str">
        <f t="shared" si="21"/>
        <v/>
      </c>
      <c r="G82" s="13" t="str">
        <f t="shared" si="22"/>
        <v/>
      </c>
      <c r="H82" s="13" t="str">
        <f t="shared" si="23"/>
        <v/>
      </c>
      <c r="I82" t="str">
        <f t="shared" si="24"/>
        <v/>
      </c>
    </row>
    <row r="83" spans="1:9">
      <c r="A83">
        <f>CSV!B83</f>
        <v>0</v>
      </c>
      <c r="B83" s="13" t="e">
        <f>INDEX(Input!$D$2:$AD$500,
       MATCH(CPU_Formula!A83, Input!$J$2:$J$500, 0),
       MATCH("CPU model", Input!$D$1:$AD$1, 0))</f>
        <v>#N/A</v>
      </c>
      <c r="C83" s="13" t="str">
        <f t="shared" si="14"/>
        <v/>
      </c>
      <c r="D83" s="13" t="str">
        <f t="shared" si="19"/>
        <v/>
      </c>
      <c r="E83" s="13" t="str">
        <f t="shared" si="20"/>
        <v/>
      </c>
      <c r="F83" s="13" t="str">
        <f t="shared" si="21"/>
        <v/>
      </c>
      <c r="G83" s="13" t="str">
        <f t="shared" si="22"/>
        <v/>
      </c>
      <c r="H83" s="13" t="str">
        <f t="shared" si="23"/>
        <v/>
      </c>
      <c r="I83" t="str">
        <f t="shared" si="24"/>
        <v/>
      </c>
    </row>
    <row r="84" spans="1:9">
      <c r="A84">
        <f>CSV!B84</f>
        <v>0</v>
      </c>
      <c r="B84" s="13" t="e">
        <f>INDEX(Input!$D$2:$AD$500,
       MATCH(CPU_Formula!A84, Input!$J$2:$J$500, 0),
       MATCH("CPU model", Input!$D$1:$AD$1, 0))</f>
        <v>#N/A</v>
      </c>
      <c r="C84" s="13" t="str">
        <f t="shared" si="14"/>
        <v/>
      </c>
      <c r="D84" s="13" t="str">
        <f t="shared" si="19"/>
        <v/>
      </c>
      <c r="E84" s="13" t="str">
        <f t="shared" si="20"/>
        <v/>
      </c>
      <c r="F84" s="13" t="str">
        <f t="shared" si="21"/>
        <v/>
      </c>
      <c r="G84" s="13" t="str">
        <f t="shared" si="22"/>
        <v/>
      </c>
      <c r="H84" s="13" t="str">
        <f t="shared" si="23"/>
        <v/>
      </c>
      <c r="I84" t="str">
        <f t="shared" si="24"/>
        <v/>
      </c>
    </row>
    <row r="85" spans="1:9">
      <c r="A85">
        <f>CSV!B85</f>
        <v>0</v>
      </c>
      <c r="B85" s="13" t="e">
        <f>INDEX(Input!$D$2:$AD$500,
       MATCH(CPU_Formula!A85, Input!$J$2:$J$500, 0),
       MATCH("CPU model", Input!$D$1:$AD$1, 0))</f>
        <v>#N/A</v>
      </c>
      <c r="C85" s="13" t="str">
        <f t="shared" si="14"/>
        <v/>
      </c>
      <c r="D85" s="13" t="str">
        <f t="shared" si="19"/>
        <v/>
      </c>
      <c r="E85" s="13" t="str">
        <f t="shared" si="20"/>
        <v/>
      </c>
      <c r="F85" s="13" t="str">
        <f t="shared" si="21"/>
        <v/>
      </c>
      <c r="G85" s="13" t="str">
        <f t="shared" si="22"/>
        <v/>
      </c>
      <c r="H85" s="13" t="str">
        <f t="shared" si="23"/>
        <v/>
      </c>
      <c r="I85" t="str">
        <f t="shared" si="24"/>
        <v/>
      </c>
    </row>
    <row r="86" spans="1:9">
      <c r="A86">
        <f>CSV!B86</f>
        <v>0</v>
      </c>
      <c r="B86" s="13" t="e">
        <f>INDEX(Input!$D$2:$AD$500,
       MATCH(CPU_Formula!A86, Input!$J$2:$J$500, 0),
       MATCH("CPU model", Input!$D$1:$AD$1, 0))</f>
        <v>#N/A</v>
      </c>
      <c r="C86" s="13" t="str">
        <f t="shared" si="14"/>
        <v/>
      </c>
      <c r="D86" s="13" t="str">
        <f t="shared" si="19"/>
        <v/>
      </c>
      <c r="E86" s="13" t="str">
        <f t="shared" si="20"/>
        <v/>
      </c>
      <c r="F86" s="13" t="str">
        <f t="shared" si="21"/>
        <v/>
      </c>
      <c r="G86" s="13" t="str">
        <f t="shared" si="22"/>
        <v/>
      </c>
      <c r="H86" s="13" t="str">
        <f t="shared" si="23"/>
        <v/>
      </c>
      <c r="I86" t="str">
        <f t="shared" si="24"/>
        <v/>
      </c>
    </row>
    <row r="87" spans="1:9">
      <c r="A87">
        <f>CSV!B87</f>
        <v>0</v>
      </c>
      <c r="B87" s="13" t="e">
        <f>INDEX(Input!$D$2:$AD$500,
       MATCH(CPU_Formula!A87, Input!$J$2:$J$500, 0),
       MATCH("CPU model", Input!$D$1:$AD$1, 0))</f>
        <v>#N/A</v>
      </c>
      <c r="C87" s="13" t="str">
        <f t="shared" si="14"/>
        <v/>
      </c>
      <c r="D87" s="13" t="str">
        <f t="shared" si="19"/>
        <v/>
      </c>
      <c r="E87" s="13" t="str">
        <f t="shared" si="20"/>
        <v/>
      </c>
      <c r="F87" s="13" t="str">
        <f t="shared" si="21"/>
        <v/>
      </c>
      <c r="G87" s="13" t="str">
        <f t="shared" si="22"/>
        <v/>
      </c>
      <c r="H87" s="13" t="str">
        <f t="shared" si="23"/>
        <v/>
      </c>
      <c r="I87" t="str">
        <f t="shared" si="24"/>
        <v/>
      </c>
    </row>
    <row r="88" spans="1:9">
      <c r="A88">
        <f>CSV!B88</f>
        <v>0</v>
      </c>
      <c r="B88" s="13" t="e">
        <f>INDEX(Input!$D$2:$AD$500,
       MATCH(CPU_Formula!A88, Input!$J$2:$J$500, 0),
       MATCH("CPU model", Input!$D$1:$AD$1, 0))</f>
        <v>#N/A</v>
      </c>
      <c r="C88" s="13" t="str">
        <f t="shared" si="14"/>
        <v/>
      </c>
      <c r="D88" s="13" t="str">
        <f t="shared" ref="D88:D104" si="25">IFERROR(_xlfn.TEXTAFTER(B88,"Ryzen "), "")</f>
        <v/>
      </c>
      <c r="E88" s="13" t="str">
        <f t="shared" si="15"/>
        <v/>
      </c>
      <c r="F88" s="13" t="str">
        <f t="shared" si="16"/>
        <v/>
      </c>
      <c r="G88" s="13" t="str">
        <f t="shared" ref="G88:G104" si="26">IF(D88&lt;&gt;"", TRIM(_xlfn.TEXTBEFORE(D88," ",,1)), "")</f>
        <v/>
      </c>
      <c r="H88" s="13" t="str">
        <f t="shared" si="17"/>
        <v/>
      </c>
      <c r="I88" t="str">
        <f t="shared" si="18"/>
        <v/>
      </c>
    </row>
    <row r="89" spans="1:9">
      <c r="A89">
        <f>CSV!B89</f>
        <v>0</v>
      </c>
      <c r="B89" s="13" t="e">
        <f>INDEX(Input!$D$2:$AD$500,
       MATCH(CPU_Formula!A89, Input!$J$2:$J$500, 0),
       MATCH("CPU model", Input!$D$1:$AD$1, 0))</f>
        <v>#N/A</v>
      </c>
      <c r="C89" s="13" t="str">
        <f t="shared" si="14"/>
        <v/>
      </c>
      <c r="D89" s="13" t="str">
        <f t="shared" si="25"/>
        <v/>
      </c>
      <c r="E89" s="13" t="str">
        <f t="shared" si="15"/>
        <v/>
      </c>
      <c r="F89" s="13" t="str">
        <f t="shared" si="16"/>
        <v/>
      </c>
      <c r="G89" s="13" t="str">
        <f t="shared" si="26"/>
        <v/>
      </c>
      <c r="H89" s="13" t="str">
        <f t="shared" si="17"/>
        <v/>
      </c>
      <c r="I89" t="str">
        <f t="shared" si="18"/>
        <v/>
      </c>
    </row>
    <row r="90" spans="1:9">
      <c r="A90">
        <f>CSV!B90</f>
        <v>0</v>
      </c>
      <c r="B90" s="13" t="e">
        <f>INDEX(Input!$D$2:$AD$500,
       MATCH(CPU_Formula!A90, Input!$J$2:$J$500, 0),
       MATCH("CPU model", Input!$D$1:$AD$1, 0))</f>
        <v>#N/A</v>
      </c>
      <c r="C90" s="13" t="str">
        <f t="shared" si="14"/>
        <v/>
      </c>
      <c r="D90" s="13" t="str">
        <f t="shared" si="25"/>
        <v/>
      </c>
      <c r="E90" s="13" t="str">
        <f t="shared" si="15"/>
        <v/>
      </c>
      <c r="F90" s="13" t="str">
        <f t="shared" si="16"/>
        <v/>
      </c>
      <c r="G90" s="13" t="str">
        <f t="shared" si="26"/>
        <v/>
      </c>
      <c r="H90" s="13" t="str">
        <f t="shared" si="17"/>
        <v/>
      </c>
      <c r="I90" t="str">
        <f t="shared" si="18"/>
        <v/>
      </c>
    </row>
    <row r="91" spans="1:9">
      <c r="A91">
        <f>CSV!B91</f>
        <v>0</v>
      </c>
      <c r="B91" s="13" t="e">
        <f>INDEX(Input!$D$2:$AD$500,
       MATCH(CPU_Formula!A91, Input!$J$2:$J$500, 0),
       MATCH("CPU model", Input!$D$1:$AD$1, 0))</f>
        <v>#N/A</v>
      </c>
      <c r="C91" s="13" t="str">
        <f t="shared" si="14"/>
        <v/>
      </c>
      <c r="D91" s="13" t="str">
        <f t="shared" si="25"/>
        <v/>
      </c>
      <c r="E91" s="13" t="str">
        <f t="shared" si="15"/>
        <v/>
      </c>
      <c r="F91" s="13" t="str">
        <f t="shared" si="16"/>
        <v/>
      </c>
      <c r="G91" s="13" t="str">
        <f t="shared" si="26"/>
        <v/>
      </c>
      <c r="H91" s="13" t="str">
        <f t="shared" si="17"/>
        <v/>
      </c>
      <c r="I91" t="str">
        <f t="shared" si="18"/>
        <v/>
      </c>
    </row>
    <row r="92" spans="1:9">
      <c r="A92">
        <f>CSV!B92</f>
        <v>0</v>
      </c>
      <c r="B92" s="13" t="e">
        <f>INDEX(Input!$D$2:$AD$500,
       MATCH(CPU_Formula!A92, Input!$J$2:$J$500, 0),
       MATCH("CPU model", Input!$D$1:$AD$1, 0))</f>
        <v>#N/A</v>
      </c>
      <c r="C92" s="13" t="str">
        <f t="shared" si="14"/>
        <v/>
      </c>
      <c r="D92" s="13" t="str">
        <f t="shared" si="25"/>
        <v/>
      </c>
      <c r="E92" s="13" t="str">
        <f t="shared" si="15"/>
        <v/>
      </c>
      <c r="F92" s="13" t="str">
        <f t="shared" si="16"/>
        <v/>
      </c>
      <c r="G92" s="13" t="str">
        <f t="shared" si="26"/>
        <v/>
      </c>
      <c r="H92" s="13" t="str">
        <f t="shared" si="17"/>
        <v/>
      </c>
      <c r="I92" t="str">
        <f t="shared" si="18"/>
        <v/>
      </c>
    </row>
    <row r="93" spans="1:9">
      <c r="A93">
        <f>CSV!B93</f>
        <v>0</v>
      </c>
      <c r="B93" s="13" t="e">
        <f>INDEX(Input!$D$2:$AD$500,
       MATCH(CPU_Formula!A93, Input!$J$2:$J$500, 0),
       MATCH("CPU model", Input!$D$1:$AD$1, 0))</f>
        <v>#N/A</v>
      </c>
      <c r="C93" s="13" t="str">
        <f t="shared" si="14"/>
        <v/>
      </c>
      <c r="D93" s="13" t="str">
        <f t="shared" si="25"/>
        <v/>
      </c>
      <c r="E93" s="13" t="str">
        <f t="shared" si="15"/>
        <v/>
      </c>
      <c r="F93" s="13" t="str">
        <f t="shared" si="16"/>
        <v/>
      </c>
      <c r="G93" s="13" t="str">
        <f t="shared" si="26"/>
        <v/>
      </c>
      <c r="H93" s="13" t="str">
        <f t="shared" si="17"/>
        <v/>
      </c>
      <c r="I93" t="str">
        <f t="shared" si="18"/>
        <v/>
      </c>
    </row>
    <row r="94" spans="1:9">
      <c r="A94">
        <f>CSV!B94</f>
        <v>0</v>
      </c>
      <c r="B94" s="13" t="e">
        <f>INDEX(Input!$D$2:$AD$500,
       MATCH(CPU_Formula!A94, Input!$J$2:$J$500, 0),
       MATCH("CPU model", Input!$D$1:$AD$1, 0))</f>
        <v>#N/A</v>
      </c>
      <c r="C94" s="13" t="str">
        <f t="shared" si="14"/>
        <v/>
      </c>
      <c r="D94" s="13" t="str">
        <f t="shared" si="25"/>
        <v/>
      </c>
      <c r="E94" s="13" t="str">
        <f t="shared" si="15"/>
        <v/>
      </c>
      <c r="F94" s="13" t="str">
        <f t="shared" si="16"/>
        <v/>
      </c>
      <c r="G94" s="13" t="str">
        <f t="shared" si="26"/>
        <v/>
      </c>
      <c r="H94" s="13" t="str">
        <f t="shared" si="17"/>
        <v/>
      </c>
      <c r="I94" t="str">
        <f t="shared" si="18"/>
        <v/>
      </c>
    </row>
    <row r="95" spans="1:9">
      <c r="A95">
        <f>CSV!B95</f>
        <v>0</v>
      </c>
      <c r="B95" s="13" t="e">
        <f>INDEX(Input!$D$2:$AD$500,
       MATCH(CPU_Formula!A95, Input!$J$2:$J$500, 0),
       MATCH("CPU model", Input!$D$1:$AD$1, 0))</f>
        <v>#N/A</v>
      </c>
      <c r="C95" s="13" t="str">
        <f t="shared" si="14"/>
        <v/>
      </c>
      <c r="D95" s="13" t="str">
        <f t="shared" si="25"/>
        <v/>
      </c>
      <c r="E95" s="13" t="str">
        <f t="shared" si="15"/>
        <v/>
      </c>
      <c r="F95" s="13" t="str">
        <f t="shared" si="16"/>
        <v/>
      </c>
      <c r="G95" s="13" t="str">
        <f t="shared" si="26"/>
        <v/>
      </c>
      <c r="H95" s="13" t="str">
        <f t="shared" si="17"/>
        <v/>
      </c>
      <c r="I95" t="str">
        <f t="shared" si="18"/>
        <v/>
      </c>
    </row>
    <row r="96" spans="1:9">
      <c r="A96">
        <f>CSV!B96</f>
        <v>0</v>
      </c>
      <c r="B96" s="13" t="e">
        <f>INDEX(Input!$D$2:$AD$500,
       MATCH(CPU_Formula!A96, Input!$J$2:$J$500, 0),
       MATCH("CPU model", Input!$D$1:$AD$1, 0))</f>
        <v>#N/A</v>
      </c>
      <c r="C96" s="13" t="str">
        <f t="shared" si="14"/>
        <v/>
      </c>
      <c r="D96" s="13" t="str">
        <f t="shared" si="25"/>
        <v/>
      </c>
      <c r="E96" s="13" t="str">
        <f t="shared" si="15"/>
        <v/>
      </c>
      <c r="F96" s="13" t="str">
        <f t="shared" si="16"/>
        <v/>
      </c>
      <c r="G96" s="13" t="str">
        <f t="shared" si="26"/>
        <v/>
      </c>
      <c r="H96" s="13" t="str">
        <f t="shared" si="17"/>
        <v/>
      </c>
      <c r="I96" t="str">
        <f t="shared" si="18"/>
        <v/>
      </c>
    </row>
    <row r="97" spans="1:9">
      <c r="A97">
        <f>CSV!B97</f>
        <v>0</v>
      </c>
      <c r="B97" s="13" t="e">
        <f>INDEX(Input!$D$2:$AD$500,
       MATCH(CPU_Formula!A97, Input!$J$2:$J$500, 0),
       MATCH("CPU model", Input!$D$1:$AD$1, 0))</f>
        <v>#N/A</v>
      </c>
      <c r="C97" s="13" t="str">
        <f t="shared" si="14"/>
        <v/>
      </c>
      <c r="D97" s="13" t="str">
        <f t="shared" si="25"/>
        <v/>
      </c>
      <c r="E97" s="13" t="str">
        <f t="shared" si="15"/>
        <v/>
      </c>
      <c r="F97" s="13" t="str">
        <f t="shared" si="16"/>
        <v/>
      </c>
      <c r="G97" s="13" t="str">
        <f t="shared" si="26"/>
        <v/>
      </c>
      <c r="H97" s="13" t="str">
        <f t="shared" si="17"/>
        <v/>
      </c>
      <c r="I97" t="str">
        <f t="shared" si="18"/>
        <v/>
      </c>
    </row>
    <row r="98" spans="1:9">
      <c r="A98">
        <f>CSV!B98</f>
        <v>0</v>
      </c>
      <c r="B98" s="13" t="e">
        <f>INDEX(Input!$D$2:$AD$500,
       MATCH(CPU_Formula!A98, Input!$J$2:$J$500, 0),
       MATCH("CPU model", Input!$D$1:$AD$1, 0))</f>
        <v>#N/A</v>
      </c>
      <c r="C98" s="13" t="str">
        <f t="shared" si="14"/>
        <v/>
      </c>
      <c r="D98" s="13" t="str">
        <f t="shared" si="25"/>
        <v/>
      </c>
      <c r="E98" s="13" t="str">
        <f t="shared" si="15"/>
        <v/>
      </c>
      <c r="F98" s="13" t="str">
        <f t="shared" si="16"/>
        <v/>
      </c>
      <c r="G98" s="13" t="str">
        <f t="shared" si="26"/>
        <v/>
      </c>
      <c r="H98" s="13" t="str">
        <f t="shared" si="17"/>
        <v/>
      </c>
      <c r="I98" t="str">
        <f t="shared" si="18"/>
        <v/>
      </c>
    </row>
    <row r="99" spans="1:9">
      <c r="A99">
        <f>CSV!B99</f>
        <v>0</v>
      </c>
      <c r="B99" s="13" t="e">
        <f>INDEX(Input!$D$2:$AD$500,
       MATCH(CPU_Formula!A99, Input!$J$2:$J$500, 0),
       MATCH("CPU model", Input!$D$1:$AD$1, 0))</f>
        <v>#N/A</v>
      </c>
      <c r="C99" s="13" t="str">
        <f t="shared" si="14"/>
        <v/>
      </c>
      <c r="D99" s="13" t="str">
        <f t="shared" si="25"/>
        <v/>
      </c>
      <c r="E99" s="13" t="str">
        <f t="shared" si="15"/>
        <v/>
      </c>
      <c r="F99" s="13" t="str">
        <f t="shared" si="16"/>
        <v/>
      </c>
      <c r="G99" s="13" t="str">
        <f t="shared" si="26"/>
        <v/>
      </c>
      <c r="H99" s="13" t="str">
        <f t="shared" si="17"/>
        <v/>
      </c>
      <c r="I99" t="str">
        <f t="shared" si="18"/>
        <v/>
      </c>
    </row>
    <row r="100" spans="1:9">
      <c r="A100">
        <f>CSV!B100</f>
        <v>0</v>
      </c>
      <c r="B100" s="13" t="e">
        <f>INDEX(Input!$D$2:$AD$500,
       MATCH(CPU_Formula!A100, Input!$J$2:$J$500, 0),
       MATCH("CPU model", Input!$D$1:$AD$1, 0))</f>
        <v>#N/A</v>
      </c>
      <c r="C100" s="13" t="str">
        <f t="shared" si="14"/>
        <v/>
      </c>
      <c r="D100" s="13" t="str">
        <f t="shared" si="25"/>
        <v/>
      </c>
      <c r="E100" s="13" t="str">
        <f t="shared" si="15"/>
        <v/>
      </c>
      <c r="F100" s="13" t="str">
        <f t="shared" si="16"/>
        <v/>
      </c>
      <c r="G100" s="13" t="str">
        <f t="shared" si="26"/>
        <v/>
      </c>
      <c r="H100" s="13" t="str">
        <f t="shared" si="17"/>
        <v/>
      </c>
      <c r="I100" t="str">
        <f t="shared" si="18"/>
        <v/>
      </c>
    </row>
    <row r="101" spans="1:9">
      <c r="A101">
        <f>CSV!B101</f>
        <v>0</v>
      </c>
      <c r="B101" s="13" t="e">
        <f>INDEX(Input!$D$2:$AD$500,
       MATCH(CPU_Formula!A101, Input!$J$2:$J$500, 0),
       MATCH("CPU model", Input!$D$1:$AD$1, 0))</f>
        <v>#N/A</v>
      </c>
      <c r="C101" s="13" t="str">
        <f t="shared" si="14"/>
        <v/>
      </c>
      <c r="D101" s="13" t="str">
        <f t="shared" si="25"/>
        <v/>
      </c>
      <c r="E101" s="13" t="str">
        <f t="shared" si="15"/>
        <v/>
      </c>
      <c r="F101" s="13" t="str">
        <f t="shared" si="16"/>
        <v/>
      </c>
      <c r="G101" s="13" t="str">
        <f t="shared" si="26"/>
        <v/>
      </c>
      <c r="H101" s="13" t="str">
        <f t="shared" si="17"/>
        <v/>
      </c>
      <c r="I101" t="str">
        <f t="shared" si="18"/>
        <v/>
      </c>
    </row>
    <row r="102" spans="1:9">
      <c r="A102">
        <f>CSV!B102</f>
        <v>0</v>
      </c>
      <c r="B102" s="13" t="e">
        <f>INDEX(Input!$D$2:$AD$500,
       MATCH(CPU_Formula!A102, Input!$J$2:$J$500, 0),
       MATCH("CPU model", Input!$D$1:$AD$1, 0))</f>
        <v>#N/A</v>
      </c>
      <c r="C102" s="13" t="str">
        <f t="shared" si="14"/>
        <v/>
      </c>
      <c r="D102" s="13" t="str">
        <f t="shared" si="25"/>
        <v/>
      </c>
      <c r="E102" s="13" t="str">
        <f t="shared" si="15"/>
        <v/>
      </c>
      <c r="F102" s="13" t="str">
        <f t="shared" si="16"/>
        <v/>
      </c>
      <c r="G102" s="13" t="str">
        <f t="shared" si="26"/>
        <v/>
      </c>
      <c r="H102" s="13" t="str">
        <f t="shared" si="17"/>
        <v/>
      </c>
      <c r="I102" t="str">
        <f t="shared" si="18"/>
        <v/>
      </c>
    </row>
    <row r="103" spans="1:9">
      <c r="A103">
        <f>CSV!B103</f>
        <v>0</v>
      </c>
      <c r="B103" s="13" t="e">
        <f>INDEX(Input!$D$2:$AD$500,
       MATCH(CPU_Formula!A103, Input!$J$2:$J$500, 0),
       MATCH("CPU model", Input!$D$1:$AD$1, 0))</f>
        <v>#N/A</v>
      </c>
      <c r="C103" s="13" t="str">
        <f t="shared" si="14"/>
        <v/>
      </c>
      <c r="D103" s="13" t="str">
        <f t="shared" si="25"/>
        <v/>
      </c>
      <c r="E103" s="13" t="str">
        <f t="shared" si="15"/>
        <v/>
      </c>
      <c r="F103" s="13" t="str">
        <f t="shared" si="16"/>
        <v/>
      </c>
      <c r="G103" s="13" t="str">
        <f t="shared" si="26"/>
        <v/>
      </c>
      <c r="H103" s="13" t="str">
        <f t="shared" si="17"/>
        <v/>
      </c>
      <c r="I103" t="str">
        <f t="shared" si="18"/>
        <v/>
      </c>
    </row>
    <row r="104" spans="1:9">
      <c r="A104">
        <f>CSV!B104</f>
        <v>0</v>
      </c>
      <c r="B104" s="13" t="e">
        <f>_xlfn.XLOOKUP(A104,Input!J:J,Input!T:T)</f>
        <v>#N/A</v>
      </c>
      <c r="C104" s="13" t="str">
        <f t="shared" si="14"/>
        <v/>
      </c>
      <c r="D104" s="13" t="str">
        <f t="shared" si="25"/>
        <v/>
      </c>
      <c r="E104" s="13" t="str">
        <f t="shared" si="15"/>
        <v/>
      </c>
      <c r="F104" s="13" t="str">
        <f t="shared" si="16"/>
        <v/>
      </c>
      <c r="G104" s="13" t="str">
        <f t="shared" si="26"/>
        <v/>
      </c>
      <c r="H104" s="13" t="str">
        <f t="shared" si="17"/>
        <v/>
      </c>
      <c r="I104" t="str">
        <f t="shared" si="18"/>
        <v/>
      </c>
    </row>
  </sheetData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15BEBE2-28A8-4A3B-B77A-DBC7640E1DC0}">
  <sheetPr codeName="Sheet9"/>
  <dimension ref="A1:AB812"/>
  <sheetViews>
    <sheetView topLeftCell="O1" workbookViewId="0">
      <selection activeCell="AB2" sqref="AB2:AB32"/>
    </sheetView>
  </sheetViews>
  <sheetFormatPr defaultRowHeight="15"/>
  <cols>
    <col min="2" max="2" width="19.42578125" customWidth="1"/>
    <col min="7" max="7" width="21.85546875" style="13" customWidth="1"/>
    <col min="8" max="8" width="19.28515625" customWidth="1"/>
    <col min="11" max="11" width="12.42578125" customWidth="1"/>
    <col min="14" max="15" width="16" style="13" customWidth="1"/>
    <col min="16" max="18" width="35.28515625" style="13" customWidth="1"/>
    <col min="19" max="19" width="63.42578125" customWidth="1"/>
    <col min="20" max="20" width="20.28515625" customWidth="1"/>
    <col min="21" max="21" width="22.28515625" customWidth="1"/>
    <col min="22" max="22" width="21" customWidth="1"/>
    <col min="23" max="23" width="21.42578125" customWidth="1"/>
    <col min="28" max="28" width="20.7109375" customWidth="1"/>
  </cols>
  <sheetData>
    <row r="1" spans="1:28" ht="18" thickBot="1">
      <c r="A1" s="1" t="s">
        <v>0</v>
      </c>
      <c r="B1" s="1" t="s">
        <v>1</v>
      </c>
      <c r="C1" s="1" t="s">
        <v>2</v>
      </c>
      <c r="D1" s="1" t="s">
        <v>3</v>
      </c>
      <c r="E1" s="1" t="s">
        <v>4</v>
      </c>
      <c r="F1" s="1" t="s">
        <v>5</v>
      </c>
      <c r="G1" s="12" t="s">
        <v>308</v>
      </c>
      <c r="H1" s="1" t="s">
        <v>6</v>
      </c>
      <c r="I1" s="1" t="s">
        <v>7</v>
      </c>
      <c r="J1" s="1" t="s">
        <v>8</v>
      </c>
      <c r="K1" s="1" t="s">
        <v>9</v>
      </c>
      <c r="L1" s="1" t="s">
        <v>10</v>
      </c>
      <c r="M1" s="1" t="s">
        <v>11</v>
      </c>
      <c r="N1" s="12" t="s">
        <v>310</v>
      </c>
      <c r="O1" s="12" t="s">
        <v>309</v>
      </c>
      <c r="P1" s="12" t="s">
        <v>19</v>
      </c>
      <c r="Q1" s="12" t="s">
        <v>311</v>
      </c>
      <c r="R1" s="12" t="s">
        <v>312</v>
      </c>
      <c r="S1" s="17" t="s">
        <v>13</v>
      </c>
      <c r="T1" s="1" t="s">
        <v>14</v>
      </c>
      <c r="U1" s="1" t="s">
        <v>15</v>
      </c>
      <c r="V1" s="1" t="s">
        <v>16</v>
      </c>
      <c r="W1" s="1" t="s">
        <v>17</v>
      </c>
      <c r="X1" s="1" t="s">
        <v>18</v>
      </c>
      <c r="Y1" s="1" t="s">
        <v>19</v>
      </c>
      <c r="Z1" s="1" t="s">
        <v>20</v>
      </c>
      <c r="AA1" s="1" t="s">
        <v>21</v>
      </c>
      <c r="AB1" s="39" t="s">
        <v>564</v>
      </c>
    </row>
    <row r="2" spans="1:28" ht="15.75" thickTop="1">
      <c r="A2" t="str">
        <f>MacReports!A2</f>
        <v/>
      </c>
      <c r="B2">
        <f>MacReports!B2</f>
        <v>0</v>
      </c>
      <c r="C2">
        <f>MacReports!C2</f>
        <v>0</v>
      </c>
      <c r="E2" t="e">
        <f>_xlfn.XLOOKUP(G2,Models!A:A,Models!F:F)</f>
        <v>#N/A</v>
      </c>
      <c r="F2" t="str">
        <f>_xlfn.XLOOKUP(B2,MacReports!B:B,MacReports!D:D,"")</f>
        <v/>
      </c>
      <c r="G2" s="13">
        <f>MacReports!E2</f>
        <v>0</v>
      </c>
      <c r="H2">
        <f>_xlfn.XLOOKUP(G2,Models!A:A,Models!B:B,G2)</f>
        <v>0</v>
      </c>
      <c r="I2" t="e">
        <f>_xlfn.XLOOKUP(G2,Models!A:A,Models!E:E)</f>
        <v>#N/A</v>
      </c>
      <c r="J2" t="e">
        <f>_xlfn.XLOOKUP(G2,Models!A:A,Models!D:D)</f>
        <v>#N/A</v>
      </c>
      <c r="K2">
        <f>MacReports!F2</f>
        <v>0</v>
      </c>
      <c r="L2">
        <f>MacReports!G2</f>
        <v>0</v>
      </c>
      <c r="M2" s="15" t="e" cm="1">
        <f t="array" ref="M2">--_xlfn.LET(
    _xlpm.txt, MacReports!H2,
    _xlpm.chars, MID(_xlpm.txt, _xlfn.SEQUENCE(LEN(_xlpm.txt)), 1),
    _xlfn.TEXTJOIN("", TRUE, IF(ISNUMBER(--_xlpm.chars), _xlpm.chars, ""))
)</f>
        <v>#VALUE!</v>
      </c>
      <c r="N2" s="16" t="str" cm="1">
        <f t="array" ref="N2">_xlfn.IFS(
   --MacReports!M2&lt;55,"Battery Defect",
  -- MacReports!M2&lt;=69,"Battery D",
  --MacReports!M2&lt;=80,"Battery C",
 --MacReports!M2&gt;80,""
)</f>
        <v>Battery Defect</v>
      </c>
      <c r="O2" s="16" t="str">
        <f>IF(MacReports!I2="Service","Battery Service","")</f>
        <v/>
      </c>
      <c r="P2" s="13">
        <f>MacReports!P2</f>
        <v>0</v>
      </c>
      <c r="Q2" s="13" t="str">
        <f>IF(MacReports!J2="Enabled","Apple ID Lock","")</f>
        <v/>
      </c>
      <c r="R2" s="13" t="str">
        <f>IF(MacReports!L2="y","Remote Locked","")</f>
        <v/>
      </c>
      <c r="S2" t="str">
        <f t="shared" ref="S2:S9" si="0">_xlfn.TEXTJOIN(", ",TRUE,Q2,R2,N2,O2,P2)</f>
        <v>Battery Defect, 0</v>
      </c>
      <c r="T2" t="str">
        <f>_xlfn.XLOOKUP(B2,Disk_Pivot!G:G,Disk_Pivot!I:I)</f>
        <v>No</v>
      </c>
      <c r="U2" t="str">
        <f>_xlfn.XLOOKUP(B2,Disk_Pivot!G:G,Disk_Pivot!N:N)</f>
        <v/>
      </c>
      <c r="V2" t="str">
        <f>IF(U2="Fail",MacReports!N2,"")</f>
        <v/>
      </c>
      <c r="AB2" t="str">
        <f>_xlfn.TEXTJOIN(", ",TRUE,Q2,R2)</f>
        <v/>
      </c>
    </row>
    <row r="3" spans="1:28">
      <c r="A3" t="str">
        <f>MacReports!A3</f>
        <v/>
      </c>
      <c r="B3">
        <f>MacReports!B3</f>
        <v>0</v>
      </c>
      <c r="C3">
        <f>MacReports!C3</f>
        <v>0</v>
      </c>
      <c r="E3" t="e">
        <f>_xlfn.XLOOKUP(G3,Models!A:A,Models!F:F)</f>
        <v>#N/A</v>
      </c>
      <c r="F3" t="str">
        <f>_xlfn.XLOOKUP(B3,MacReports!B:B,MacReports!D:D,"")</f>
        <v/>
      </c>
      <c r="G3" s="13">
        <f>MacReports!E3</f>
        <v>0</v>
      </c>
      <c r="H3" t="e">
        <f>_xlfn.XLOOKUP(G3,Models!A:A,Models!B:B)</f>
        <v>#N/A</v>
      </c>
      <c r="I3" t="e">
        <f>_xlfn.XLOOKUP(G3,Models!A:A,Models!E:E)</f>
        <v>#N/A</v>
      </c>
      <c r="J3" t="e">
        <f>_xlfn.XLOOKUP(G3,Models!A:A,Models!D:D)</f>
        <v>#N/A</v>
      </c>
      <c r="K3">
        <f>MacReports!F3</f>
        <v>0</v>
      </c>
      <c r="L3">
        <f>MacReports!G3</f>
        <v>0</v>
      </c>
      <c r="M3" s="15" t="e" cm="1">
        <f t="array" ref="M3">--_xlfn.LET(
    _xlpm.txt, MacReports!H3,
    _xlpm.chars, MID(_xlpm.txt, _xlfn.SEQUENCE(LEN(_xlpm.txt)), 1),
    _xlfn.TEXTJOIN("", TRUE, IF(ISNUMBER(--_xlpm.chars), _xlpm.chars, ""))
)</f>
        <v>#VALUE!</v>
      </c>
      <c r="N3" s="16" t="str" cm="1">
        <f t="array" ref="N3">_xlfn.IFS(
   --MacReports!M3&lt;55,"Battery Defect",
  -- MacReports!M3&lt;=69,"Battery D",
  --MacReports!M3&lt;=80,"Battery C",
 --MacReports!M3&gt;80,""
)</f>
        <v>Battery Defect</v>
      </c>
      <c r="O3" s="16" t="str">
        <f>IF(MacReports!I3="Service","Battery Service","")</f>
        <v/>
      </c>
      <c r="P3" s="13">
        <f>MacReports!P3</f>
        <v>0</v>
      </c>
      <c r="Q3" s="13" t="str">
        <f>IF(MacReports!J3="Enabled","Apple ID Lock","")</f>
        <v/>
      </c>
      <c r="R3" s="13" t="str">
        <f>IF(MacReports!L3="y","Remote Locked","")</f>
        <v/>
      </c>
      <c r="S3" t="str">
        <f t="shared" si="0"/>
        <v>Battery Defect, 0</v>
      </c>
      <c r="T3" t="str">
        <f>_xlfn.XLOOKUP(B3,Disk_Pivot!G:G,Disk_Pivot!I:I)</f>
        <v>No</v>
      </c>
      <c r="U3" t="str">
        <f>_xlfn.XLOOKUP(B3,Disk_Pivot!G:G,Disk_Pivot!N:N)</f>
        <v/>
      </c>
      <c r="V3" t="str">
        <f>IF(U3="Fail",MacReports!N3,"")</f>
        <v/>
      </c>
      <c r="AB3" t="str">
        <f t="shared" ref="AB3:AB66" si="1">_xlfn.TEXTJOIN(", ",TRUE,Q3,R3)</f>
        <v/>
      </c>
    </row>
    <row r="4" spans="1:28">
      <c r="A4" t="str">
        <f>MacReports!A4</f>
        <v/>
      </c>
      <c r="B4">
        <f>MacReports!B4</f>
        <v>0</v>
      </c>
      <c r="C4">
        <f>MacReports!C4</f>
        <v>0</v>
      </c>
      <c r="E4" t="e">
        <f>_xlfn.XLOOKUP(G4,Models!A:A,Models!F:F)</f>
        <v>#N/A</v>
      </c>
      <c r="F4" t="str">
        <f>_xlfn.XLOOKUP(B4,MacReports!B:B,MacReports!D:D,"")</f>
        <v/>
      </c>
      <c r="G4" s="13">
        <f>MacReports!E4</f>
        <v>0</v>
      </c>
      <c r="H4" t="e">
        <f>_xlfn.XLOOKUP(G4,Models!A:A,Models!B:B)</f>
        <v>#N/A</v>
      </c>
      <c r="I4" t="e">
        <f>_xlfn.XLOOKUP(G4,Models!A:A,Models!E:E)</f>
        <v>#N/A</v>
      </c>
      <c r="J4" t="e">
        <f>_xlfn.XLOOKUP(G4,Models!A:A,Models!D:D)</f>
        <v>#N/A</v>
      </c>
      <c r="K4">
        <f>MacReports!F4</f>
        <v>0</v>
      </c>
      <c r="L4">
        <f>MacReports!G4</f>
        <v>0</v>
      </c>
      <c r="M4" s="15" t="e" cm="1">
        <f t="array" ref="M4">--_xlfn.LET(
    _xlpm.txt, MacReports!H4,
    _xlpm.chars, MID(_xlpm.txt, _xlfn.SEQUENCE(LEN(_xlpm.txt)), 1),
    _xlfn.TEXTJOIN("", TRUE, IF(ISNUMBER(--_xlpm.chars), _xlpm.chars, ""))
)</f>
        <v>#VALUE!</v>
      </c>
      <c r="N4" s="16" t="str" cm="1">
        <f t="array" ref="N4">_xlfn.IFS(
   --MacReports!M4&lt;55,"Battery Defect",
  -- MacReports!M4&lt;=69,"Battery D",
  --MacReports!M4&lt;=80,"Battery C",
 --MacReports!M4&gt;80,""
)</f>
        <v>Battery Defect</v>
      </c>
      <c r="O4" s="16" t="str">
        <f>IF(MacReports!I4="Service","Battery Service","")</f>
        <v/>
      </c>
      <c r="P4" s="13">
        <f>MacReports!P4</f>
        <v>0</v>
      </c>
      <c r="Q4" s="13" t="str">
        <f>IF(MacReports!J4="Enabled","Apple ID Lock","")</f>
        <v/>
      </c>
      <c r="R4" s="13" t="str">
        <f>IF(MacReports!L4="y","Remote Locked","")</f>
        <v/>
      </c>
      <c r="S4" t="str">
        <f t="shared" si="0"/>
        <v>Battery Defect, 0</v>
      </c>
      <c r="T4" t="str">
        <f>_xlfn.XLOOKUP(B4,Disk_Pivot!G:G,Disk_Pivot!I:I)</f>
        <v>No</v>
      </c>
      <c r="U4" t="str">
        <f>_xlfn.XLOOKUP(B4,Disk_Pivot!G:G,Disk_Pivot!N:N)</f>
        <v/>
      </c>
      <c r="V4" t="str">
        <f>IF(U4="Fail",MacReports!N4,"")</f>
        <v/>
      </c>
      <c r="AB4" t="str">
        <f t="shared" si="1"/>
        <v/>
      </c>
    </row>
    <row r="5" spans="1:28">
      <c r="A5" t="str">
        <f>MacReports!A5</f>
        <v/>
      </c>
      <c r="B5">
        <f>MacReports!B5</f>
        <v>0</v>
      </c>
      <c r="C5">
        <f>MacReports!C5</f>
        <v>0</v>
      </c>
      <c r="E5" t="e">
        <f>_xlfn.XLOOKUP(G5,Models!A:A,Models!F:F)</f>
        <v>#N/A</v>
      </c>
      <c r="F5" t="str">
        <f>_xlfn.XLOOKUP(B5,MacReports!B:B,MacReports!D:D,"")</f>
        <v/>
      </c>
      <c r="G5" s="13">
        <f>MacReports!E5</f>
        <v>0</v>
      </c>
      <c r="H5" t="e">
        <f>_xlfn.XLOOKUP(G5,Models!A:A,Models!B:B)</f>
        <v>#N/A</v>
      </c>
      <c r="I5" t="e">
        <f>_xlfn.XLOOKUP(G5,Models!A:A,Models!E:E)</f>
        <v>#N/A</v>
      </c>
      <c r="J5" t="e">
        <f>_xlfn.XLOOKUP(G5,Models!A:A,Models!D:D)</f>
        <v>#N/A</v>
      </c>
      <c r="K5">
        <f>MacReports!F5</f>
        <v>0</v>
      </c>
      <c r="L5">
        <f>MacReports!G5</f>
        <v>0</v>
      </c>
      <c r="M5" s="15" t="e" cm="1">
        <f t="array" ref="M5">--_xlfn.LET(
    _xlpm.txt, MacReports!H5,
    _xlpm.chars, MID(_xlpm.txt, _xlfn.SEQUENCE(LEN(_xlpm.txt)), 1),
    _xlfn.TEXTJOIN("", TRUE, IF(ISNUMBER(--_xlpm.chars), _xlpm.chars, ""))
)</f>
        <v>#VALUE!</v>
      </c>
      <c r="N5" s="16" t="str" cm="1">
        <f t="array" ref="N5">_xlfn.IFS(
   --MacReports!M5&lt;55,"Battery Defect",
  -- MacReports!M5&lt;=69,"Battery D",
  --MacReports!M5&lt;=80,"Battery C",
 --MacReports!M5&gt;80,""
)</f>
        <v>Battery Defect</v>
      </c>
      <c r="O5" s="16" t="str">
        <f>IF(MacReports!I5="Service","Battery Service","")</f>
        <v/>
      </c>
      <c r="P5" s="13">
        <f>MacReports!P5</f>
        <v>0</v>
      </c>
      <c r="Q5" s="13" t="str">
        <f>IF(MacReports!J5="Enabled","Apple ID Lock","")</f>
        <v/>
      </c>
      <c r="R5" s="13" t="str">
        <f>IF(MacReports!L5="y","Remote Locked","")</f>
        <v/>
      </c>
      <c r="S5" t="str">
        <f t="shared" si="0"/>
        <v>Battery Defect, 0</v>
      </c>
      <c r="T5" t="str">
        <f>_xlfn.XLOOKUP(B5,Disk_Pivot!G:G,Disk_Pivot!I:I)</f>
        <v>No</v>
      </c>
      <c r="U5" t="str">
        <f>_xlfn.XLOOKUP(B5,Disk_Pivot!G:G,Disk_Pivot!N:N)</f>
        <v/>
      </c>
      <c r="V5" t="str">
        <f>IF(U5="Fail",MacReports!N5,"")</f>
        <v/>
      </c>
      <c r="AB5" t="str">
        <f t="shared" si="1"/>
        <v/>
      </c>
    </row>
    <row r="6" spans="1:28">
      <c r="A6" t="str">
        <f>MacReports!A6</f>
        <v/>
      </c>
      <c r="B6">
        <f>MacReports!B6</f>
        <v>0</v>
      </c>
      <c r="C6">
        <f>MacReports!C6</f>
        <v>0</v>
      </c>
      <c r="E6" t="e">
        <f>_xlfn.XLOOKUP(G6,Models!A:A,Models!F:F)</f>
        <v>#N/A</v>
      </c>
      <c r="F6" t="str">
        <f>_xlfn.XLOOKUP(B6,MacReports!B:B,MacReports!D:D,"")</f>
        <v/>
      </c>
      <c r="G6" s="13">
        <f>MacReports!E6</f>
        <v>0</v>
      </c>
      <c r="H6" t="e">
        <f>_xlfn.XLOOKUP(G6,Models!A:A,Models!B:B)</f>
        <v>#N/A</v>
      </c>
      <c r="I6" t="e">
        <f>_xlfn.XLOOKUP(G6,Models!A:A,Models!E:E)</f>
        <v>#N/A</v>
      </c>
      <c r="J6" t="e">
        <f>_xlfn.XLOOKUP(G6,Models!A:A,Models!D:D)</f>
        <v>#N/A</v>
      </c>
      <c r="K6">
        <f>MacReports!F6</f>
        <v>0</v>
      </c>
      <c r="L6">
        <f>MacReports!G6</f>
        <v>0</v>
      </c>
      <c r="M6" s="15" t="e" cm="1">
        <f t="array" ref="M6">--_xlfn.LET(
    _xlpm.txt, MacReports!H6,
    _xlpm.chars, MID(_xlpm.txt, _xlfn.SEQUENCE(LEN(_xlpm.txt)), 1),
    _xlfn.TEXTJOIN("", TRUE, IF(ISNUMBER(--_xlpm.chars), _xlpm.chars, ""))
)</f>
        <v>#VALUE!</v>
      </c>
      <c r="N6" s="16" t="str" cm="1">
        <f t="array" ref="N6">_xlfn.IFS(
   --MacReports!M6&lt;55,"Battery Defect",
  -- MacReports!M6&lt;=69,"Battery D",
  --MacReports!M6&lt;=80,"Battery C",
 --MacReports!M6&gt;80,""
)</f>
        <v>Battery Defect</v>
      </c>
      <c r="O6" s="16" t="str">
        <f>IF(MacReports!I6="Service","Battery Service","")</f>
        <v/>
      </c>
      <c r="P6" s="13">
        <f>MacReports!P6</f>
        <v>0</v>
      </c>
      <c r="Q6" s="13" t="str">
        <f>IF(MacReports!J6="Enabled","Apple ID Lock","")</f>
        <v/>
      </c>
      <c r="R6" s="13" t="str">
        <f>IF(MacReports!L6="y","Remote Locked","")</f>
        <v/>
      </c>
      <c r="S6" t="str">
        <f t="shared" si="0"/>
        <v>Battery Defect, 0</v>
      </c>
      <c r="T6" t="str">
        <f>_xlfn.XLOOKUP(B6,Disk_Pivot!G:G,Disk_Pivot!I:I)</f>
        <v>No</v>
      </c>
      <c r="U6" t="str">
        <f>_xlfn.XLOOKUP(B6,Disk_Pivot!G:G,Disk_Pivot!N:N)</f>
        <v/>
      </c>
      <c r="V6" t="str">
        <f>IF(U6="Fail",MacReports!N6,"")</f>
        <v/>
      </c>
      <c r="AB6" t="str">
        <f t="shared" si="1"/>
        <v/>
      </c>
    </row>
    <row r="7" spans="1:28">
      <c r="A7" t="str">
        <f>MacReports!A7</f>
        <v/>
      </c>
      <c r="B7">
        <f>MacReports!B7</f>
        <v>0</v>
      </c>
      <c r="C7">
        <f>MacReports!C7</f>
        <v>0</v>
      </c>
      <c r="E7" t="e">
        <f>_xlfn.XLOOKUP(G7,Models!A:A,Models!F:F)</f>
        <v>#N/A</v>
      </c>
      <c r="F7" t="str">
        <f>_xlfn.XLOOKUP(B7,MacReports!B:B,MacReports!D:D,"")</f>
        <v/>
      </c>
      <c r="G7" s="13">
        <f>MacReports!E7</f>
        <v>0</v>
      </c>
      <c r="H7" t="e">
        <f>_xlfn.XLOOKUP(G7,Models!A:A,Models!B:B)</f>
        <v>#N/A</v>
      </c>
      <c r="I7" t="e">
        <f>_xlfn.XLOOKUP(G7,Models!A:A,Models!E:E)</f>
        <v>#N/A</v>
      </c>
      <c r="J7" t="e">
        <f>_xlfn.XLOOKUP(G7,Models!A:A,Models!D:D)</f>
        <v>#N/A</v>
      </c>
      <c r="K7">
        <f>MacReports!F7</f>
        <v>0</v>
      </c>
      <c r="L7">
        <f>MacReports!G7</f>
        <v>0</v>
      </c>
      <c r="M7" s="15" t="e" cm="1">
        <f t="array" ref="M7">--_xlfn.LET(
    _xlpm.txt, MacReports!H7,
    _xlpm.chars, MID(_xlpm.txt, _xlfn.SEQUENCE(LEN(_xlpm.txt)), 1),
    _xlfn.TEXTJOIN("", TRUE, IF(ISNUMBER(--_xlpm.chars), _xlpm.chars, ""))
)</f>
        <v>#VALUE!</v>
      </c>
      <c r="N7" s="16" t="str" cm="1">
        <f t="array" ref="N7">_xlfn.IFS(
   --MacReports!M7&lt;55,"Battery Defect",
  -- MacReports!M7&lt;=69,"Battery D",
  --MacReports!M7&lt;=80,"Battery C",
 --MacReports!M7&gt;80,""
)</f>
        <v>Battery Defect</v>
      </c>
      <c r="O7" s="16" t="str">
        <f>IF(MacReports!I7="Service","Battery Service","")</f>
        <v/>
      </c>
      <c r="P7" s="13">
        <f>MacReports!P7</f>
        <v>0</v>
      </c>
      <c r="Q7" s="13" t="str">
        <f>IF(MacReports!J7="Enabled","Apple ID Lock","")</f>
        <v/>
      </c>
      <c r="R7" s="13" t="str">
        <f>IF(MacReports!L7="y","Remote Locked","")</f>
        <v/>
      </c>
      <c r="S7" t="str">
        <f t="shared" si="0"/>
        <v>Battery Defect, 0</v>
      </c>
      <c r="T7" t="str">
        <f>_xlfn.XLOOKUP(B7,Disk_Pivot!G:G,Disk_Pivot!I:I)</f>
        <v>No</v>
      </c>
      <c r="U7" t="str">
        <f>_xlfn.XLOOKUP(B7,Disk_Pivot!G:G,Disk_Pivot!N:N)</f>
        <v/>
      </c>
      <c r="V7" t="str">
        <f>IF(U7="Fail",MacReports!N7,"")</f>
        <v/>
      </c>
      <c r="AB7" t="str">
        <f t="shared" si="1"/>
        <v/>
      </c>
    </row>
    <row r="8" spans="1:28">
      <c r="A8" t="str">
        <f>MacReports!A8</f>
        <v/>
      </c>
      <c r="B8">
        <f>MacReports!B8</f>
        <v>0</v>
      </c>
      <c r="C8">
        <f>MacReports!C8</f>
        <v>0</v>
      </c>
      <c r="E8" t="e">
        <f>_xlfn.XLOOKUP(G8,Models!A:A,Models!F:F)</f>
        <v>#N/A</v>
      </c>
      <c r="F8" t="str">
        <f>_xlfn.XLOOKUP(B8,MacReports!B:B,MacReports!D:D,"")</f>
        <v/>
      </c>
      <c r="G8" s="13">
        <f>MacReports!E8</f>
        <v>0</v>
      </c>
      <c r="H8" t="e">
        <f>_xlfn.XLOOKUP(G8,Models!A:A,Models!B:B)</f>
        <v>#N/A</v>
      </c>
      <c r="I8" t="e">
        <f>_xlfn.XLOOKUP(G8,Models!A:A,Models!E:E)</f>
        <v>#N/A</v>
      </c>
      <c r="J8" t="e">
        <f>_xlfn.XLOOKUP(G8,Models!A:A,Models!D:D)</f>
        <v>#N/A</v>
      </c>
      <c r="K8">
        <f>MacReports!F8</f>
        <v>0</v>
      </c>
      <c r="L8">
        <f>MacReports!G8</f>
        <v>0</v>
      </c>
      <c r="M8" s="15" t="e" cm="1">
        <f t="array" ref="M8">--_xlfn.LET(
    _xlpm.txt, MacReports!H8,
    _xlpm.chars, MID(_xlpm.txt, _xlfn.SEQUENCE(LEN(_xlpm.txt)), 1),
    _xlfn.TEXTJOIN("", TRUE, IF(ISNUMBER(--_xlpm.chars), _xlpm.chars, ""))
)</f>
        <v>#VALUE!</v>
      </c>
      <c r="N8" s="16" t="str" cm="1">
        <f t="array" ref="N8">_xlfn.IFS(
   --MacReports!M8&lt;55,"Battery Defect",
  -- MacReports!M8&lt;=69,"Battery D",
  --MacReports!M8&lt;=80,"Battery C",
 --MacReports!M8&gt;80,""
)</f>
        <v>Battery Defect</v>
      </c>
      <c r="O8" s="16" t="str">
        <f>IF(MacReports!I8="Service","Battery Service","")</f>
        <v/>
      </c>
      <c r="P8" s="13">
        <f>MacReports!P8</f>
        <v>0</v>
      </c>
      <c r="Q8" s="13" t="str">
        <f>IF(MacReports!J8="Enabled","Apple ID Lock","")</f>
        <v/>
      </c>
      <c r="R8" s="13" t="str">
        <f>IF(MacReports!L8="y","Remote Locked","")</f>
        <v/>
      </c>
      <c r="S8" t="str">
        <f t="shared" si="0"/>
        <v>Battery Defect, 0</v>
      </c>
      <c r="T8" t="str">
        <f>_xlfn.XLOOKUP(B8,Disk_Pivot!G:G,Disk_Pivot!I:I)</f>
        <v>No</v>
      </c>
      <c r="U8" t="str">
        <f>_xlfn.XLOOKUP(B8,Disk_Pivot!G:G,Disk_Pivot!N:N)</f>
        <v/>
      </c>
      <c r="V8" t="str">
        <f>IF(U8="Fail",MacReports!N8,"")</f>
        <v/>
      </c>
      <c r="AB8" t="str">
        <f t="shared" si="1"/>
        <v/>
      </c>
    </row>
    <row r="9" spans="1:28">
      <c r="A9" t="str">
        <f>MacReports!A9</f>
        <v/>
      </c>
      <c r="B9">
        <f>MacReports!B9</f>
        <v>0</v>
      </c>
      <c r="C9">
        <f>MacReports!C9</f>
        <v>0</v>
      </c>
      <c r="E9" t="e">
        <f>_xlfn.XLOOKUP(G9,Models!A:A,Models!F:F)</f>
        <v>#N/A</v>
      </c>
      <c r="F9" t="str">
        <f>_xlfn.XLOOKUP(B9,MacReports!B:B,MacReports!D:D,"")</f>
        <v/>
      </c>
      <c r="G9" s="13">
        <f>MacReports!E9</f>
        <v>0</v>
      </c>
      <c r="H9" t="e">
        <f>_xlfn.XLOOKUP(G9,Models!A:A,Models!B:B)</f>
        <v>#N/A</v>
      </c>
      <c r="I9" t="e">
        <f>_xlfn.XLOOKUP(G9,Models!A:A,Models!E:E)</f>
        <v>#N/A</v>
      </c>
      <c r="J9" t="e">
        <f>_xlfn.XLOOKUP(G9,Models!A:A,Models!D:D)</f>
        <v>#N/A</v>
      </c>
      <c r="K9">
        <f>MacReports!F9</f>
        <v>0</v>
      </c>
      <c r="L9">
        <f>MacReports!G9</f>
        <v>0</v>
      </c>
      <c r="M9" s="15" t="e" cm="1">
        <f t="array" ref="M9">--_xlfn.LET(
    _xlpm.txt, MacReports!H9,
    _xlpm.chars, MID(_xlpm.txt, _xlfn.SEQUENCE(LEN(_xlpm.txt)), 1),
    _xlfn.TEXTJOIN("", TRUE, IF(ISNUMBER(--_xlpm.chars), _xlpm.chars, ""))
)</f>
        <v>#VALUE!</v>
      </c>
      <c r="N9" s="16" t="str" cm="1">
        <f t="array" ref="N9">_xlfn.IFS(
   --MacReports!M9&lt;55,"Battery Defect",
  -- MacReports!M9&lt;=69,"Battery D",
  --MacReports!M9&lt;=80,"Battery C",
 --MacReports!M9&gt;80,""
)</f>
        <v>Battery Defect</v>
      </c>
      <c r="O9" s="16" t="str">
        <f>IF(MacReports!I9="Service","Battery Service","")</f>
        <v/>
      </c>
      <c r="P9" s="13">
        <f>MacReports!P9</f>
        <v>0</v>
      </c>
      <c r="Q9" s="13" t="str">
        <f>IF(MacReports!J9="Enabled","Apple ID Lock","")</f>
        <v/>
      </c>
      <c r="R9" s="13" t="str">
        <f>IF(MacReports!L9="y","Remote Locked","")</f>
        <v/>
      </c>
      <c r="S9" t="str">
        <f t="shared" si="0"/>
        <v>Battery Defect, 0</v>
      </c>
      <c r="T9" t="str">
        <f>_xlfn.XLOOKUP(B9,Disk_Pivot!G:G,Disk_Pivot!I:I)</f>
        <v>No</v>
      </c>
      <c r="U9" t="str">
        <f>_xlfn.XLOOKUP(B9,Disk_Pivot!G:G,Disk_Pivot!N:N)</f>
        <v/>
      </c>
      <c r="V9" t="str">
        <f>IF(U9="Fail",MacReports!N9,"")</f>
        <v/>
      </c>
      <c r="AB9" t="str">
        <f t="shared" si="1"/>
        <v/>
      </c>
    </row>
    <row r="10" spans="1:28">
      <c r="A10" t="str">
        <f>MacReports!A10</f>
        <v/>
      </c>
      <c r="B10">
        <f>MacReports!B10</f>
        <v>0</v>
      </c>
      <c r="C10">
        <f>MacReports!C10</f>
        <v>0</v>
      </c>
      <c r="E10" t="e">
        <f>_xlfn.XLOOKUP(G10,Models!A:A,Models!F:F)</f>
        <v>#N/A</v>
      </c>
      <c r="F10" t="str">
        <f>_xlfn.XLOOKUP(B10,MacReports!B:B,MacReports!D:D,"")</f>
        <v/>
      </c>
      <c r="G10" s="13">
        <f>MacReports!E10</f>
        <v>0</v>
      </c>
      <c r="H10" t="e">
        <f>_xlfn.XLOOKUP(G10,Models!A:A,Models!B:B)</f>
        <v>#N/A</v>
      </c>
      <c r="I10" t="e">
        <f>_xlfn.XLOOKUP(G10,Models!A:A,Models!E:E)</f>
        <v>#N/A</v>
      </c>
      <c r="J10" t="e">
        <f>_xlfn.XLOOKUP(G10,Models!A:A,Models!D:D)</f>
        <v>#N/A</v>
      </c>
      <c r="K10">
        <f>MacReports!F10</f>
        <v>0</v>
      </c>
      <c r="L10">
        <f>MacReports!G10</f>
        <v>0</v>
      </c>
      <c r="M10" s="15" t="e" cm="1">
        <f t="array" ref="M10">--_xlfn.LET(
    _xlpm.txt, MacReports!H10,
    _xlpm.chars, MID(_xlpm.txt, _xlfn.SEQUENCE(LEN(_xlpm.txt)), 1),
    _xlfn.TEXTJOIN("", TRUE, IF(ISNUMBER(--_xlpm.chars), _xlpm.chars, ""))
)</f>
        <v>#VALUE!</v>
      </c>
      <c r="N10" s="16" t="str" cm="1">
        <f t="array" ref="N10">_xlfn.IFS(
   --MacReports!M10&lt;55,"Battery Defect",
  -- MacReports!M10&lt;=69,"Battery D",
  --MacReports!M10&lt;=80,"Battery C",
 --MacReports!M10&gt;80,""
)</f>
        <v>Battery Defect</v>
      </c>
      <c r="O10" s="16" t="str">
        <f>IF(MacReports!I10="Service","Battery Service","")</f>
        <v/>
      </c>
      <c r="P10" s="13">
        <f>MacReports!P10</f>
        <v>0</v>
      </c>
      <c r="Q10" s="13" t="str">
        <f>IF(MacReports!J10="Enabled","Apple ID Lock","")</f>
        <v/>
      </c>
      <c r="R10" s="13" t="str">
        <f>IF(MacReports!L10="y","Remote Locked","")</f>
        <v/>
      </c>
      <c r="S10" t="str">
        <f t="shared" ref="S10:S52" si="2">_xlfn.TEXTJOIN(", ",TRUE,Q10,R10,N10,O10,P10)</f>
        <v>Battery Defect, 0</v>
      </c>
      <c r="T10" t="str">
        <f>_xlfn.XLOOKUP(B10,Disk_Pivot!G:G,Disk_Pivot!I:I)</f>
        <v>No</v>
      </c>
      <c r="U10" t="str">
        <f>_xlfn.XLOOKUP(B10,Disk_Pivot!G:G,Disk_Pivot!N:N)</f>
        <v/>
      </c>
      <c r="V10" t="str">
        <f>IF(U10="Fail",MacReports!N10,"")</f>
        <v/>
      </c>
      <c r="AB10" t="str">
        <f t="shared" si="1"/>
        <v/>
      </c>
    </row>
    <row r="11" spans="1:28">
      <c r="A11" t="str">
        <f>MacReports!A11</f>
        <v/>
      </c>
      <c r="B11">
        <f>MacReports!B11</f>
        <v>0</v>
      </c>
      <c r="C11">
        <f>MacReports!C11</f>
        <v>0</v>
      </c>
      <c r="E11" t="e">
        <f>_xlfn.XLOOKUP(G11,Models!A:A,Models!F:F)</f>
        <v>#N/A</v>
      </c>
      <c r="F11" t="str">
        <f>_xlfn.XLOOKUP(B11,MacReports!B:B,MacReports!D:D,"")</f>
        <v/>
      </c>
      <c r="G11" s="13">
        <f>MacReports!E11</f>
        <v>0</v>
      </c>
      <c r="H11" t="e">
        <f>_xlfn.XLOOKUP(G11,Models!A:A,Models!B:B)</f>
        <v>#N/A</v>
      </c>
      <c r="I11" t="e">
        <f>_xlfn.XLOOKUP(G11,Models!A:A,Models!E:E)</f>
        <v>#N/A</v>
      </c>
      <c r="J11" t="e">
        <f>_xlfn.XLOOKUP(G11,Models!A:A,Models!D:D)</f>
        <v>#N/A</v>
      </c>
      <c r="K11">
        <f>MacReports!F11</f>
        <v>0</v>
      </c>
      <c r="L11">
        <f>MacReports!G11</f>
        <v>0</v>
      </c>
      <c r="M11" s="15" t="e" cm="1">
        <f t="array" ref="M11">--_xlfn.LET(
    _xlpm.txt, MacReports!H11,
    _xlpm.chars, MID(_xlpm.txt, _xlfn.SEQUENCE(LEN(_xlpm.txt)), 1),
    _xlfn.TEXTJOIN("", TRUE, IF(ISNUMBER(--_xlpm.chars), _xlpm.chars, ""))
)</f>
        <v>#VALUE!</v>
      </c>
      <c r="N11" s="16" t="str" cm="1">
        <f t="array" ref="N11">_xlfn.IFS(
   --MacReports!M11&lt;55,"Battery Defect",
  -- MacReports!M11&lt;=69,"Battery D",
  --MacReports!M11&lt;=80,"Battery C",
 --MacReports!M11&gt;80,""
)</f>
        <v>Battery Defect</v>
      </c>
      <c r="O11" s="16" t="str">
        <f>IF(MacReports!I11="Service","Battery Service","")</f>
        <v/>
      </c>
      <c r="P11" s="13">
        <f>MacReports!P11</f>
        <v>0</v>
      </c>
      <c r="Q11" s="13" t="str">
        <f>IF(MacReports!J11="Enabled","Apple ID Lock","")</f>
        <v/>
      </c>
      <c r="R11" s="13" t="str">
        <f>IF(MacReports!L11="y","Remote Locked","")</f>
        <v/>
      </c>
      <c r="S11" t="str">
        <f t="shared" si="2"/>
        <v>Battery Defect, 0</v>
      </c>
      <c r="T11" t="str">
        <f>_xlfn.XLOOKUP(B11,Disk_Pivot!G:G,Disk_Pivot!I:I)</f>
        <v>No</v>
      </c>
      <c r="U11" t="str">
        <f>_xlfn.XLOOKUP(B11,Disk_Pivot!G:G,Disk_Pivot!N:N)</f>
        <v/>
      </c>
      <c r="V11" t="str">
        <f>IF(U11="Fail",MacReports!N11,"")</f>
        <v/>
      </c>
      <c r="AB11" t="str">
        <f t="shared" si="1"/>
        <v/>
      </c>
    </row>
    <row r="12" spans="1:28">
      <c r="A12" t="str">
        <f>MacReports!A12</f>
        <v/>
      </c>
      <c r="B12">
        <f>MacReports!B12</f>
        <v>0</v>
      </c>
      <c r="C12">
        <f>MacReports!C12</f>
        <v>0</v>
      </c>
      <c r="E12" t="e">
        <f>_xlfn.XLOOKUP(G12,Models!A:A,Models!F:F)</f>
        <v>#N/A</v>
      </c>
      <c r="F12" t="str">
        <f>_xlfn.XLOOKUP(B12,MacReports!B:B,MacReports!D:D,"")</f>
        <v/>
      </c>
      <c r="G12" s="13">
        <f>MacReports!E12</f>
        <v>0</v>
      </c>
      <c r="H12" t="e">
        <f>_xlfn.XLOOKUP(G12,Models!A:A,Models!B:B)</f>
        <v>#N/A</v>
      </c>
      <c r="I12" t="e">
        <f>_xlfn.XLOOKUP(G12,Models!A:A,Models!E:E)</f>
        <v>#N/A</v>
      </c>
      <c r="J12" t="e">
        <f>_xlfn.XLOOKUP(G12,Models!A:A,Models!D:D)</f>
        <v>#N/A</v>
      </c>
      <c r="K12">
        <f>MacReports!F12</f>
        <v>0</v>
      </c>
      <c r="L12">
        <f>MacReports!G12</f>
        <v>0</v>
      </c>
      <c r="M12" s="15" t="e" cm="1">
        <f t="array" ref="M12">--_xlfn.LET(
    _xlpm.txt, MacReports!H12,
    _xlpm.chars, MID(_xlpm.txt, _xlfn.SEQUENCE(LEN(_xlpm.txt)), 1),
    _xlfn.TEXTJOIN("", TRUE, IF(ISNUMBER(--_xlpm.chars), _xlpm.chars, ""))
)</f>
        <v>#VALUE!</v>
      </c>
      <c r="N12" s="16" t="str" cm="1">
        <f t="array" ref="N12">_xlfn.IFS(
   --MacReports!M12&lt;55,"Battery Defect",
  -- MacReports!M12&lt;=69,"Battery D",
  --MacReports!M12&lt;=80,"Battery C",
 --MacReports!M12&gt;80,""
)</f>
        <v>Battery Defect</v>
      </c>
      <c r="O12" s="16" t="str">
        <f>IF(MacReports!I12="Service","Battery Service","")</f>
        <v/>
      </c>
      <c r="P12" s="13">
        <f>MacReports!P12</f>
        <v>0</v>
      </c>
      <c r="Q12" s="13" t="str">
        <f>IF(MacReports!J12="Enabled","Apple ID Lock","")</f>
        <v/>
      </c>
      <c r="R12" s="13" t="str">
        <f>IF(MacReports!L12="y","Remote Locked","")</f>
        <v/>
      </c>
      <c r="S12" t="str">
        <f t="shared" si="2"/>
        <v>Battery Defect, 0</v>
      </c>
      <c r="T12" t="str">
        <f>_xlfn.XLOOKUP(B12,Disk_Pivot!G:G,Disk_Pivot!I:I)</f>
        <v>No</v>
      </c>
      <c r="U12" t="str">
        <f>_xlfn.XLOOKUP(B12,Disk_Pivot!G:G,Disk_Pivot!N:N)</f>
        <v/>
      </c>
      <c r="V12" t="str">
        <f>IF(U12="Fail",MacReports!N12,"")</f>
        <v/>
      </c>
      <c r="AB12" t="str">
        <f t="shared" si="1"/>
        <v/>
      </c>
    </row>
    <row r="13" spans="1:28">
      <c r="A13" t="str">
        <f>MacReports!A13</f>
        <v/>
      </c>
      <c r="B13">
        <f>MacReports!B13</f>
        <v>0</v>
      </c>
      <c r="C13">
        <f>MacReports!C13</f>
        <v>0</v>
      </c>
      <c r="E13" t="e">
        <f>_xlfn.XLOOKUP(G13,Models!A:A,Models!F:F)</f>
        <v>#N/A</v>
      </c>
      <c r="F13" t="str">
        <f>_xlfn.XLOOKUP(B13,MacReports!B:B,MacReports!D:D,"")</f>
        <v/>
      </c>
      <c r="G13" s="13">
        <f>MacReports!E13</f>
        <v>0</v>
      </c>
      <c r="H13" t="e">
        <f>_xlfn.XLOOKUP(G13,Models!A:A,Models!B:B)</f>
        <v>#N/A</v>
      </c>
      <c r="I13" t="e">
        <f>_xlfn.XLOOKUP(G13,Models!A:A,Models!E:E)</f>
        <v>#N/A</v>
      </c>
      <c r="J13" t="e">
        <f>_xlfn.XLOOKUP(G13,Models!A:A,Models!D:D)</f>
        <v>#N/A</v>
      </c>
      <c r="K13">
        <f>MacReports!F13</f>
        <v>0</v>
      </c>
      <c r="L13">
        <f>MacReports!G13</f>
        <v>0</v>
      </c>
      <c r="M13" s="15" t="e" cm="1">
        <f t="array" ref="M13">--_xlfn.LET(
    _xlpm.txt, MacReports!H13,
    _xlpm.chars, MID(_xlpm.txt, _xlfn.SEQUENCE(LEN(_xlpm.txt)), 1),
    _xlfn.TEXTJOIN("", TRUE, IF(ISNUMBER(--_xlpm.chars), _xlpm.chars, ""))
)</f>
        <v>#VALUE!</v>
      </c>
      <c r="N13" s="16" t="str" cm="1">
        <f t="array" ref="N13">_xlfn.IFS(
   --MacReports!M13&lt;55,"Battery Defect",
  -- MacReports!M13&lt;=69,"Battery D",
  --MacReports!M13&lt;=80,"Battery C",
 --MacReports!M13&gt;80,""
)</f>
        <v>Battery Defect</v>
      </c>
      <c r="O13" s="16" t="str">
        <f>IF(MacReports!I13="Service","Battery Service","")</f>
        <v/>
      </c>
      <c r="P13" s="13">
        <f>MacReports!P13</f>
        <v>0</v>
      </c>
      <c r="Q13" s="13" t="str">
        <f>IF(MacReports!J13="Enabled","Apple ID Lock","")</f>
        <v/>
      </c>
      <c r="R13" s="13" t="str">
        <f>IF(MacReports!L13="y","Remote Locked","")</f>
        <v/>
      </c>
      <c r="S13" t="str">
        <f t="shared" si="2"/>
        <v>Battery Defect, 0</v>
      </c>
      <c r="T13" t="str">
        <f>_xlfn.XLOOKUP(B13,Disk_Pivot!G:G,Disk_Pivot!I:I)</f>
        <v>No</v>
      </c>
      <c r="U13" t="str">
        <f>_xlfn.XLOOKUP(B13,Disk_Pivot!G:G,Disk_Pivot!N:N)</f>
        <v/>
      </c>
      <c r="V13" t="str">
        <f>IF(U13="Fail",MacReports!N13,"")</f>
        <v/>
      </c>
      <c r="AB13" t="str">
        <f t="shared" si="1"/>
        <v/>
      </c>
    </row>
    <row r="14" spans="1:28">
      <c r="A14" t="str">
        <f>MacReports!A14</f>
        <v/>
      </c>
      <c r="B14">
        <f>MacReports!B14</f>
        <v>0</v>
      </c>
      <c r="C14">
        <f>MacReports!C14</f>
        <v>0</v>
      </c>
      <c r="E14" t="e">
        <f>_xlfn.XLOOKUP(G14,Models!A:A,Models!F:F)</f>
        <v>#N/A</v>
      </c>
      <c r="F14" t="str">
        <f>_xlfn.XLOOKUP(B14,MacReports!B:B,MacReports!D:D,"")</f>
        <v/>
      </c>
      <c r="G14" s="13">
        <f>MacReports!E14</f>
        <v>0</v>
      </c>
      <c r="H14" t="e">
        <f>_xlfn.XLOOKUP(G14,Models!A:A,Models!B:B)</f>
        <v>#N/A</v>
      </c>
      <c r="I14" t="e">
        <f>_xlfn.XLOOKUP(G14,Models!A:A,Models!E:E)</f>
        <v>#N/A</v>
      </c>
      <c r="J14" t="e">
        <f>_xlfn.XLOOKUP(G14,Models!A:A,Models!D:D)</f>
        <v>#N/A</v>
      </c>
      <c r="K14">
        <f>MacReports!F14</f>
        <v>0</v>
      </c>
      <c r="L14">
        <f>MacReports!G14</f>
        <v>0</v>
      </c>
      <c r="M14" s="15" t="e" cm="1">
        <f t="array" ref="M14">--_xlfn.LET(
    _xlpm.txt, MacReports!H14,
    _xlpm.chars, MID(_xlpm.txt, _xlfn.SEQUENCE(LEN(_xlpm.txt)), 1),
    _xlfn.TEXTJOIN("", TRUE, IF(ISNUMBER(--_xlpm.chars), _xlpm.chars, ""))
)</f>
        <v>#VALUE!</v>
      </c>
      <c r="N14" s="16" t="str" cm="1">
        <f t="array" ref="N14">_xlfn.IFS(
   --MacReports!M14&lt;55,"Battery Defect",
  -- MacReports!M14&lt;=69,"Battery D",
  --MacReports!M14&lt;=80,"Battery C",
 --MacReports!M14&gt;80,""
)</f>
        <v>Battery Defect</v>
      </c>
      <c r="O14" s="16" t="str">
        <f>IF(MacReports!I14="Service","Battery Service","")</f>
        <v/>
      </c>
      <c r="P14" s="13">
        <f>MacReports!P14</f>
        <v>0</v>
      </c>
      <c r="Q14" s="13" t="str">
        <f>IF(MacReports!J14="Enabled","Apple ID Lock","")</f>
        <v/>
      </c>
      <c r="R14" s="13" t="str">
        <f>IF(MacReports!L14="y","Remote Locked","")</f>
        <v/>
      </c>
      <c r="S14" t="str">
        <f t="shared" si="2"/>
        <v>Battery Defect, 0</v>
      </c>
      <c r="T14" t="str">
        <f>_xlfn.XLOOKUP(B14,Disk_Pivot!G:G,Disk_Pivot!I:I)</f>
        <v>No</v>
      </c>
      <c r="U14" t="str">
        <f>_xlfn.XLOOKUP(B14,Disk_Pivot!G:G,Disk_Pivot!N:N)</f>
        <v/>
      </c>
      <c r="V14" t="str">
        <f>IF(U14="Fail",MacReports!N14,"")</f>
        <v/>
      </c>
      <c r="AB14" t="str">
        <f t="shared" si="1"/>
        <v/>
      </c>
    </row>
    <row r="15" spans="1:28">
      <c r="A15" t="str">
        <f>MacReports!A15</f>
        <v/>
      </c>
      <c r="B15">
        <f>MacReports!B15</f>
        <v>0</v>
      </c>
      <c r="C15">
        <f>MacReports!C15</f>
        <v>0</v>
      </c>
      <c r="E15" t="e">
        <f>_xlfn.XLOOKUP(G15,Models!A:A,Models!F:F)</f>
        <v>#N/A</v>
      </c>
      <c r="F15" t="str">
        <f>_xlfn.XLOOKUP(B15,MacReports!B:B,MacReports!D:D,"")</f>
        <v/>
      </c>
      <c r="G15" s="13">
        <f>MacReports!E15</f>
        <v>0</v>
      </c>
      <c r="H15" t="e">
        <f>_xlfn.XLOOKUP(G15,Models!A:A,Models!B:B)</f>
        <v>#N/A</v>
      </c>
      <c r="I15" t="e">
        <f>_xlfn.XLOOKUP(G15,Models!A:A,Models!E:E)</f>
        <v>#N/A</v>
      </c>
      <c r="J15" t="e">
        <f>_xlfn.XLOOKUP(G15,Models!A:A,Models!D:D)</f>
        <v>#N/A</v>
      </c>
      <c r="K15">
        <f>MacReports!F15</f>
        <v>0</v>
      </c>
      <c r="L15">
        <f>MacReports!G15</f>
        <v>0</v>
      </c>
      <c r="M15" s="15" t="e" cm="1">
        <f t="array" ref="M15">--_xlfn.LET(
    _xlpm.txt, MacReports!H15,
    _xlpm.chars, MID(_xlpm.txt, _xlfn.SEQUENCE(LEN(_xlpm.txt)), 1),
    _xlfn.TEXTJOIN("", TRUE, IF(ISNUMBER(--_xlpm.chars), _xlpm.chars, ""))
)</f>
        <v>#VALUE!</v>
      </c>
      <c r="N15" s="16" t="str" cm="1">
        <f t="array" ref="N15">_xlfn.IFS(
   --MacReports!M15&lt;55,"Battery Defect",
  -- MacReports!M15&lt;=69,"Battery D",
  --MacReports!M15&lt;=80,"Battery C",
 --MacReports!M15&gt;80,""
)</f>
        <v>Battery Defect</v>
      </c>
      <c r="O15" s="16" t="str">
        <f>IF(MacReports!I15="Service","Battery Service","")</f>
        <v/>
      </c>
      <c r="P15" s="13">
        <f>MacReports!P15</f>
        <v>0</v>
      </c>
      <c r="Q15" s="13" t="str">
        <f>IF(MacReports!J15="Enabled","Apple ID Lock","")</f>
        <v/>
      </c>
      <c r="R15" s="13" t="str">
        <f>IF(MacReports!L15="y","Remote Locked","")</f>
        <v/>
      </c>
      <c r="S15" t="str">
        <f t="shared" si="2"/>
        <v>Battery Defect, 0</v>
      </c>
      <c r="T15" t="str">
        <f>_xlfn.XLOOKUP(B15,Disk_Pivot!G:G,Disk_Pivot!I:I)</f>
        <v>No</v>
      </c>
      <c r="U15" t="str">
        <f>_xlfn.XLOOKUP(B15,Disk_Pivot!G:G,Disk_Pivot!N:N)</f>
        <v/>
      </c>
      <c r="V15" t="str">
        <f>IF(U15="Fail",MacReports!N15,"")</f>
        <v/>
      </c>
      <c r="AB15" t="str">
        <f t="shared" si="1"/>
        <v/>
      </c>
    </row>
    <row r="16" spans="1:28">
      <c r="A16" t="str">
        <f>MacReports!A16</f>
        <v/>
      </c>
      <c r="B16">
        <f>MacReports!B16</f>
        <v>0</v>
      </c>
      <c r="C16">
        <f>MacReports!C16</f>
        <v>0</v>
      </c>
      <c r="E16" t="e">
        <f>_xlfn.XLOOKUP(G16,Models!A:A,Models!F:F)</f>
        <v>#N/A</v>
      </c>
      <c r="F16" t="str">
        <f>_xlfn.XLOOKUP(B16,MacReports!B:B,MacReports!D:D,"")</f>
        <v/>
      </c>
      <c r="G16" s="13">
        <f>MacReports!E16</f>
        <v>0</v>
      </c>
      <c r="H16" t="e">
        <f>_xlfn.XLOOKUP(G16,Models!A:A,Models!B:B)</f>
        <v>#N/A</v>
      </c>
      <c r="I16" t="e">
        <f>_xlfn.XLOOKUP(G16,Models!A:A,Models!E:E)</f>
        <v>#N/A</v>
      </c>
      <c r="J16" t="e">
        <f>_xlfn.XLOOKUP(G16,Models!A:A,Models!D:D)</f>
        <v>#N/A</v>
      </c>
      <c r="K16">
        <f>MacReports!F16</f>
        <v>0</v>
      </c>
      <c r="L16">
        <f>MacReports!G16</f>
        <v>0</v>
      </c>
      <c r="M16" s="15" t="e" cm="1">
        <f t="array" ref="M16">--_xlfn.LET(
    _xlpm.txt, MacReports!H16,
    _xlpm.chars, MID(_xlpm.txt, _xlfn.SEQUENCE(LEN(_xlpm.txt)), 1),
    _xlfn.TEXTJOIN("", TRUE, IF(ISNUMBER(--_xlpm.chars), _xlpm.chars, ""))
)</f>
        <v>#VALUE!</v>
      </c>
      <c r="N16" s="16" t="str" cm="1">
        <f t="array" ref="N16">_xlfn.IFS(
   --MacReports!M16&lt;55,"Battery Defect",
  -- MacReports!M16&lt;=69,"Battery D",
  --MacReports!M16&lt;=80,"Battery C",
 --MacReports!M16&gt;80,""
)</f>
        <v>Battery Defect</v>
      </c>
      <c r="O16" s="16" t="str">
        <f>IF(MacReports!I16="Service","Battery Service","")</f>
        <v/>
      </c>
      <c r="P16" s="13">
        <f>MacReports!P16</f>
        <v>0</v>
      </c>
      <c r="Q16" s="13" t="str">
        <f>IF(MacReports!J16="Enabled","Apple ID Lock","")</f>
        <v/>
      </c>
      <c r="R16" s="13" t="str">
        <f>IF(MacReports!L16="y","Remote Locked","")</f>
        <v/>
      </c>
      <c r="S16" t="str">
        <f t="shared" si="2"/>
        <v>Battery Defect, 0</v>
      </c>
      <c r="T16" t="str">
        <f>_xlfn.XLOOKUP(B16,Disk_Pivot!G:G,Disk_Pivot!I:I)</f>
        <v>No</v>
      </c>
      <c r="U16" t="str">
        <f>_xlfn.XLOOKUP(B16,Disk_Pivot!G:G,Disk_Pivot!N:N)</f>
        <v/>
      </c>
      <c r="V16" t="str">
        <f>IF(U16="Fail",MacReports!N16,"")</f>
        <v/>
      </c>
      <c r="AB16" t="str">
        <f t="shared" si="1"/>
        <v/>
      </c>
    </row>
    <row r="17" spans="1:28">
      <c r="A17" t="str">
        <f>MacReports!A17</f>
        <v/>
      </c>
      <c r="B17">
        <f>MacReports!B17</f>
        <v>0</v>
      </c>
      <c r="C17">
        <f>MacReports!C17</f>
        <v>0</v>
      </c>
      <c r="E17" t="e">
        <f>_xlfn.XLOOKUP(G17,Models!A:A,Models!F:F)</f>
        <v>#N/A</v>
      </c>
      <c r="F17" t="str">
        <f>_xlfn.XLOOKUP(B17,MacReports!B:B,MacReports!D:D,"")</f>
        <v/>
      </c>
      <c r="G17" s="13">
        <f>MacReports!E17</f>
        <v>0</v>
      </c>
      <c r="H17" t="e">
        <f>_xlfn.XLOOKUP(G17,Models!A:A,Models!B:B)</f>
        <v>#N/A</v>
      </c>
      <c r="I17" t="e">
        <f>_xlfn.XLOOKUP(G17,Models!A:A,Models!E:E)</f>
        <v>#N/A</v>
      </c>
      <c r="J17" t="e">
        <f>_xlfn.XLOOKUP(G17,Models!A:A,Models!D:D)</f>
        <v>#N/A</v>
      </c>
      <c r="K17">
        <f>MacReports!F17</f>
        <v>0</v>
      </c>
      <c r="L17">
        <f>MacReports!G17</f>
        <v>0</v>
      </c>
      <c r="M17" s="15" t="e" cm="1">
        <f t="array" ref="M17">--_xlfn.LET(
    _xlpm.txt, MacReports!H17,
    _xlpm.chars, MID(_xlpm.txt, _xlfn.SEQUENCE(LEN(_xlpm.txt)), 1),
    _xlfn.TEXTJOIN("", TRUE, IF(ISNUMBER(--_xlpm.chars), _xlpm.chars, ""))
)</f>
        <v>#VALUE!</v>
      </c>
      <c r="N17" s="16" t="str" cm="1">
        <f t="array" ref="N17">_xlfn.IFS(
   --MacReports!M17&lt;55,"Battery Defect",
  -- MacReports!M17&lt;=69,"Battery D",
  --MacReports!M17&lt;=80,"Battery C",
 --MacReports!M17&gt;80,""
)</f>
        <v>Battery Defect</v>
      </c>
      <c r="O17" s="16" t="str">
        <f>IF(MacReports!I17="Service","Battery Service","")</f>
        <v/>
      </c>
      <c r="P17" s="13">
        <f>MacReports!P17</f>
        <v>0</v>
      </c>
      <c r="Q17" s="13" t="str">
        <f>IF(MacReports!J17="Enabled","Apple ID Lock","")</f>
        <v/>
      </c>
      <c r="R17" s="13" t="str">
        <f>IF(MacReports!L17="y","Remote Locked","")</f>
        <v/>
      </c>
      <c r="S17" t="str">
        <f t="shared" si="2"/>
        <v>Battery Defect, 0</v>
      </c>
      <c r="T17" t="str">
        <f>_xlfn.XLOOKUP(B17,Disk_Pivot!G:G,Disk_Pivot!I:I)</f>
        <v>No</v>
      </c>
      <c r="U17" t="str">
        <f>_xlfn.XLOOKUP(B17,Disk_Pivot!G:G,Disk_Pivot!N:N)</f>
        <v/>
      </c>
      <c r="V17" t="str">
        <f>IF(U17="Fail",MacReports!N17,"")</f>
        <v/>
      </c>
      <c r="AB17" t="str">
        <f t="shared" si="1"/>
        <v/>
      </c>
    </row>
    <row r="18" spans="1:28">
      <c r="A18" t="str">
        <f>MacReports!A18</f>
        <v/>
      </c>
      <c r="B18">
        <f>MacReports!B18</f>
        <v>0</v>
      </c>
      <c r="C18">
        <f>MacReports!C18</f>
        <v>0</v>
      </c>
      <c r="E18" t="e">
        <f>_xlfn.XLOOKUP(G18,Models!A:A,Models!F:F)</f>
        <v>#N/A</v>
      </c>
      <c r="F18" t="str">
        <f>_xlfn.XLOOKUP(B18,MacReports!B:B,MacReports!D:D,"")</f>
        <v/>
      </c>
      <c r="G18" s="13">
        <f>MacReports!E18</f>
        <v>0</v>
      </c>
      <c r="H18" t="e">
        <f>_xlfn.XLOOKUP(G18,Models!A:A,Models!B:B)</f>
        <v>#N/A</v>
      </c>
      <c r="I18" t="e">
        <f>_xlfn.XLOOKUP(G18,Models!A:A,Models!E:E)</f>
        <v>#N/A</v>
      </c>
      <c r="J18" t="e">
        <f>_xlfn.XLOOKUP(G18,Models!A:A,Models!D:D)</f>
        <v>#N/A</v>
      </c>
      <c r="K18">
        <f>MacReports!F18</f>
        <v>0</v>
      </c>
      <c r="L18">
        <f>MacReports!G18</f>
        <v>0</v>
      </c>
      <c r="M18" s="15" t="e" cm="1">
        <f t="array" ref="M18">--_xlfn.LET(
    _xlpm.txt, MacReports!H18,
    _xlpm.chars, MID(_xlpm.txt, _xlfn.SEQUENCE(LEN(_xlpm.txt)), 1),
    _xlfn.TEXTJOIN("", TRUE, IF(ISNUMBER(--_xlpm.chars), _xlpm.chars, ""))
)</f>
        <v>#VALUE!</v>
      </c>
      <c r="N18" s="16" t="str" cm="1">
        <f t="array" ref="N18">_xlfn.IFS(
   --MacReports!M18&lt;55,"Battery Defect",
  -- MacReports!M18&lt;=69,"Battery D",
  --MacReports!M18&lt;=80,"Battery C",
 --MacReports!M18&gt;80,""
)</f>
        <v>Battery Defect</v>
      </c>
      <c r="O18" s="16" t="str">
        <f>IF(MacReports!I18="Service","Battery Service","")</f>
        <v/>
      </c>
      <c r="P18" s="13">
        <f>MacReports!P18</f>
        <v>0</v>
      </c>
      <c r="Q18" s="13" t="str">
        <f>IF(MacReports!J18="Enabled","Apple ID Lock","")</f>
        <v/>
      </c>
      <c r="R18" s="13" t="str">
        <f>IF(MacReports!L18="y","Remote Locked","")</f>
        <v/>
      </c>
      <c r="S18" t="str">
        <f t="shared" si="2"/>
        <v>Battery Defect, 0</v>
      </c>
      <c r="T18" t="str">
        <f>_xlfn.XLOOKUP(B18,Disk_Pivot!G:G,Disk_Pivot!I:I)</f>
        <v>No</v>
      </c>
      <c r="U18" t="str">
        <f>_xlfn.XLOOKUP(B18,Disk_Pivot!G:G,Disk_Pivot!N:N)</f>
        <v/>
      </c>
      <c r="V18" t="str">
        <f>IF(U18="Fail",MacReports!N18,"")</f>
        <v/>
      </c>
      <c r="AB18" t="str">
        <f t="shared" si="1"/>
        <v/>
      </c>
    </row>
    <row r="19" spans="1:28">
      <c r="A19" t="str">
        <f>MacReports!A19</f>
        <v/>
      </c>
      <c r="B19">
        <f>MacReports!B19</f>
        <v>0</v>
      </c>
      <c r="C19">
        <f>MacReports!C19</f>
        <v>0</v>
      </c>
      <c r="E19" t="e">
        <f>_xlfn.XLOOKUP(G19,Models!A:A,Models!F:F)</f>
        <v>#N/A</v>
      </c>
      <c r="F19" t="str">
        <f>_xlfn.XLOOKUP(B19,MacReports!B:B,MacReports!D:D,"")</f>
        <v/>
      </c>
      <c r="G19" s="13">
        <f>MacReports!E19</f>
        <v>0</v>
      </c>
      <c r="H19" t="e">
        <f>_xlfn.XLOOKUP(G19,Models!A:A,Models!B:B)</f>
        <v>#N/A</v>
      </c>
      <c r="I19" t="e">
        <f>_xlfn.XLOOKUP(G19,Models!A:A,Models!E:E)</f>
        <v>#N/A</v>
      </c>
      <c r="J19" t="e">
        <f>_xlfn.XLOOKUP(G19,Models!A:A,Models!D:D)</f>
        <v>#N/A</v>
      </c>
      <c r="K19">
        <f>MacReports!F19</f>
        <v>0</v>
      </c>
      <c r="L19">
        <f>MacReports!G19</f>
        <v>0</v>
      </c>
      <c r="M19" s="15" t="e" cm="1">
        <f t="array" ref="M19">--_xlfn.LET(
    _xlpm.txt, MacReports!H19,
    _xlpm.chars, MID(_xlpm.txt, _xlfn.SEQUENCE(LEN(_xlpm.txt)), 1),
    _xlfn.TEXTJOIN("", TRUE, IF(ISNUMBER(--_xlpm.chars), _xlpm.chars, ""))
)</f>
        <v>#VALUE!</v>
      </c>
      <c r="N19" s="16" t="str" cm="1">
        <f t="array" ref="N19">_xlfn.IFS(
   --MacReports!M19&lt;55,"Battery Defect",
  -- MacReports!M19&lt;=69,"Battery D",
  --MacReports!M19&lt;=80,"Battery C",
 --MacReports!M19&gt;80,""
)</f>
        <v>Battery Defect</v>
      </c>
      <c r="O19" s="16" t="str">
        <f>IF(MacReports!I19="Service","Battery Service","")</f>
        <v/>
      </c>
      <c r="P19" s="13">
        <f>MacReports!P19</f>
        <v>0</v>
      </c>
      <c r="Q19" s="13" t="str">
        <f>IF(MacReports!J19="Enabled","Apple ID Lock","")</f>
        <v/>
      </c>
      <c r="R19" s="13" t="str">
        <f>IF(MacReports!L19="y","Remote Locked","")</f>
        <v/>
      </c>
      <c r="S19" t="str">
        <f t="shared" si="2"/>
        <v>Battery Defect, 0</v>
      </c>
      <c r="T19" t="str">
        <f>_xlfn.XLOOKUP(B19,Disk_Pivot!G:G,Disk_Pivot!I:I)</f>
        <v>No</v>
      </c>
      <c r="U19" t="str">
        <f>_xlfn.XLOOKUP(B19,Disk_Pivot!G:G,Disk_Pivot!N:N)</f>
        <v/>
      </c>
      <c r="V19" t="str">
        <f>IF(U19="Fail",MacReports!N19,"")</f>
        <v/>
      </c>
      <c r="AB19" t="str">
        <f t="shared" si="1"/>
        <v/>
      </c>
    </row>
    <row r="20" spans="1:28">
      <c r="A20" t="str">
        <f>MacReports!A20</f>
        <v/>
      </c>
      <c r="B20">
        <f>MacReports!B20</f>
        <v>0</v>
      </c>
      <c r="C20">
        <f>MacReports!C20</f>
        <v>0</v>
      </c>
      <c r="E20" t="e">
        <f>_xlfn.XLOOKUP(G20,Models!A:A,Models!F:F)</f>
        <v>#N/A</v>
      </c>
      <c r="F20" t="str">
        <f>_xlfn.XLOOKUP(B20,MacReports!B:B,MacReports!D:D,"")</f>
        <v/>
      </c>
      <c r="G20" s="13">
        <f>MacReports!E20</f>
        <v>0</v>
      </c>
      <c r="H20" t="e">
        <f>_xlfn.XLOOKUP(G20,Models!A:A,Models!B:B)</f>
        <v>#N/A</v>
      </c>
      <c r="I20" t="e">
        <f>_xlfn.XLOOKUP(G20,Models!A:A,Models!E:E)</f>
        <v>#N/A</v>
      </c>
      <c r="J20" t="e">
        <f>_xlfn.XLOOKUP(G20,Models!A:A,Models!D:D)</f>
        <v>#N/A</v>
      </c>
      <c r="K20">
        <f>MacReports!F20</f>
        <v>0</v>
      </c>
      <c r="L20">
        <f>MacReports!G20</f>
        <v>0</v>
      </c>
      <c r="M20" s="15" t="e" cm="1">
        <f t="array" ref="M20">--_xlfn.LET(
    _xlpm.txt, MacReports!H20,
    _xlpm.chars, MID(_xlpm.txt, _xlfn.SEQUENCE(LEN(_xlpm.txt)), 1),
    _xlfn.TEXTJOIN("", TRUE, IF(ISNUMBER(--_xlpm.chars), _xlpm.chars, ""))
)</f>
        <v>#VALUE!</v>
      </c>
      <c r="N20" s="16" t="str" cm="1">
        <f t="array" ref="N20">_xlfn.IFS(
   --MacReports!M20&lt;55,"Battery Defect",
  -- MacReports!M20&lt;=69,"Battery D",
  --MacReports!M20&lt;=80,"Battery C",
 --MacReports!M20&gt;80,""
)</f>
        <v>Battery Defect</v>
      </c>
      <c r="O20" s="16" t="str">
        <f>IF(MacReports!I20="Service","Battery Service","")</f>
        <v/>
      </c>
      <c r="P20" s="13">
        <f>MacReports!P20</f>
        <v>0</v>
      </c>
      <c r="Q20" s="13" t="str">
        <f>IF(MacReports!J20="Enabled","Apple ID Lock","")</f>
        <v/>
      </c>
      <c r="R20" s="13" t="str">
        <f>IF(MacReports!L20="y","Remote Locked","")</f>
        <v/>
      </c>
      <c r="S20" t="str">
        <f t="shared" si="2"/>
        <v>Battery Defect, 0</v>
      </c>
      <c r="T20" t="str">
        <f>_xlfn.XLOOKUP(B20,Disk_Pivot!G:G,Disk_Pivot!I:I)</f>
        <v>No</v>
      </c>
      <c r="U20" t="str">
        <f>_xlfn.XLOOKUP(B20,Disk_Pivot!G:G,Disk_Pivot!N:N)</f>
        <v/>
      </c>
      <c r="V20" t="str">
        <f>IF(U20="Fail",MacReports!N20,"")</f>
        <v/>
      </c>
      <c r="AB20" t="str">
        <f t="shared" si="1"/>
        <v/>
      </c>
    </row>
    <row r="21" spans="1:28">
      <c r="A21" t="str">
        <f>MacReports!A21</f>
        <v/>
      </c>
      <c r="B21">
        <f>MacReports!B21</f>
        <v>0</v>
      </c>
      <c r="C21">
        <f>MacReports!C21</f>
        <v>0</v>
      </c>
      <c r="E21" t="e">
        <f>_xlfn.XLOOKUP(G21,Models!A:A,Models!F:F)</f>
        <v>#N/A</v>
      </c>
      <c r="F21" t="str">
        <f>_xlfn.XLOOKUP(B21,MacReports!B:B,MacReports!D:D,"")</f>
        <v/>
      </c>
      <c r="G21" s="13">
        <f>MacReports!E21</f>
        <v>0</v>
      </c>
      <c r="H21" t="e">
        <f>_xlfn.XLOOKUP(G21,Models!A:A,Models!B:B)</f>
        <v>#N/A</v>
      </c>
      <c r="I21" t="e">
        <f>_xlfn.XLOOKUP(G21,Models!A:A,Models!E:E)</f>
        <v>#N/A</v>
      </c>
      <c r="J21" t="e">
        <f>_xlfn.XLOOKUP(G21,Models!A:A,Models!D:D)</f>
        <v>#N/A</v>
      </c>
      <c r="K21">
        <f>MacReports!F21</f>
        <v>0</v>
      </c>
      <c r="L21">
        <f>MacReports!G21</f>
        <v>0</v>
      </c>
      <c r="M21" s="15" t="e" cm="1">
        <f t="array" ref="M21">--_xlfn.LET(
    _xlpm.txt, MacReports!H21,
    _xlpm.chars, MID(_xlpm.txt, _xlfn.SEQUENCE(LEN(_xlpm.txt)), 1),
    _xlfn.TEXTJOIN("", TRUE, IF(ISNUMBER(--_xlpm.chars), _xlpm.chars, ""))
)</f>
        <v>#VALUE!</v>
      </c>
      <c r="N21" s="16" t="str" cm="1">
        <f t="array" ref="N21">_xlfn.IFS(
   --MacReports!M21&lt;55,"Battery Defect",
  -- MacReports!M21&lt;=69,"Battery D",
  --MacReports!M21&lt;=80,"Battery C",
 --MacReports!M21&gt;80,""
)</f>
        <v>Battery Defect</v>
      </c>
      <c r="O21" s="16" t="str">
        <f>IF(MacReports!I21="Service","Battery Service","")</f>
        <v/>
      </c>
      <c r="P21" s="13">
        <f>MacReports!P21</f>
        <v>0</v>
      </c>
      <c r="Q21" s="13" t="str">
        <f>IF(MacReports!J21="Enabled","Apple ID Lock","")</f>
        <v/>
      </c>
      <c r="R21" s="13" t="str">
        <f>IF(MacReports!L21="y","Remote Locked","")</f>
        <v/>
      </c>
      <c r="S21" t="str">
        <f t="shared" si="2"/>
        <v>Battery Defect, 0</v>
      </c>
      <c r="T21" t="str">
        <f>_xlfn.XLOOKUP(B21,Disk_Pivot!G:G,Disk_Pivot!I:I)</f>
        <v>No</v>
      </c>
      <c r="U21" t="str">
        <f>_xlfn.XLOOKUP(B21,Disk_Pivot!G:G,Disk_Pivot!N:N)</f>
        <v/>
      </c>
      <c r="V21" t="str">
        <f>IF(U21="Fail",MacReports!N21,"")</f>
        <v/>
      </c>
      <c r="AB21" t="str">
        <f t="shared" si="1"/>
        <v/>
      </c>
    </row>
    <row r="22" spans="1:28">
      <c r="A22" t="str">
        <f>MacReports!A22</f>
        <v/>
      </c>
      <c r="B22">
        <f>MacReports!B22</f>
        <v>0</v>
      </c>
      <c r="C22">
        <f>MacReports!C22</f>
        <v>0</v>
      </c>
      <c r="E22" t="e">
        <f>_xlfn.XLOOKUP(G22,Models!A:A,Models!F:F)</f>
        <v>#N/A</v>
      </c>
      <c r="F22" t="str">
        <f>_xlfn.XLOOKUP(B22,MacReports!B:B,MacReports!D:D,"")</f>
        <v/>
      </c>
      <c r="G22" s="13">
        <f>MacReports!E22</f>
        <v>0</v>
      </c>
      <c r="H22" t="e">
        <f>_xlfn.XLOOKUP(G22,Models!A:A,Models!B:B)</f>
        <v>#N/A</v>
      </c>
      <c r="I22" t="e">
        <f>_xlfn.XLOOKUP(G22,Models!A:A,Models!E:E)</f>
        <v>#N/A</v>
      </c>
      <c r="J22" t="e">
        <f>_xlfn.XLOOKUP(G22,Models!A:A,Models!D:D)</f>
        <v>#N/A</v>
      </c>
      <c r="K22">
        <f>MacReports!F22</f>
        <v>0</v>
      </c>
      <c r="L22">
        <f>MacReports!G22</f>
        <v>0</v>
      </c>
      <c r="M22" s="15" t="e" cm="1">
        <f t="array" ref="M22">--_xlfn.LET(
    _xlpm.txt, MacReports!H22,
    _xlpm.chars, MID(_xlpm.txt, _xlfn.SEQUENCE(LEN(_xlpm.txt)), 1),
    _xlfn.TEXTJOIN("", TRUE, IF(ISNUMBER(--_xlpm.chars), _xlpm.chars, ""))
)</f>
        <v>#VALUE!</v>
      </c>
      <c r="N22" s="16" t="str" cm="1">
        <f t="array" ref="N22">_xlfn.IFS(
   --MacReports!M22&lt;55,"Battery Defect",
  -- MacReports!M22&lt;=69,"Battery D",
  --MacReports!M22&lt;=80,"Battery C",
 --MacReports!M22&gt;80,""
)</f>
        <v>Battery Defect</v>
      </c>
      <c r="O22" s="16" t="str">
        <f>IF(MacReports!I22="Service","Battery Service","")</f>
        <v/>
      </c>
      <c r="P22" s="13">
        <f>MacReports!P22</f>
        <v>0</v>
      </c>
      <c r="Q22" s="13" t="str">
        <f>IF(MacReports!J22="Enabled","Apple ID Lock","")</f>
        <v/>
      </c>
      <c r="R22" s="13" t="str">
        <f>IF(MacReports!L22="y","Remote Locked","")</f>
        <v/>
      </c>
      <c r="S22" t="str">
        <f t="shared" si="2"/>
        <v>Battery Defect, 0</v>
      </c>
      <c r="T22" t="str">
        <f>_xlfn.XLOOKUP(B22,Disk_Pivot!G:G,Disk_Pivot!I:I)</f>
        <v>No</v>
      </c>
      <c r="U22" t="str">
        <f>_xlfn.XLOOKUP(B22,Disk_Pivot!G:G,Disk_Pivot!N:N)</f>
        <v/>
      </c>
      <c r="V22" t="str">
        <f>IF(U22="Fail",MacReports!N22,"")</f>
        <v/>
      </c>
      <c r="AB22" t="str">
        <f t="shared" si="1"/>
        <v/>
      </c>
    </row>
    <row r="23" spans="1:28">
      <c r="A23" t="str">
        <f>MacReports!A23</f>
        <v/>
      </c>
      <c r="B23">
        <f>MacReports!B23</f>
        <v>0</v>
      </c>
      <c r="C23">
        <f>MacReports!C23</f>
        <v>0</v>
      </c>
      <c r="E23" t="e">
        <f>_xlfn.XLOOKUP(G23,Models!A:A,Models!F:F)</f>
        <v>#N/A</v>
      </c>
      <c r="F23" t="str">
        <f>_xlfn.XLOOKUP(B23,MacReports!B:B,MacReports!D:D,"")</f>
        <v/>
      </c>
      <c r="G23" s="13">
        <f>MacReports!E23</f>
        <v>0</v>
      </c>
      <c r="H23" t="e">
        <f>_xlfn.XLOOKUP(G23,Models!A:A,Models!B:B)</f>
        <v>#N/A</v>
      </c>
      <c r="I23" t="e">
        <f>_xlfn.XLOOKUP(G23,Models!A:A,Models!E:E)</f>
        <v>#N/A</v>
      </c>
      <c r="J23" t="e">
        <f>_xlfn.XLOOKUP(G23,Models!A:A,Models!D:D)</f>
        <v>#N/A</v>
      </c>
      <c r="K23">
        <f>MacReports!F23</f>
        <v>0</v>
      </c>
      <c r="L23">
        <f>MacReports!G23</f>
        <v>0</v>
      </c>
      <c r="M23" s="15" t="e" cm="1">
        <f t="array" ref="M23">--_xlfn.LET(
    _xlpm.txt, MacReports!H23,
    _xlpm.chars, MID(_xlpm.txt, _xlfn.SEQUENCE(LEN(_xlpm.txt)), 1),
    _xlfn.TEXTJOIN("", TRUE, IF(ISNUMBER(--_xlpm.chars), _xlpm.chars, ""))
)</f>
        <v>#VALUE!</v>
      </c>
      <c r="N23" s="16" t="str" cm="1">
        <f t="array" ref="N23">_xlfn.IFS(
   --MacReports!M23&lt;55,"Battery Defect",
  -- MacReports!M23&lt;=69,"Battery D",
  --MacReports!M23&lt;=80,"Battery C",
 --MacReports!M23&gt;80,""
)</f>
        <v>Battery Defect</v>
      </c>
      <c r="O23" s="16" t="str">
        <f>IF(MacReports!I23="Service","Battery Service","")</f>
        <v/>
      </c>
      <c r="P23" s="13">
        <f>MacReports!P23</f>
        <v>0</v>
      </c>
      <c r="Q23" s="13" t="str">
        <f>IF(MacReports!J23="Enabled","Apple ID Lock","")</f>
        <v/>
      </c>
      <c r="R23" s="13" t="str">
        <f>IF(MacReports!L23="y","Remote Locked","")</f>
        <v/>
      </c>
      <c r="S23" t="str">
        <f t="shared" si="2"/>
        <v>Battery Defect, 0</v>
      </c>
      <c r="T23" t="str">
        <f>_xlfn.XLOOKUP(B23,Disk_Pivot!G:G,Disk_Pivot!I:I)</f>
        <v>No</v>
      </c>
      <c r="U23" t="str">
        <f>_xlfn.XLOOKUP(B23,Disk_Pivot!G:G,Disk_Pivot!N:N)</f>
        <v/>
      </c>
      <c r="V23" t="str">
        <f>IF(U23="Fail",MacReports!N23,"")</f>
        <v/>
      </c>
      <c r="AB23" t="str">
        <f t="shared" si="1"/>
        <v/>
      </c>
    </row>
    <row r="24" spans="1:28">
      <c r="A24" t="str">
        <f>MacReports!A24</f>
        <v/>
      </c>
      <c r="B24">
        <f>MacReports!B24</f>
        <v>0</v>
      </c>
      <c r="C24">
        <f>MacReports!C24</f>
        <v>0</v>
      </c>
      <c r="E24" t="e">
        <f>_xlfn.XLOOKUP(G24,Models!A:A,Models!F:F)</f>
        <v>#N/A</v>
      </c>
      <c r="F24" t="str">
        <f>_xlfn.XLOOKUP(B24,MacReports!B:B,MacReports!D:D,"")</f>
        <v/>
      </c>
      <c r="G24" s="13">
        <f>MacReports!E24</f>
        <v>0</v>
      </c>
      <c r="H24" t="e">
        <f>_xlfn.XLOOKUP(G24,Models!A:A,Models!B:B)</f>
        <v>#N/A</v>
      </c>
      <c r="I24" t="e">
        <f>_xlfn.XLOOKUP(G24,Models!A:A,Models!E:E)</f>
        <v>#N/A</v>
      </c>
      <c r="J24" t="e">
        <f>_xlfn.XLOOKUP(G24,Models!A:A,Models!D:D)</f>
        <v>#N/A</v>
      </c>
      <c r="K24">
        <f>MacReports!F24</f>
        <v>0</v>
      </c>
      <c r="L24">
        <f>MacReports!G24</f>
        <v>0</v>
      </c>
      <c r="M24" s="15" t="e" cm="1">
        <f t="array" ref="M24">--_xlfn.LET(
    _xlpm.txt, MacReports!H24,
    _xlpm.chars, MID(_xlpm.txt, _xlfn.SEQUENCE(LEN(_xlpm.txt)), 1),
    _xlfn.TEXTJOIN("", TRUE, IF(ISNUMBER(--_xlpm.chars), _xlpm.chars, ""))
)</f>
        <v>#VALUE!</v>
      </c>
      <c r="N24" s="16" t="str" cm="1">
        <f t="array" ref="N24">_xlfn.IFS(
   --MacReports!M24&lt;55,"Battery Defect",
  -- MacReports!M24&lt;=69,"Battery D",
  --MacReports!M24&lt;=80,"Battery C",
 --MacReports!M24&gt;80,""
)</f>
        <v>Battery Defect</v>
      </c>
      <c r="O24" s="16" t="str">
        <f>IF(MacReports!I24="Service","Battery Service","")</f>
        <v/>
      </c>
      <c r="P24" s="13">
        <f>MacReports!P24</f>
        <v>0</v>
      </c>
      <c r="Q24" s="13" t="str">
        <f>IF(MacReports!J24="Enabled","Apple ID Lock","")</f>
        <v/>
      </c>
      <c r="R24" s="13" t="str">
        <f>IF(MacReports!L24="y","Remote Locked","")</f>
        <v/>
      </c>
      <c r="S24" t="str">
        <f t="shared" si="2"/>
        <v>Battery Defect, 0</v>
      </c>
      <c r="T24" t="str">
        <f>_xlfn.XLOOKUP(B24,Disk_Pivot!G:G,Disk_Pivot!I:I)</f>
        <v>No</v>
      </c>
      <c r="U24" t="str">
        <f>_xlfn.XLOOKUP(B24,Disk_Pivot!G:G,Disk_Pivot!N:N)</f>
        <v/>
      </c>
      <c r="V24" t="str">
        <f>IF(U24="Fail",MacReports!N24,"")</f>
        <v/>
      </c>
      <c r="AB24" t="str">
        <f t="shared" si="1"/>
        <v/>
      </c>
    </row>
    <row r="25" spans="1:28">
      <c r="A25" t="str">
        <f>MacReports!A25</f>
        <v/>
      </c>
      <c r="B25">
        <f>MacReports!B25</f>
        <v>0</v>
      </c>
      <c r="C25">
        <f>MacReports!C25</f>
        <v>0</v>
      </c>
      <c r="E25" t="e">
        <f>_xlfn.XLOOKUP(G25,Models!A:A,Models!F:F)</f>
        <v>#N/A</v>
      </c>
      <c r="F25" t="str">
        <f>_xlfn.XLOOKUP(B25,MacReports!B:B,MacReports!D:D,"")</f>
        <v/>
      </c>
      <c r="G25" s="13">
        <f>MacReports!E25</f>
        <v>0</v>
      </c>
      <c r="H25" t="e">
        <f>_xlfn.XLOOKUP(G25,Models!A:A,Models!B:B)</f>
        <v>#N/A</v>
      </c>
      <c r="I25" t="e">
        <f>_xlfn.XLOOKUP(G25,Models!A:A,Models!E:E)</f>
        <v>#N/A</v>
      </c>
      <c r="J25" t="e">
        <f>_xlfn.XLOOKUP(G25,Models!A:A,Models!D:D)</f>
        <v>#N/A</v>
      </c>
      <c r="K25">
        <f>MacReports!F25</f>
        <v>0</v>
      </c>
      <c r="L25">
        <f>MacReports!G25</f>
        <v>0</v>
      </c>
      <c r="M25" s="15" t="e" cm="1">
        <f t="array" ref="M25">--_xlfn.LET(
    _xlpm.txt, MacReports!H25,
    _xlpm.chars, MID(_xlpm.txt, _xlfn.SEQUENCE(LEN(_xlpm.txt)), 1),
    _xlfn.TEXTJOIN("", TRUE, IF(ISNUMBER(--_xlpm.chars), _xlpm.chars, ""))
)</f>
        <v>#VALUE!</v>
      </c>
      <c r="N25" s="16" t="str" cm="1">
        <f t="array" ref="N25">_xlfn.IFS(
   --MacReports!M25&lt;55,"Battery Defect",
  -- MacReports!M25&lt;=69,"Battery D",
  --MacReports!M25&lt;=80,"Battery C",
 --MacReports!M25&gt;80,""
)</f>
        <v>Battery Defect</v>
      </c>
      <c r="O25" s="16" t="str">
        <f>IF(MacReports!I25="Service","Battery Service","")</f>
        <v/>
      </c>
      <c r="P25" s="13">
        <f>MacReports!P25</f>
        <v>0</v>
      </c>
      <c r="Q25" s="13" t="str">
        <f>IF(MacReports!J25="Enabled","Apple ID Lock","")</f>
        <v/>
      </c>
      <c r="R25" s="13" t="str">
        <f>IF(MacReports!L25="y","Remote Locked","")</f>
        <v/>
      </c>
      <c r="S25" t="str">
        <f t="shared" si="2"/>
        <v>Battery Defect, 0</v>
      </c>
      <c r="T25" t="str">
        <f>_xlfn.XLOOKUP(B25,Disk_Pivot!G:G,Disk_Pivot!I:I)</f>
        <v>No</v>
      </c>
      <c r="U25" t="str">
        <f>_xlfn.XLOOKUP(B25,Disk_Pivot!G:G,Disk_Pivot!N:N)</f>
        <v/>
      </c>
      <c r="V25" t="str">
        <f>IF(U25="Fail",MacReports!N25,"")</f>
        <v/>
      </c>
      <c r="AB25" t="str">
        <f t="shared" si="1"/>
        <v/>
      </c>
    </row>
    <row r="26" spans="1:28">
      <c r="A26" t="str">
        <f>MacReports!A26</f>
        <v/>
      </c>
      <c r="B26">
        <f>MacReports!B26</f>
        <v>0</v>
      </c>
      <c r="C26">
        <f>MacReports!C26</f>
        <v>0</v>
      </c>
      <c r="E26" t="e">
        <f>_xlfn.XLOOKUP(G26,Models!A:A,Models!F:F)</f>
        <v>#N/A</v>
      </c>
      <c r="F26" t="str">
        <f>_xlfn.XLOOKUP(B26,MacReports!B:B,MacReports!D:D,"")</f>
        <v/>
      </c>
      <c r="G26" s="13">
        <f>MacReports!E26</f>
        <v>0</v>
      </c>
      <c r="H26" t="e">
        <f>_xlfn.XLOOKUP(G26,Models!A:A,Models!B:B)</f>
        <v>#N/A</v>
      </c>
      <c r="I26" t="e">
        <f>_xlfn.XLOOKUP(G26,Models!A:A,Models!E:E)</f>
        <v>#N/A</v>
      </c>
      <c r="J26" t="e">
        <f>_xlfn.XLOOKUP(G26,Models!A:A,Models!D:D)</f>
        <v>#N/A</v>
      </c>
      <c r="K26">
        <f>MacReports!F26</f>
        <v>0</v>
      </c>
      <c r="L26">
        <f>MacReports!G26</f>
        <v>0</v>
      </c>
      <c r="M26" s="15" t="e" cm="1">
        <f t="array" ref="M26">--_xlfn.LET(
    _xlpm.txt, MacReports!H26,
    _xlpm.chars, MID(_xlpm.txt, _xlfn.SEQUENCE(LEN(_xlpm.txt)), 1),
    _xlfn.TEXTJOIN("", TRUE, IF(ISNUMBER(--_xlpm.chars), _xlpm.chars, ""))
)</f>
        <v>#VALUE!</v>
      </c>
      <c r="N26" s="16" t="str" cm="1">
        <f t="array" ref="N26">_xlfn.IFS(
   --MacReports!M26&lt;55,"Battery Defect",
  -- MacReports!M26&lt;=69,"Battery D",
  --MacReports!M26&lt;=80,"Battery C",
 --MacReports!M26&gt;80,""
)</f>
        <v>Battery Defect</v>
      </c>
      <c r="O26" s="16" t="str">
        <f>IF(MacReports!I26="Service","Battery Service","")</f>
        <v/>
      </c>
      <c r="P26" s="13">
        <f>MacReports!P26</f>
        <v>0</v>
      </c>
      <c r="Q26" s="13" t="str">
        <f>IF(MacReports!J26="Enabled","Apple ID Lock","")</f>
        <v/>
      </c>
      <c r="R26" s="13" t="str">
        <f>IF(MacReports!L26="y","Remote Locked","")</f>
        <v/>
      </c>
      <c r="S26" t="str">
        <f t="shared" si="2"/>
        <v>Battery Defect, 0</v>
      </c>
      <c r="T26" t="str">
        <f>_xlfn.XLOOKUP(B26,Disk_Pivot!G:G,Disk_Pivot!I:I)</f>
        <v>No</v>
      </c>
      <c r="U26" t="str">
        <f>_xlfn.XLOOKUP(B26,Disk_Pivot!G:G,Disk_Pivot!N:N)</f>
        <v/>
      </c>
      <c r="V26" t="str">
        <f>IF(U26="Fail",MacReports!N26,"")</f>
        <v/>
      </c>
      <c r="AB26" t="str">
        <f t="shared" si="1"/>
        <v/>
      </c>
    </row>
    <row r="27" spans="1:28">
      <c r="A27" t="str">
        <f>MacReports!A27</f>
        <v/>
      </c>
      <c r="B27">
        <f>MacReports!B27</f>
        <v>0</v>
      </c>
      <c r="C27">
        <f>MacReports!C27</f>
        <v>0</v>
      </c>
      <c r="E27" t="e">
        <f>_xlfn.XLOOKUP(G27,Models!A:A,Models!F:F)</f>
        <v>#N/A</v>
      </c>
      <c r="F27" t="str">
        <f>_xlfn.XLOOKUP(B27,MacReports!B:B,MacReports!D:D,"")</f>
        <v/>
      </c>
      <c r="G27" s="13">
        <f>MacReports!E27</f>
        <v>0</v>
      </c>
      <c r="H27" t="e">
        <f>_xlfn.XLOOKUP(G27,Models!A:A,Models!B:B)</f>
        <v>#N/A</v>
      </c>
      <c r="I27" t="e">
        <f>_xlfn.XLOOKUP(G27,Models!A:A,Models!E:E)</f>
        <v>#N/A</v>
      </c>
      <c r="J27" t="e">
        <f>_xlfn.XLOOKUP(G27,Models!A:A,Models!D:D)</f>
        <v>#N/A</v>
      </c>
      <c r="K27">
        <f>MacReports!F27</f>
        <v>0</v>
      </c>
      <c r="L27">
        <f>MacReports!G27</f>
        <v>0</v>
      </c>
      <c r="M27" s="15" t="e" cm="1">
        <f t="array" ref="M27">--_xlfn.LET(
    _xlpm.txt, MacReports!H27,
    _xlpm.chars, MID(_xlpm.txt, _xlfn.SEQUENCE(LEN(_xlpm.txt)), 1),
    _xlfn.TEXTJOIN("", TRUE, IF(ISNUMBER(--_xlpm.chars), _xlpm.chars, ""))
)</f>
        <v>#VALUE!</v>
      </c>
      <c r="N27" s="16" t="str" cm="1">
        <f t="array" ref="N27">_xlfn.IFS(
   --MacReports!M27&lt;55,"Battery Defect",
  -- MacReports!M27&lt;=69,"Battery D",
  --MacReports!M27&lt;=80,"Battery C",
 --MacReports!M27&gt;80,""
)</f>
        <v>Battery Defect</v>
      </c>
      <c r="O27" s="16" t="str">
        <f>IF(MacReports!I27="Service","Battery Service","")</f>
        <v/>
      </c>
      <c r="P27" s="13">
        <f>MacReports!P27</f>
        <v>0</v>
      </c>
      <c r="Q27" s="13" t="str">
        <f>IF(MacReports!J27="Enabled","Apple ID Lock","")</f>
        <v/>
      </c>
      <c r="R27" s="13" t="str">
        <f>IF(MacReports!L27="y","Remote Locked","")</f>
        <v/>
      </c>
      <c r="S27" t="str">
        <f t="shared" si="2"/>
        <v>Battery Defect, 0</v>
      </c>
      <c r="T27" t="str">
        <f>_xlfn.XLOOKUP(B27,Disk_Pivot!G:G,Disk_Pivot!I:I)</f>
        <v>No</v>
      </c>
      <c r="U27" t="str">
        <f>_xlfn.XLOOKUP(B27,Disk_Pivot!G:G,Disk_Pivot!N:N)</f>
        <v/>
      </c>
      <c r="V27" t="str">
        <f>IF(U27="Fail",MacReports!N27,"")</f>
        <v/>
      </c>
      <c r="AB27" t="str">
        <f t="shared" si="1"/>
        <v/>
      </c>
    </row>
    <row r="28" spans="1:28">
      <c r="A28" t="str">
        <f>MacReports!A28</f>
        <v/>
      </c>
      <c r="B28">
        <f>MacReports!B28</f>
        <v>0</v>
      </c>
      <c r="C28">
        <f>MacReports!C28</f>
        <v>0</v>
      </c>
      <c r="E28" t="e">
        <f>_xlfn.XLOOKUP(G28,Models!A:A,Models!F:F)</f>
        <v>#N/A</v>
      </c>
      <c r="F28" t="str">
        <f>_xlfn.XLOOKUP(B28,MacReports!B:B,MacReports!D:D,"")</f>
        <v/>
      </c>
      <c r="G28" s="13">
        <f>MacReports!E28</f>
        <v>0</v>
      </c>
      <c r="H28" t="e">
        <f>_xlfn.XLOOKUP(G28,Models!A:A,Models!B:B)</f>
        <v>#N/A</v>
      </c>
      <c r="I28" t="e">
        <f>_xlfn.XLOOKUP(G28,Models!A:A,Models!E:E)</f>
        <v>#N/A</v>
      </c>
      <c r="J28" t="e">
        <f>_xlfn.XLOOKUP(G28,Models!A:A,Models!D:D)</f>
        <v>#N/A</v>
      </c>
      <c r="K28">
        <f>MacReports!F28</f>
        <v>0</v>
      </c>
      <c r="L28">
        <f>MacReports!G28</f>
        <v>0</v>
      </c>
      <c r="M28" s="15" t="e" cm="1">
        <f t="array" ref="M28">--_xlfn.LET(
    _xlpm.txt, MacReports!H28,
    _xlpm.chars, MID(_xlpm.txt, _xlfn.SEQUENCE(LEN(_xlpm.txt)), 1),
    _xlfn.TEXTJOIN("", TRUE, IF(ISNUMBER(--_xlpm.chars), _xlpm.chars, ""))
)</f>
        <v>#VALUE!</v>
      </c>
      <c r="N28" s="16" t="str" cm="1">
        <f t="array" ref="N28">_xlfn.IFS(
   --MacReports!M28&lt;55,"Battery Defect",
  -- MacReports!M28&lt;=69,"Battery D",
  --MacReports!M28&lt;=80,"Battery C",
 --MacReports!M28&gt;80,""
)</f>
        <v>Battery Defect</v>
      </c>
      <c r="O28" s="16" t="str">
        <f>IF(MacReports!I28="Service","Battery Service","")</f>
        <v/>
      </c>
      <c r="P28" s="13">
        <f>MacReports!P28</f>
        <v>0</v>
      </c>
      <c r="Q28" s="13" t="str">
        <f>IF(MacReports!J28="Enabled","Apple ID Lock","")</f>
        <v/>
      </c>
      <c r="R28" s="13" t="str">
        <f>IF(MacReports!L28="y","Remote Locked","")</f>
        <v/>
      </c>
      <c r="S28" t="str">
        <f t="shared" si="2"/>
        <v>Battery Defect, 0</v>
      </c>
      <c r="T28" t="str">
        <f>_xlfn.XLOOKUP(B28,Disk_Pivot!G:G,Disk_Pivot!I:I)</f>
        <v>No</v>
      </c>
      <c r="U28" t="str">
        <f>_xlfn.XLOOKUP(B28,Disk_Pivot!G:G,Disk_Pivot!N:N)</f>
        <v/>
      </c>
      <c r="V28" t="str">
        <f>IF(U28="Fail",MacReports!N28,"")</f>
        <v/>
      </c>
      <c r="AB28" t="str">
        <f t="shared" si="1"/>
        <v/>
      </c>
    </row>
    <row r="29" spans="1:28">
      <c r="A29" t="str">
        <f>MacReports!A29</f>
        <v/>
      </c>
      <c r="B29">
        <f>MacReports!B29</f>
        <v>0</v>
      </c>
      <c r="C29">
        <f>MacReports!C29</f>
        <v>0</v>
      </c>
      <c r="E29" t="e">
        <f>_xlfn.XLOOKUP(G29,Models!A:A,Models!F:F)</f>
        <v>#N/A</v>
      </c>
      <c r="F29" t="str">
        <f>_xlfn.XLOOKUP(B29,MacReports!B:B,MacReports!D:D,"")</f>
        <v/>
      </c>
      <c r="G29" s="13">
        <f>MacReports!E29</f>
        <v>0</v>
      </c>
      <c r="H29" t="e">
        <f>_xlfn.XLOOKUP(G29,Models!A:A,Models!B:B)</f>
        <v>#N/A</v>
      </c>
      <c r="I29" t="e">
        <f>_xlfn.XLOOKUP(G29,Models!A:A,Models!E:E)</f>
        <v>#N/A</v>
      </c>
      <c r="J29" t="e">
        <f>_xlfn.XLOOKUP(G29,Models!A:A,Models!D:D)</f>
        <v>#N/A</v>
      </c>
      <c r="K29">
        <f>MacReports!F29</f>
        <v>0</v>
      </c>
      <c r="L29">
        <f>MacReports!G29</f>
        <v>0</v>
      </c>
      <c r="M29" s="15" t="e" cm="1">
        <f t="array" ref="M29">--_xlfn.LET(
    _xlpm.txt, MacReports!H29,
    _xlpm.chars, MID(_xlpm.txt, _xlfn.SEQUENCE(LEN(_xlpm.txt)), 1),
    _xlfn.TEXTJOIN("", TRUE, IF(ISNUMBER(--_xlpm.chars), _xlpm.chars, ""))
)</f>
        <v>#VALUE!</v>
      </c>
      <c r="N29" s="16" t="str" cm="1">
        <f t="array" ref="N29">_xlfn.IFS(
   --MacReports!M29&lt;55,"Battery Defect",
  -- MacReports!M29&lt;=69,"Battery D",
  --MacReports!M29&lt;=80,"Battery C",
 --MacReports!M29&gt;80,""
)</f>
        <v>Battery Defect</v>
      </c>
      <c r="O29" s="16" t="str">
        <f>IF(MacReports!I29="Service","Battery Service","")</f>
        <v/>
      </c>
      <c r="P29" s="13">
        <f>MacReports!P29</f>
        <v>0</v>
      </c>
      <c r="Q29" s="13" t="str">
        <f>IF(MacReports!J29="Enabled","Apple ID Lock","")</f>
        <v/>
      </c>
      <c r="R29" s="13" t="str">
        <f>IF(MacReports!L29="y","Remote Locked","")</f>
        <v/>
      </c>
      <c r="S29" t="str">
        <f t="shared" si="2"/>
        <v>Battery Defect, 0</v>
      </c>
      <c r="T29" t="str">
        <f>_xlfn.XLOOKUP(B29,Disk_Pivot!G:G,Disk_Pivot!I:I)</f>
        <v>No</v>
      </c>
      <c r="U29" t="str">
        <f>_xlfn.XLOOKUP(B29,Disk_Pivot!G:G,Disk_Pivot!N:N)</f>
        <v/>
      </c>
      <c r="V29" t="str">
        <f>IF(U29="Fail",MacReports!N29,"")</f>
        <v/>
      </c>
      <c r="AB29" t="str">
        <f t="shared" si="1"/>
        <v/>
      </c>
    </row>
    <row r="30" spans="1:28">
      <c r="A30" t="str">
        <f>MacReports!A30</f>
        <v/>
      </c>
      <c r="B30">
        <f>MacReports!B30</f>
        <v>0</v>
      </c>
      <c r="C30">
        <f>MacReports!C30</f>
        <v>0</v>
      </c>
      <c r="E30" t="e">
        <f>_xlfn.XLOOKUP(G30,Models!A:A,Models!F:F)</f>
        <v>#N/A</v>
      </c>
      <c r="F30" t="str">
        <f>_xlfn.XLOOKUP(B30,MacReports!B:B,MacReports!D:D,"")</f>
        <v/>
      </c>
      <c r="G30" s="13">
        <f>MacReports!E30</f>
        <v>0</v>
      </c>
      <c r="H30" t="e">
        <f>_xlfn.XLOOKUP(G30,Models!A:A,Models!B:B)</f>
        <v>#N/A</v>
      </c>
      <c r="I30" t="e">
        <f>_xlfn.XLOOKUP(G30,Models!A:A,Models!E:E)</f>
        <v>#N/A</v>
      </c>
      <c r="J30" t="e">
        <f>_xlfn.XLOOKUP(G30,Models!A:A,Models!D:D)</f>
        <v>#N/A</v>
      </c>
      <c r="K30">
        <f>MacReports!F30</f>
        <v>0</v>
      </c>
      <c r="L30">
        <f>MacReports!G30</f>
        <v>0</v>
      </c>
      <c r="M30" s="15" t="e" cm="1">
        <f t="array" ref="M30">--_xlfn.LET(
    _xlpm.txt, MacReports!H30,
    _xlpm.chars, MID(_xlpm.txt, _xlfn.SEQUENCE(LEN(_xlpm.txt)), 1),
    _xlfn.TEXTJOIN("", TRUE, IF(ISNUMBER(--_xlpm.chars), _xlpm.chars, ""))
)</f>
        <v>#VALUE!</v>
      </c>
      <c r="N30" s="16" t="str" cm="1">
        <f t="array" ref="N30">_xlfn.IFS(
   --MacReports!M30&lt;55,"Battery Defect",
  -- MacReports!M30&lt;=69,"Battery D",
  --MacReports!M30&lt;=80,"Battery C",
 --MacReports!M30&gt;80,""
)</f>
        <v>Battery Defect</v>
      </c>
      <c r="O30" s="16" t="str">
        <f>IF(MacReports!I30="Service","Battery Service","")</f>
        <v/>
      </c>
      <c r="P30" s="13">
        <f>MacReports!P30</f>
        <v>0</v>
      </c>
      <c r="Q30" s="13" t="str">
        <f>IF(MacReports!J30="Enabled","Apple ID Lock","")</f>
        <v/>
      </c>
      <c r="R30" s="13" t="str">
        <f>IF(MacReports!L30="y","Remote Locked","")</f>
        <v/>
      </c>
      <c r="S30" t="str">
        <f t="shared" si="2"/>
        <v>Battery Defect, 0</v>
      </c>
      <c r="T30" t="str">
        <f>_xlfn.XLOOKUP(B30,Disk_Pivot!G:G,Disk_Pivot!I:I)</f>
        <v>No</v>
      </c>
      <c r="U30" t="str">
        <f>_xlfn.XLOOKUP(B30,Disk_Pivot!G:G,Disk_Pivot!N:N)</f>
        <v/>
      </c>
      <c r="V30" t="str">
        <f>IF(U30="Fail",MacReports!N30,"")</f>
        <v/>
      </c>
      <c r="AB30" t="str">
        <f t="shared" si="1"/>
        <v/>
      </c>
    </row>
    <row r="31" spans="1:28">
      <c r="A31" t="str">
        <f>MacReports!A31</f>
        <v/>
      </c>
      <c r="B31">
        <f>MacReports!B31</f>
        <v>0</v>
      </c>
      <c r="C31">
        <f>MacReports!C31</f>
        <v>0</v>
      </c>
      <c r="E31" t="e">
        <f>_xlfn.XLOOKUP(G31,Models!A:A,Models!F:F)</f>
        <v>#N/A</v>
      </c>
      <c r="F31" t="str">
        <f>_xlfn.XLOOKUP(B31,MacReports!B:B,MacReports!D:D,"")</f>
        <v/>
      </c>
      <c r="G31" s="13">
        <f>MacReports!E31</f>
        <v>0</v>
      </c>
      <c r="H31" t="e">
        <f>_xlfn.XLOOKUP(G31,Models!A:A,Models!B:B)</f>
        <v>#N/A</v>
      </c>
      <c r="I31" t="e">
        <f>_xlfn.XLOOKUP(G31,Models!A:A,Models!E:E)</f>
        <v>#N/A</v>
      </c>
      <c r="J31" t="e">
        <f>_xlfn.XLOOKUP(G31,Models!A:A,Models!D:D)</f>
        <v>#N/A</v>
      </c>
      <c r="K31">
        <f>MacReports!F31</f>
        <v>0</v>
      </c>
      <c r="L31">
        <f>MacReports!G31</f>
        <v>0</v>
      </c>
      <c r="M31" s="15" t="e" cm="1">
        <f t="array" ref="M31">--_xlfn.LET(
    _xlpm.txt, MacReports!H31,
    _xlpm.chars, MID(_xlpm.txt, _xlfn.SEQUENCE(LEN(_xlpm.txt)), 1),
    _xlfn.TEXTJOIN("", TRUE, IF(ISNUMBER(--_xlpm.chars), _xlpm.chars, ""))
)</f>
        <v>#VALUE!</v>
      </c>
      <c r="N31" s="16" t="str" cm="1">
        <f t="array" ref="N31">_xlfn.IFS(
   --MacReports!M31&lt;55,"Battery Defect",
  -- MacReports!M31&lt;=69,"Battery D",
  --MacReports!M31&lt;=80,"Battery C",
 --MacReports!M31&gt;80,""
)</f>
        <v>Battery Defect</v>
      </c>
      <c r="O31" s="16" t="str">
        <f>IF(MacReports!I31="Service","Battery Service","")</f>
        <v/>
      </c>
      <c r="P31" s="13">
        <f>MacReports!P31</f>
        <v>0</v>
      </c>
      <c r="Q31" s="13" t="str">
        <f>IF(MacReports!J31="Enabled","Apple ID Lock","")</f>
        <v/>
      </c>
      <c r="R31" s="13" t="str">
        <f>IF(MacReports!L31="y","Remote Locked","")</f>
        <v/>
      </c>
      <c r="S31" t="str">
        <f t="shared" si="2"/>
        <v>Battery Defect, 0</v>
      </c>
      <c r="T31" t="str">
        <f>_xlfn.XLOOKUP(B31,Disk_Pivot!G:G,Disk_Pivot!I:I)</f>
        <v>No</v>
      </c>
      <c r="U31" t="str">
        <f>_xlfn.XLOOKUP(B31,Disk_Pivot!G:G,Disk_Pivot!N:N)</f>
        <v/>
      </c>
      <c r="V31" t="str">
        <f>IF(U31="Fail",MacReports!N31,"")</f>
        <v/>
      </c>
      <c r="AB31" t="str">
        <f t="shared" si="1"/>
        <v/>
      </c>
    </row>
    <row r="32" spans="1:28">
      <c r="A32" t="str">
        <f>MacReports!A32</f>
        <v/>
      </c>
      <c r="B32">
        <f>MacReports!B32</f>
        <v>0</v>
      </c>
      <c r="C32">
        <f>MacReports!C32</f>
        <v>0</v>
      </c>
      <c r="E32" t="e">
        <f>_xlfn.XLOOKUP(G32,Models!A:A,Models!F:F)</f>
        <v>#N/A</v>
      </c>
      <c r="F32" t="str">
        <f>_xlfn.XLOOKUP(B32,MacReports!B:B,MacReports!D:D,"")</f>
        <v/>
      </c>
      <c r="G32" s="13">
        <f>MacReports!E32</f>
        <v>0</v>
      </c>
      <c r="H32" t="e">
        <f>_xlfn.XLOOKUP(G32,Models!A:A,Models!B:B)</f>
        <v>#N/A</v>
      </c>
      <c r="I32" t="e">
        <f>_xlfn.XLOOKUP(G32,Models!A:A,Models!E:E)</f>
        <v>#N/A</v>
      </c>
      <c r="J32" t="e">
        <f>_xlfn.XLOOKUP(G32,Models!A:A,Models!D:D)</f>
        <v>#N/A</v>
      </c>
      <c r="K32">
        <f>MacReports!F32</f>
        <v>0</v>
      </c>
      <c r="L32">
        <f>MacReports!G32</f>
        <v>0</v>
      </c>
      <c r="M32" s="15" t="e" cm="1">
        <f t="array" ref="M32">--_xlfn.LET(
    _xlpm.txt, MacReports!H32,
    _xlpm.chars, MID(_xlpm.txt, _xlfn.SEQUENCE(LEN(_xlpm.txt)), 1),
    _xlfn.TEXTJOIN("", TRUE, IF(ISNUMBER(--_xlpm.chars), _xlpm.chars, ""))
)</f>
        <v>#VALUE!</v>
      </c>
      <c r="N32" s="16" t="str" cm="1">
        <f t="array" ref="N32">_xlfn.IFS(
   --MacReports!M32&lt;55,"Battery Defect",
  -- MacReports!M32&lt;=69,"Battery D",
  --MacReports!M32&lt;=80,"Battery C",
 --MacReports!M32&gt;80,""
)</f>
        <v>Battery Defect</v>
      </c>
      <c r="O32" s="16" t="str">
        <f>IF(MacReports!I32="Service","Battery Service","")</f>
        <v/>
      </c>
      <c r="P32" s="13">
        <f>MacReports!P32</f>
        <v>0</v>
      </c>
      <c r="Q32" s="13" t="str">
        <f>IF(MacReports!J32="Enabled","Apple ID Lock","")</f>
        <v/>
      </c>
      <c r="R32" s="13" t="str">
        <f>IF(MacReports!L32="y","Remote Locked","")</f>
        <v/>
      </c>
      <c r="S32" t="str">
        <f t="shared" si="2"/>
        <v>Battery Defect, 0</v>
      </c>
      <c r="T32" t="str">
        <f>_xlfn.XLOOKUP(B32,Disk_Pivot!G:G,Disk_Pivot!I:I)</f>
        <v>No</v>
      </c>
      <c r="U32" t="str">
        <f>_xlfn.XLOOKUP(B32,Disk_Pivot!G:G,Disk_Pivot!N:N)</f>
        <v/>
      </c>
      <c r="V32" t="str">
        <f>IF(U32="Fail",MacReports!N32,"")</f>
        <v/>
      </c>
      <c r="AB32" t="str">
        <f t="shared" si="1"/>
        <v/>
      </c>
    </row>
    <row r="33" spans="1:28">
      <c r="A33" t="str">
        <f>MacReports!A33</f>
        <v/>
      </c>
      <c r="B33">
        <f>MacReports!B33</f>
        <v>0</v>
      </c>
      <c r="C33">
        <f>MacReports!C33</f>
        <v>0</v>
      </c>
      <c r="E33" t="e">
        <f>_xlfn.XLOOKUP(G33,Models!A:A,Models!F:F)</f>
        <v>#N/A</v>
      </c>
      <c r="F33" t="str">
        <f>_xlfn.XLOOKUP(B33,MacReports!B:B,MacReports!D:D,"")</f>
        <v/>
      </c>
      <c r="G33" s="13">
        <f>MacReports!E33</f>
        <v>0</v>
      </c>
      <c r="H33" t="e">
        <f>_xlfn.XLOOKUP(G33,Models!A:A,Models!B:B)</f>
        <v>#N/A</v>
      </c>
      <c r="I33" t="e">
        <f>_xlfn.XLOOKUP(G33,Models!A:A,Models!E:E)</f>
        <v>#N/A</v>
      </c>
      <c r="J33" t="e">
        <f>_xlfn.XLOOKUP(G33,Models!A:A,Models!D:D)</f>
        <v>#N/A</v>
      </c>
      <c r="K33">
        <f>MacReports!F33</f>
        <v>0</v>
      </c>
      <c r="L33">
        <f>MacReports!G33</f>
        <v>0</v>
      </c>
      <c r="M33" s="15" t="e" cm="1">
        <f t="array" ref="M33">--_xlfn.LET(
    _xlpm.txt, MacReports!H33,
    _xlpm.chars, MID(_xlpm.txt, _xlfn.SEQUENCE(LEN(_xlpm.txt)), 1),
    _xlfn.TEXTJOIN("", TRUE, IF(ISNUMBER(--_xlpm.chars), _xlpm.chars, ""))
)</f>
        <v>#VALUE!</v>
      </c>
      <c r="N33" s="16" t="str" cm="1">
        <f t="array" ref="N33">_xlfn.IFS(
   --MacReports!M33&lt;55,"Battery Defect",
  -- MacReports!M33&lt;=69,"Battery D",
  --MacReports!M33&lt;=80,"Battery C",
 --MacReports!M33&gt;80,""
)</f>
        <v>Battery Defect</v>
      </c>
      <c r="O33" s="16" t="str">
        <f>IF(MacReports!I33="Service","Battery Service","")</f>
        <v/>
      </c>
      <c r="P33" s="13">
        <f>MacReports!P33</f>
        <v>0</v>
      </c>
      <c r="Q33" s="13" t="str">
        <f>IF(MacReports!J33="Enabled","Apple ID Lock","")</f>
        <v/>
      </c>
      <c r="R33" s="13" t="str">
        <f>IF(MacReports!L33="y","Remote Locked","")</f>
        <v/>
      </c>
      <c r="S33" t="str">
        <f t="shared" si="2"/>
        <v>Battery Defect, 0</v>
      </c>
      <c r="T33" t="str">
        <f>_xlfn.XLOOKUP(B33,Disk_Pivot!G:G,Disk_Pivot!I:I)</f>
        <v>No</v>
      </c>
      <c r="U33" t="str">
        <f>_xlfn.XLOOKUP(B33,Disk_Pivot!G:G,Disk_Pivot!N:N)</f>
        <v/>
      </c>
      <c r="V33" t="str">
        <f>IF(U33="Fail",MacReports!N33,"")</f>
        <v/>
      </c>
      <c r="AB33" t="str">
        <f t="shared" si="1"/>
        <v/>
      </c>
    </row>
    <row r="34" spans="1:28">
      <c r="A34" t="str">
        <f>MacReports!A34</f>
        <v/>
      </c>
      <c r="B34">
        <f>MacReports!B34</f>
        <v>0</v>
      </c>
      <c r="C34">
        <f>MacReports!C34</f>
        <v>0</v>
      </c>
      <c r="E34" t="e">
        <f>_xlfn.XLOOKUP(G34,Models!A:A,Models!F:F)</f>
        <v>#N/A</v>
      </c>
      <c r="F34" t="str">
        <f>_xlfn.XLOOKUP(B34,MacReports!B:B,MacReports!D:D,"")</f>
        <v/>
      </c>
      <c r="G34" s="13">
        <f>MacReports!E34</f>
        <v>0</v>
      </c>
      <c r="H34" t="e">
        <f>_xlfn.XLOOKUP(G34,Models!A:A,Models!B:B)</f>
        <v>#N/A</v>
      </c>
      <c r="I34" t="e">
        <f>_xlfn.XLOOKUP(G34,Models!A:A,Models!E:E)</f>
        <v>#N/A</v>
      </c>
      <c r="J34" t="e">
        <f>_xlfn.XLOOKUP(G34,Models!A:A,Models!D:D)</f>
        <v>#N/A</v>
      </c>
      <c r="K34">
        <f>MacReports!F34</f>
        <v>0</v>
      </c>
      <c r="L34">
        <f>MacReports!G34</f>
        <v>0</v>
      </c>
      <c r="M34" s="15" t="e" cm="1">
        <f t="array" ref="M34">--_xlfn.LET(
    _xlpm.txt, MacReports!H34,
    _xlpm.chars, MID(_xlpm.txt, _xlfn.SEQUENCE(LEN(_xlpm.txt)), 1),
    _xlfn.TEXTJOIN("", TRUE, IF(ISNUMBER(--_xlpm.chars), _xlpm.chars, ""))
)</f>
        <v>#VALUE!</v>
      </c>
      <c r="N34" s="16" t="str" cm="1">
        <f t="array" ref="N34">_xlfn.IFS(
   --MacReports!M34&lt;55,"Battery Defect",
  -- MacReports!M34&lt;=69,"Battery D",
  --MacReports!M34&lt;=80,"Battery C",
 --MacReports!M34&gt;80,""
)</f>
        <v>Battery Defect</v>
      </c>
      <c r="O34" s="16" t="str">
        <f>IF(MacReports!I34="Service","Battery Service","")</f>
        <v/>
      </c>
      <c r="P34" s="13">
        <f>MacReports!P34</f>
        <v>0</v>
      </c>
      <c r="Q34" s="13" t="str">
        <f>IF(MacReports!J34="Enabled","Apple ID Lock","")</f>
        <v/>
      </c>
      <c r="R34" s="13" t="str">
        <f>IF(MacReports!L34="y","Remote Locked","")</f>
        <v/>
      </c>
      <c r="S34" t="str">
        <f t="shared" si="2"/>
        <v>Battery Defect, 0</v>
      </c>
      <c r="T34" t="str">
        <f>_xlfn.XLOOKUP(B34,Disk_Pivot!G:G,Disk_Pivot!I:I)</f>
        <v>No</v>
      </c>
      <c r="U34" t="str">
        <f>_xlfn.XLOOKUP(B34,Disk_Pivot!G:G,Disk_Pivot!N:N)</f>
        <v/>
      </c>
      <c r="V34" t="str">
        <f>IF(U34="Fail",MacReports!N34,"")</f>
        <v/>
      </c>
      <c r="AB34" t="str">
        <f t="shared" si="1"/>
        <v/>
      </c>
    </row>
    <row r="35" spans="1:28">
      <c r="A35">
        <f>MacReports!A35</f>
        <v>0</v>
      </c>
      <c r="B35">
        <f>MacReports!B35</f>
        <v>0</v>
      </c>
      <c r="C35">
        <f>MacReports!C35</f>
        <v>0</v>
      </c>
      <c r="E35" t="e">
        <f>_xlfn.XLOOKUP(G35,Models!A:A,Models!F:F)</f>
        <v>#N/A</v>
      </c>
      <c r="F35" t="str">
        <f>_xlfn.XLOOKUP(B35,MacReports!B:B,MacReports!D:D,"")</f>
        <v/>
      </c>
      <c r="G35" s="13">
        <f>MacReports!E35</f>
        <v>0</v>
      </c>
      <c r="H35" t="e">
        <f>_xlfn.XLOOKUP(G35,Models!A:A,Models!B:B)</f>
        <v>#N/A</v>
      </c>
      <c r="I35" t="e">
        <f>_xlfn.XLOOKUP(G35,Models!A:A,Models!E:E)</f>
        <v>#N/A</v>
      </c>
      <c r="J35" t="e">
        <f>_xlfn.XLOOKUP(G35,Models!A:A,Models!D:D)</f>
        <v>#N/A</v>
      </c>
      <c r="K35">
        <f>MacReports!F35</f>
        <v>0</v>
      </c>
      <c r="L35">
        <f>MacReports!G35</f>
        <v>0</v>
      </c>
      <c r="M35" s="15" t="e" cm="1">
        <f t="array" ref="M35">--_xlfn.LET(
    _xlpm.txt, MacReports!H35,
    _xlpm.chars, MID(_xlpm.txt, _xlfn.SEQUENCE(LEN(_xlpm.txt)), 1),
    _xlfn.TEXTJOIN("", TRUE, IF(ISNUMBER(--_xlpm.chars), _xlpm.chars, ""))
)</f>
        <v>#VALUE!</v>
      </c>
      <c r="N35" s="16" t="str" cm="1">
        <f t="array" ref="N35">_xlfn.IFS(
   --MacReports!M35&lt;55,"Battery Defect",
  -- MacReports!M35&lt;=69,"Battery D",
  --MacReports!M35&lt;=80,"Battery C",
 --MacReports!M35&gt;80,""
)</f>
        <v>Battery Defect</v>
      </c>
      <c r="O35" s="16" t="str">
        <f>IF(MacReports!I35="Service","Battery Service","")</f>
        <v/>
      </c>
      <c r="P35" s="13">
        <f>MacReports!P35</f>
        <v>0</v>
      </c>
      <c r="Q35" s="13" t="str">
        <f>IF(MacReports!J35="Enabled","Apple ID Lock","")</f>
        <v/>
      </c>
      <c r="R35" s="13" t="str">
        <f>IF(MacReports!L35="y","Remote Locked","")</f>
        <v/>
      </c>
      <c r="S35" t="str">
        <f t="shared" si="2"/>
        <v>Battery Defect, 0</v>
      </c>
      <c r="T35" t="str">
        <f>_xlfn.XLOOKUP(B35,Disk_Pivot!G:G,Disk_Pivot!I:I)</f>
        <v>No</v>
      </c>
      <c r="U35" t="str">
        <f>_xlfn.XLOOKUP(B35,Disk_Pivot!G:G,Disk_Pivot!N:N)</f>
        <v/>
      </c>
      <c r="V35" t="str">
        <f>IF(U35="Fail",MacReports!N35,"")</f>
        <v/>
      </c>
      <c r="AB35" t="str">
        <f t="shared" si="1"/>
        <v/>
      </c>
    </row>
    <row r="36" spans="1:28">
      <c r="A36">
        <f>MacReports!A36</f>
        <v>0</v>
      </c>
      <c r="B36">
        <f>MacReports!B36</f>
        <v>0</v>
      </c>
      <c r="C36">
        <f>MacReports!C36</f>
        <v>0</v>
      </c>
      <c r="E36" t="e">
        <f>_xlfn.XLOOKUP(G36,Models!A:A,Models!F:F)</f>
        <v>#N/A</v>
      </c>
      <c r="F36" t="str">
        <f>_xlfn.XLOOKUP(B36,MacReports!B:B,MacReports!D:D,"")</f>
        <v/>
      </c>
      <c r="G36" s="13">
        <f>MacReports!E36</f>
        <v>0</v>
      </c>
      <c r="H36" t="e">
        <f>_xlfn.XLOOKUP(G36,Models!A:A,Models!B:B)</f>
        <v>#N/A</v>
      </c>
      <c r="I36" t="e">
        <f>_xlfn.XLOOKUP(G36,Models!A:A,Models!E:E)</f>
        <v>#N/A</v>
      </c>
      <c r="J36" t="e">
        <f>_xlfn.XLOOKUP(G36,Models!A:A,Models!D:D)</f>
        <v>#N/A</v>
      </c>
      <c r="K36">
        <f>MacReports!F36</f>
        <v>0</v>
      </c>
      <c r="L36">
        <f>MacReports!G36</f>
        <v>0</v>
      </c>
      <c r="M36" s="15" t="e" cm="1">
        <f t="array" ref="M36">--_xlfn.LET(
    _xlpm.txt, MacReports!H36,
    _xlpm.chars, MID(_xlpm.txt, _xlfn.SEQUENCE(LEN(_xlpm.txt)), 1),
    _xlfn.TEXTJOIN("", TRUE, IF(ISNUMBER(--_xlpm.chars), _xlpm.chars, ""))
)</f>
        <v>#VALUE!</v>
      </c>
      <c r="N36" s="16" t="str" cm="1">
        <f t="array" ref="N36">_xlfn.IFS(
   --MacReports!M36&lt;55,"Battery Defect",
  -- MacReports!M36&lt;=69,"Battery D",
  --MacReports!M36&lt;=80,"Battery C",
 --MacReports!M36&gt;80,""
)</f>
        <v>Battery Defect</v>
      </c>
      <c r="O36" s="16" t="str">
        <f>IF(MacReports!I36="Service","Battery Service","")</f>
        <v/>
      </c>
      <c r="P36" s="13">
        <f>MacReports!P36</f>
        <v>0</v>
      </c>
      <c r="Q36" s="13" t="str">
        <f>IF(MacReports!J36="Enabled","Apple ID Lock","")</f>
        <v/>
      </c>
      <c r="R36" s="13" t="str">
        <f>IF(MacReports!L36="y","Remote Locked","")</f>
        <v/>
      </c>
      <c r="S36" t="str">
        <f t="shared" si="2"/>
        <v>Battery Defect, 0</v>
      </c>
      <c r="T36" t="str">
        <f>_xlfn.XLOOKUP(B36,Disk_Pivot!G:G,Disk_Pivot!I:I)</f>
        <v>No</v>
      </c>
      <c r="U36" t="str">
        <f>_xlfn.XLOOKUP(B36,Disk_Pivot!G:G,Disk_Pivot!N:N)</f>
        <v/>
      </c>
      <c r="V36" t="str">
        <f>IF(U36="Fail",MacReports!N36,"")</f>
        <v/>
      </c>
      <c r="AB36" t="str">
        <f t="shared" si="1"/>
        <v/>
      </c>
    </row>
    <row r="37" spans="1:28">
      <c r="A37">
        <f>MacReports!A37</f>
        <v>0</v>
      </c>
      <c r="B37">
        <f>MacReports!B37</f>
        <v>0</v>
      </c>
      <c r="C37">
        <f>MacReports!C37</f>
        <v>0</v>
      </c>
      <c r="E37" t="e">
        <f>_xlfn.XLOOKUP(G37,Models!A:A,Models!F:F)</f>
        <v>#N/A</v>
      </c>
      <c r="F37" t="str">
        <f>_xlfn.XLOOKUP(B37,MacReports!B:B,MacReports!D:D,"")</f>
        <v/>
      </c>
      <c r="G37" s="13">
        <f>MacReports!E37</f>
        <v>0</v>
      </c>
      <c r="H37" t="e">
        <f>_xlfn.XLOOKUP(G37,Models!A:A,Models!B:B)</f>
        <v>#N/A</v>
      </c>
      <c r="I37" t="e">
        <f>_xlfn.XLOOKUP(G37,Models!A:A,Models!E:E)</f>
        <v>#N/A</v>
      </c>
      <c r="J37" t="e">
        <f>_xlfn.XLOOKUP(G37,Models!A:A,Models!D:D)</f>
        <v>#N/A</v>
      </c>
      <c r="K37">
        <f>MacReports!F37</f>
        <v>0</v>
      </c>
      <c r="L37">
        <f>MacReports!G37</f>
        <v>0</v>
      </c>
      <c r="M37" s="15" t="e" cm="1">
        <f t="array" ref="M37">--_xlfn.LET(
    _xlpm.txt, MacReports!H37,
    _xlpm.chars, MID(_xlpm.txt, _xlfn.SEQUENCE(LEN(_xlpm.txt)), 1),
    _xlfn.TEXTJOIN("", TRUE, IF(ISNUMBER(--_xlpm.chars), _xlpm.chars, ""))
)</f>
        <v>#VALUE!</v>
      </c>
      <c r="N37" s="16" t="str" cm="1">
        <f t="array" ref="N37">_xlfn.IFS(
   --MacReports!M37&lt;55,"Battery Defect",
  -- MacReports!M37&lt;=69,"Battery D",
  --MacReports!M37&lt;=80,"Battery C",
 --MacReports!M37&gt;80,""
)</f>
        <v>Battery Defect</v>
      </c>
      <c r="O37" s="16" t="str">
        <f>IF(MacReports!I37="Service","Battery Service","")</f>
        <v/>
      </c>
      <c r="P37" s="13">
        <f>MacReports!P37</f>
        <v>0</v>
      </c>
      <c r="Q37" s="13" t="str">
        <f>IF(MacReports!J37="Enabled","Apple ID Lock","")</f>
        <v/>
      </c>
      <c r="R37" s="13" t="str">
        <f>IF(MacReports!L37="y","Remote Locked","")</f>
        <v/>
      </c>
      <c r="S37" t="str">
        <f t="shared" si="2"/>
        <v>Battery Defect, 0</v>
      </c>
      <c r="T37" t="str">
        <f>_xlfn.XLOOKUP(B37,Disk_Pivot!G:G,Disk_Pivot!I:I)</f>
        <v>No</v>
      </c>
      <c r="U37" t="str">
        <f>_xlfn.XLOOKUP(B37,Disk_Pivot!G:G,Disk_Pivot!N:N)</f>
        <v/>
      </c>
      <c r="V37" t="str">
        <f>IF(U37="Fail",MacReports!N37,"")</f>
        <v/>
      </c>
      <c r="AB37" t="str">
        <f t="shared" si="1"/>
        <v/>
      </c>
    </row>
    <row r="38" spans="1:28">
      <c r="A38">
        <f>MacReports!A38</f>
        <v>0</v>
      </c>
      <c r="B38">
        <f>MacReports!B38</f>
        <v>0</v>
      </c>
      <c r="C38">
        <f>MacReports!C38</f>
        <v>0</v>
      </c>
      <c r="E38" t="e">
        <f>_xlfn.XLOOKUP(G38,Models!A:A,Models!F:F)</f>
        <v>#N/A</v>
      </c>
      <c r="F38" t="str">
        <f>_xlfn.XLOOKUP(B38,MacReports!B:B,MacReports!D:D,"")</f>
        <v/>
      </c>
      <c r="G38" s="13">
        <f>MacReports!E38</f>
        <v>0</v>
      </c>
      <c r="H38" t="e">
        <f>_xlfn.XLOOKUP(G38,Models!A:A,Models!B:B)</f>
        <v>#N/A</v>
      </c>
      <c r="I38" t="e">
        <f>_xlfn.XLOOKUP(G38,Models!A:A,Models!E:E)</f>
        <v>#N/A</v>
      </c>
      <c r="J38" t="e">
        <f>_xlfn.XLOOKUP(G38,Models!A:A,Models!D:D)</f>
        <v>#N/A</v>
      </c>
      <c r="K38">
        <f>MacReports!F38</f>
        <v>0</v>
      </c>
      <c r="L38">
        <f>MacReports!G38</f>
        <v>0</v>
      </c>
      <c r="M38" s="15" t="e" cm="1">
        <f t="array" ref="M38">--_xlfn.LET(
    _xlpm.txt, MacReports!H38,
    _xlpm.chars, MID(_xlpm.txt, _xlfn.SEQUENCE(LEN(_xlpm.txt)), 1),
    _xlfn.TEXTJOIN("", TRUE, IF(ISNUMBER(--_xlpm.chars), _xlpm.chars, ""))
)</f>
        <v>#VALUE!</v>
      </c>
      <c r="N38" s="16" t="str" cm="1">
        <f t="array" ref="N38">_xlfn.IFS(
   --MacReports!M38&lt;55,"Battery Defect",
  -- MacReports!M38&lt;=69,"Battery D",
  --MacReports!M38&lt;=80,"Battery C",
 --MacReports!M38&gt;80,""
)</f>
        <v>Battery Defect</v>
      </c>
      <c r="O38" s="16" t="str">
        <f>IF(MacReports!I38="Service","Battery Service","")</f>
        <v/>
      </c>
      <c r="P38" s="13">
        <f>MacReports!P38</f>
        <v>0</v>
      </c>
      <c r="Q38" s="13" t="str">
        <f>IF(MacReports!J38="Enabled","Apple ID Lock","")</f>
        <v/>
      </c>
      <c r="R38" s="13" t="str">
        <f>IF(MacReports!L38="y","Remote Locked","")</f>
        <v/>
      </c>
      <c r="S38" t="str">
        <f t="shared" si="2"/>
        <v>Battery Defect, 0</v>
      </c>
      <c r="T38" t="str">
        <f>_xlfn.XLOOKUP(B38,Disk_Pivot!G:G,Disk_Pivot!I:I)</f>
        <v>No</v>
      </c>
      <c r="U38" t="str">
        <f>_xlfn.XLOOKUP(B38,Disk_Pivot!G:G,Disk_Pivot!N:N)</f>
        <v/>
      </c>
      <c r="V38" t="str">
        <f>IF(U38="Fail",MacReports!N38,"")</f>
        <v/>
      </c>
      <c r="AB38" t="str">
        <f t="shared" si="1"/>
        <v/>
      </c>
    </row>
    <row r="39" spans="1:28">
      <c r="A39">
        <f>MacReports!A39</f>
        <v>0</v>
      </c>
      <c r="B39">
        <f>MacReports!B39</f>
        <v>0</v>
      </c>
      <c r="C39">
        <f>MacReports!C39</f>
        <v>0</v>
      </c>
      <c r="E39" t="e">
        <f>_xlfn.XLOOKUP(G39,Models!A:A,Models!F:F)</f>
        <v>#N/A</v>
      </c>
      <c r="F39" t="str">
        <f>_xlfn.XLOOKUP(B39,MacReports!B:B,MacReports!D:D,"")</f>
        <v/>
      </c>
      <c r="G39" s="13">
        <f>MacReports!E39</f>
        <v>0</v>
      </c>
      <c r="H39" t="e">
        <f>_xlfn.XLOOKUP(G39,Models!A:A,Models!B:B)</f>
        <v>#N/A</v>
      </c>
      <c r="I39" t="e">
        <f>_xlfn.XLOOKUP(G39,Models!A:A,Models!E:E)</f>
        <v>#N/A</v>
      </c>
      <c r="J39" t="e">
        <f>_xlfn.XLOOKUP(G39,Models!A:A,Models!D:D)</f>
        <v>#N/A</v>
      </c>
      <c r="K39">
        <f>MacReports!F39</f>
        <v>0</v>
      </c>
      <c r="L39">
        <f>MacReports!G39</f>
        <v>0</v>
      </c>
      <c r="M39" s="15" t="e" cm="1">
        <f t="array" ref="M39">--_xlfn.LET(
    _xlpm.txt, MacReports!H39,
    _xlpm.chars, MID(_xlpm.txt, _xlfn.SEQUENCE(LEN(_xlpm.txt)), 1),
    _xlfn.TEXTJOIN("", TRUE, IF(ISNUMBER(--_xlpm.chars), _xlpm.chars, ""))
)</f>
        <v>#VALUE!</v>
      </c>
      <c r="N39" s="16" t="str" cm="1">
        <f t="array" ref="N39">_xlfn.IFS(
   --MacReports!M39&lt;55,"Battery Defect",
  -- MacReports!M39&lt;=69,"Battery D",
  --MacReports!M39&lt;=80,"Battery C",
 --MacReports!M39&gt;80,""
)</f>
        <v>Battery Defect</v>
      </c>
      <c r="O39" s="16" t="str">
        <f>IF(MacReports!I39="Service","Battery Service","")</f>
        <v/>
      </c>
      <c r="P39" s="13">
        <f>MacReports!P39</f>
        <v>0</v>
      </c>
      <c r="Q39" s="13" t="str">
        <f>IF(MacReports!J39="Enabled","Apple ID Lock","")</f>
        <v/>
      </c>
      <c r="R39" s="13" t="str">
        <f>IF(MacReports!L39="y","Remote Locked","")</f>
        <v/>
      </c>
      <c r="S39" t="str">
        <f t="shared" si="2"/>
        <v>Battery Defect, 0</v>
      </c>
      <c r="T39" t="str">
        <f>_xlfn.XLOOKUP(B39,Disk_Pivot!G:G,Disk_Pivot!I:I)</f>
        <v>No</v>
      </c>
      <c r="U39" t="str">
        <f>_xlfn.XLOOKUP(B39,Disk_Pivot!G:G,Disk_Pivot!N:N)</f>
        <v/>
      </c>
      <c r="V39" t="str">
        <f>IF(U39="Fail",MacReports!N39,"")</f>
        <v/>
      </c>
      <c r="AB39" t="str">
        <f t="shared" si="1"/>
        <v/>
      </c>
    </row>
    <row r="40" spans="1:28">
      <c r="A40">
        <f>MacReports!A40</f>
        <v>0</v>
      </c>
      <c r="B40">
        <f>MacReports!B40</f>
        <v>0</v>
      </c>
      <c r="C40">
        <f>MacReports!C40</f>
        <v>0</v>
      </c>
      <c r="F40" t="str">
        <f>_xlfn.XLOOKUP(B40,MacReports!B:B,MacReports!D:D,"")</f>
        <v/>
      </c>
      <c r="G40" s="13">
        <f>MacReports!E40</f>
        <v>0</v>
      </c>
      <c r="H40" t="e">
        <f>_xlfn.XLOOKUP(G40,Models!A:A,Models!B:B)</f>
        <v>#N/A</v>
      </c>
      <c r="I40" t="e">
        <f>_xlfn.XLOOKUP(G40,Models!A:A,Models!E:E)</f>
        <v>#N/A</v>
      </c>
      <c r="J40" t="e">
        <f>_xlfn.XLOOKUP(G40,Models!A:A,Models!D:D)</f>
        <v>#N/A</v>
      </c>
      <c r="K40">
        <f>MacReports!F40</f>
        <v>0</v>
      </c>
      <c r="L40">
        <f>MacReports!G40</f>
        <v>0</v>
      </c>
      <c r="M40" s="15" t="e" cm="1">
        <f t="array" ref="M40">--_xlfn.LET(
    _xlpm.txt, MacReports!H40,
    _xlpm.chars, MID(_xlpm.txt, _xlfn.SEQUENCE(LEN(_xlpm.txt)), 1),
    _xlfn.TEXTJOIN("", TRUE, IF(ISNUMBER(--_xlpm.chars), _xlpm.chars, ""))
)</f>
        <v>#VALUE!</v>
      </c>
      <c r="N40" s="16" t="str" cm="1">
        <f t="array" ref="N40">_xlfn.IFS(
   --MacReports!M40&lt;55,"Battery Defect",
  -- MacReports!M40&lt;=69,"Battery D",
  --MacReports!M40&lt;=80,"Battery C",
 --MacReports!M40&gt;80,""
)</f>
        <v>Battery Defect</v>
      </c>
      <c r="O40" s="16" t="str">
        <f>IF(MacReports!I40="Service","Battery Service","")</f>
        <v/>
      </c>
      <c r="P40" s="13">
        <f>MacReports!P40</f>
        <v>0</v>
      </c>
      <c r="Q40" s="13" t="str">
        <f>IF(MacReports!J40="Enabled","Apple ID Lock","")</f>
        <v/>
      </c>
      <c r="R40" s="13" t="str">
        <f>IF(MacReports!L40="y","Remote Locked","")</f>
        <v/>
      </c>
      <c r="S40" t="str">
        <f t="shared" si="2"/>
        <v>Battery Defect, 0</v>
      </c>
      <c r="T40" t="str">
        <f>_xlfn.XLOOKUP(B40,Disk_Pivot!G:G,Disk_Pivot!I:I)</f>
        <v>No</v>
      </c>
      <c r="U40" t="str">
        <f>_xlfn.XLOOKUP(B40,Disk_Pivot!G:G,Disk_Pivot!N:N)</f>
        <v/>
      </c>
      <c r="V40" t="str">
        <f>IF(U40="Fail",MacReports!N40,"")</f>
        <v/>
      </c>
      <c r="AB40" t="str">
        <f t="shared" si="1"/>
        <v/>
      </c>
    </row>
    <row r="41" spans="1:28">
      <c r="A41">
        <f>MacReports!A41</f>
        <v>0</v>
      </c>
      <c r="B41">
        <f>MacReports!B41</f>
        <v>0</v>
      </c>
      <c r="C41">
        <f>MacReports!C41</f>
        <v>0</v>
      </c>
      <c r="F41" t="str">
        <f>_xlfn.XLOOKUP(B41,MacReports!B:B,MacReports!D:D,"")</f>
        <v/>
      </c>
      <c r="G41" s="13">
        <f>MacReports!E41</f>
        <v>0</v>
      </c>
      <c r="H41" t="e">
        <f>_xlfn.XLOOKUP(G41,Models!A:A,Models!B:B)</f>
        <v>#N/A</v>
      </c>
      <c r="I41" t="e">
        <f>_xlfn.XLOOKUP(G41,Models!A:A,Models!E:E)</f>
        <v>#N/A</v>
      </c>
      <c r="J41" t="e">
        <f>_xlfn.XLOOKUP(G41,Models!A:A,Models!D:D)</f>
        <v>#N/A</v>
      </c>
      <c r="K41">
        <f>MacReports!F41</f>
        <v>0</v>
      </c>
      <c r="L41">
        <f>MacReports!G41</f>
        <v>0</v>
      </c>
      <c r="M41" s="15" t="e" cm="1">
        <f t="array" ref="M41">--_xlfn.LET(
    _xlpm.txt, MacReports!H41,
    _xlpm.chars, MID(_xlpm.txt, _xlfn.SEQUENCE(LEN(_xlpm.txt)), 1),
    _xlfn.TEXTJOIN("", TRUE, IF(ISNUMBER(--_xlpm.chars), _xlpm.chars, ""))
)</f>
        <v>#VALUE!</v>
      </c>
      <c r="N41" s="16" t="str" cm="1">
        <f t="array" ref="N41">_xlfn.IFS(
   --MacReports!M41&lt;55,"Battery Defect",
  -- MacReports!M41&lt;=69,"Battery D",
  --MacReports!M41&lt;=80,"Battery C",
 --MacReports!M41&gt;80,""
)</f>
        <v>Battery Defect</v>
      </c>
      <c r="O41" s="16" t="str">
        <f>IF(MacReports!I41="Service","Battery Service","")</f>
        <v/>
      </c>
      <c r="P41" s="13">
        <f>MacReports!P41</f>
        <v>0</v>
      </c>
      <c r="Q41" s="13" t="str">
        <f>IF(MacReports!J41="Enabled","Apple ID Lock","")</f>
        <v/>
      </c>
      <c r="R41" s="13" t="str">
        <f>IF(MacReports!L41="y","Remote Locked","")</f>
        <v/>
      </c>
      <c r="S41" t="str">
        <f t="shared" si="2"/>
        <v>Battery Defect, 0</v>
      </c>
      <c r="T41" t="str">
        <f>_xlfn.XLOOKUP(B41,Disk_Pivot!G:G,Disk_Pivot!I:I)</f>
        <v>No</v>
      </c>
      <c r="U41" t="str">
        <f>_xlfn.XLOOKUP(B41,Disk_Pivot!G:G,Disk_Pivot!N:N)</f>
        <v/>
      </c>
      <c r="V41" t="str">
        <f>IF(U41="Fail",MacReports!N41,"")</f>
        <v/>
      </c>
      <c r="AB41" t="str">
        <f t="shared" si="1"/>
        <v/>
      </c>
    </row>
    <row r="42" spans="1:28">
      <c r="A42">
        <f>MacReports!A42</f>
        <v>0</v>
      </c>
      <c r="B42">
        <f>MacReports!B42</f>
        <v>0</v>
      </c>
      <c r="F42" t="str">
        <f>_xlfn.XLOOKUP(B42,MacReports!B:B,MacReports!D:D,"")</f>
        <v/>
      </c>
      <c r="G42" s="13">
        <f>MacReports!E42</f>
        <v>0</v>
      </c>
      <c r="H42" t="e">
        <f>_xlfn.XLOOKUP(G42,Models!A:A,Models!B:B)</f>
        <v>#N/A</v>
      </c>
      <c r="I42" t="e">
        <f>_xlfn.XLOOKUP(G42,Models!A:A,Models!E:E)</f>
        <v>#N/A</v>
      </c>
      <c r="J42" t="e">
        <f>_xlfn.XLOOKUP(G42,Models!A:A,Models!D:D)</f>
        <v>#N/A</v>
      </c>
      <c r="K42">
        <f>MacReports!F42</f>
        <v>0</v>
      </c>
      <c r="L42">
        <f>MacReports!G42</f>
        <v>0</v>
      </c>
      <c r="M42" s="15" t="e" cm="1">
        <f t="array" ref="M42">--_xlfn.LET(
    _xlpm.txt, MacReports!H42,
    _xlpm.chars, MID(_xlpm.txt, _xlfn.SEQUENCE(LEN(_xlpm.txt)), 1),
    _xlfn.TEXTJOIN("", TRUE, IF(ISNUMBER(--_xlpm.chars), _xlpm.chars, ""))
)</f>
        <v>#VALUE!</v>
      </c>
      <c r="N42" s="16" t="str" cm="1">
        <f t="array" ref="N42">_xlfn.IFS(
   --MacReports!M42&lt;55,"Battery Defect",
  -- MacReports!M42&lt;=69,"Battery D",
  --MacReports!M42&lt;=80,"Battery C",
 --MacReports!M42&gt;80,""
)</f>
        <v>Battery Defect</v>
      </c>
      <c r="O42" s="16" t="str">
        <f>IF(MacReports!I42="Service","Battery Service","")</f>
        <v/>
      </c>
      <c r="P42" s="13">
        <f>MacReports!P42</f>
        <v>0</v>
      </c>
      <c r="Q42" s="13" t="str">
        <f>IF(MacReports!J42="Enabled","Apple ID Lock","")</f>
        <v/>
      </c>
      <c r="R42" s="13" t="str">
        <f>IF(MacReports!L42="y","Remote Locked","")</f>
        <v/>
      </c>
      <c r="S42" t="str">
        <f t="shared" si="2"/>
        <v>Battery Defect, 0</v>
      </c>
      <c r="T42" t="str">
        <f>_xlfn.XLOOKUP(B42,Disk_Pivot!G:G,Disk_Pivot!I:I)</f>
        <v>No</v>
      </c>
      <c r="U42" t="str">
        <f>_xlfn.XLOOKUP(B42,Disk_Pivot!G:G,Disk_Pivot!N:N)</f>
        <v/>
      </c>
      <c r="V42" t="str">
        <f>IF(U42="Fail",MacReports!N42,"")</f>
        <v/>
      </c>
      <c r="AB42" t="str">
        <f t="shared" si="1"/>
        <v/>
      </c>
    </row>
    <row r="43" spans="1:28">
      <c r="A43">
        <f>MacReports!A43</f>
        <v>0</v>
      </c>
      <c r="B43">
        <f>MacReports!B43</f>
        <v>0</v>
      </c>
      <c r="F43" t="str">
        <f>_xlfn.XLOOKUP(B43,MacReports!B:B,MacReports!D:D,"")</f>
        <v/>
      </c>
      <c r="G43" s="13">
        <f>MacReports!E43</f>
        <v>0</v>
      </c>
      <c r="H43" t="e">
        <f>_xlfn.XLOOKUP(G43,Models!A:A,Models!B:B)</f>
        <v>#N/A</v>
      </c>
      <c r="I43" t="e">
        <f>_xlfn.XLOOKUP(G43,Models!A:A,Models!E:E)</f>
        <v>#N/A</v>
      </c>
      <c r="J43" t="e">
        <f>_xlfn.XLOOKUP(G43,Models!A:A,Models!D:D)</f>
        <v>#N/A</v>
      </c>
      <c r="K43">
        <f>MacReports!F43</f>
        <v>0</v>
      </c>
      <c r="L43">
        <f>MacReports!G43</f>
        <v>0</v>
      </c>
      <c r="M43" s="15" t="e" cm="1">
        <f t="array" ref="M43">--_xlfn.LET(
    _xlpm.txt, MacReports!H43,
    _xlpm.chars, MID(_xlpm.txt, _xlfn.SEQUENCE(LEN(_xlpm.txt)), 1),
    _xlfn.TEXTJOIN("", TRUE, IF(ISNUMBER(--_xlpm.chars), _xlpm.chars, ""))
)</f>
        <v>#VALUE!</v>
      </c>
      <c r="N43" s="16" t="str" cm="1">
        <f t="array" ref="N43">_xlfn.IFS(
   --MacReports!M43&lt;55,"Battery Defect",
  -- MacReports!M43&lt;=69,"Battery D",
  --MacReports!M43&lt;=80,"Battery C",
 --MacReports!M43&gt;80,""
)</f>
        <v>Battery Defect</v>
      </c>
      <c r="O43" s="16" t="str">
        <f>IF(MacReports!I43="Service","Battery Service","")</f>
        <v/>
      </c>
      <c r="P43" s="13">
        <f>MacReports!P43</f>
        <v>0</v>
      </c>
      <c r="Q43" s="13" t="str">
        <f>IF(MacReports!J43="Enabled","Apple ID Lock","")</f>
        <v/>
      </c>
      <c r="R43" s="13" t="str">
        <f>IF(MacReports!L43="y","Remote Locked","")</f>
        <v/>
      </c>
      <c r="S43" t="str">
        <f t="shared" si="2"/>
        <v>Battery Defect, 0</v>
      </c>
      <c r="T43" t="str">
        <f>_xlfn.XLOOKUP(B43,Disk_Pivot!G:G,Disk_Pivot!I:I)</f>
        <v>No</v>
      </c>
      <c r="U43" t="str">
        <f>_xlfn.XLOOKUP(B43,Disk_Pivot!G:G,Disk_Pivot!N:N)</f>
        <v/>
      </c>
      <c r="V43" t="str">
        <f>IF(U43="Fail",MacReports!N43,"")</f>
        <v/>
      </c>
      <c r="AB43" t="str">
        <f t="shared" si="1"/>
        <v/>
      </c>
    </row>
    <row r="44" spans="1:28">
      <c r="A44">
        <f>MacReports!A44</f>
        <v>0</v>
      </c>
      <c r="B44">
        <f>MacReports!B44</f>
        <v>0</v>
      </c>
      <c r="F44" t="str">
        <f>_xlfn.XLOOKUP(B44,MacReports!B:B,MacReports!D:D,"")</f>
        <v/>
      </c>
      <c r="G44" s="13">
        <f>MacReports!E44</f>
        <v>0</v>
      </c>
      <c r="H44" t="e">
        <f>_xlfn.XLOOKUP(G44,Models!A:A,Models!B:B)</f>
        <v>#N/A</v>
      </c>
      <c r="I44" t="e">
        <f>_xlfn.XLOOKUP(G44,Models!A:A,Models!E:E)</f>
        <v>#N/A</v>
      </c>
      <c r="J44" t="e">
        <f>_xlfn.XLOOKUP(G44,Models!A:A,Models!D:D)</f>
        <v>#N/A</v>
      </c>
      <c r="K44">
        <f>MacReports!F44</f>
        <v>0</v>
      </c>
      <c r="L44">
        <f>MacReports!G44</f>
        <v>0</v>
      </c>
      <c r="M44" s="15" t="e" cm="1">
        <f t="array" ref="M44">--_xlfn.LET(
    _xlpm.txt, MacReports!H44,
    _xlpm.chars, MID(_xlpm.txt, _xlfn.SEQUENCE(LEN(_xlpm.txt)), 1),
    _xlfn.TEXTJOIN("", TRUE, IF(ISNUMBER(--_xlpm.chars), _xlpm.chars, ""))
)</f>
        <v>#VALUE!</v>
      </c>
      <c r="N44" s="16" t="str" cm="1">
        <f t="array" ref="N44">_xlfn.IFS(
   --MacReports!M44&lt;55,"Battery Defect",
  -- MacReports!M44&lt;=69,"Battery D",
  --MacReports!M44&lt;=80,"Battery C",
 --MacReports!M44&gt;80,""
)</f>
        <v>Battery Defect</v>
      </c>
      <c r="O44" s="16" t="str">
        <f>IF(MacReports!I44="Service","Battery Service","")</f>
        <v/>
      </c>
      <c r="P44" s="13">
        <f>MacReports!P44</f>
        <v>0</v>
      </c>
      <c r="Q44" s="13" t="str">
        <f>IF(MacReports!J44="Enabled","Apple ID Lock","")</f>
        <v/>
      </c>
      <c r="R44" s="13" t="str">
        <f>IF(MacReports!L44="y","Remote Locked","")</f>
        <v/>
      </c>
      <c r="S44" t="str">
        <f t="shared" si="2"/>
        <v>Battery Defect, 0</v>
      </c>
      <c r="T44" t="str">
        <f>_xlfn.XLOOKUP(B44,Disk_Pivot!G:G,Disk_Pivot!I:I)</f>
        <v>No</v>
      </c>
      <c r="U44" t="str">
        <f>_xlfn.XLOOKUP(B44,Disk_Pivot!G:G,Disk_Pivot!N:N)</f>
        <v/>
      </c>
      <c r="V44" t="str">
        <f>IF(U44="Fail",MacReports!N44,"")</f>
        <v/>
      </c>
      <c r="AB44" t="str">
        <f t="shared" si="1"/>
        <v/>
      </c>
    </row>
    <row r="45" spans="1:28">
      <c r="A45">
        <f>MacReports!A45</f>
        <v>0</v>
      </c>
      <c r="B45">
        <f>MacReports!B45</f>
        <v>0</v>
      </c>
      <c r="F45" t="str">
        <f>_xlfn.XLOOKUP(B45,MacReports!B:B,MacReports!D:D,"")</f>
        <v/>
      </c>
      <c r="G45" s="13">
        <f>MacReports!E45</f>
        <v>0</v>
      </c>
      <c r="H45" t="e">
        <f>_xlfn.XLOOKUP(G45,Models!A:A,Models!B:B)</f>
        <v>#N/A</v>
      </c>
      <c r="I45" t="e">
        <f>_xlfn.XLOOKUP(G45,Models!A:A,Models!E:E)</f>
        <v>#N/A</v>
      </c>
      <c r="J45" t="e">
        <f>_xlfn.XLOOKUP(G45,Models!A:A,Models!D:D)</f>
        <v>#N/A</v>
      </c>
      <c r="K45">
        <f>MacReports!F45</f>
        <v>0</v>
      </c>
      <c r="L45">
        <f>MacReports!G45</f>
        <v>0</v>
      </c>
      <c r="M45" s="15" t="e" cm="1">
        <f t="array" ref="M45">--_xlfn.LET(
    _xlpm.txt, MacReports!H45,
    _xlpm.chars, MID(_xlpm.txt, _xlfn.SEQUENCE(LEN(_xlpm.txt)), 1),
    _xlfn.TEXTJOIN("", TRUE, IF(ISNUMBER(--_xlpm.chars), _xlpm.chars, ""))
)</f>
        <v>#VALUE!</v>
      </c>
      <c r="N45" s="16" t="str" cm="1">
        <f t="array" ref="N45">_xlfn.IFS(
   --MacReports!M45&lt;55,"Battery Defect",
  -- MacReports!M45&lt;=69,"Battery D",
  --MacReports!M45&lt;=80,"Battery C",
 --MacReports!M45&gt;80,""
)</f>
        <v>Battery Defect</v>
      </c>
      <c r="O45" s="16" t="str">
        <f>IF(MacReports!I45="Service","Battery Service","")</f>
        <v/>
      </c>
      <c r="P45" s="13">
        <f>MacReports!P45</f>
        <v>0</v>
      </c>
      <c r="Q45" s="13" t="str">
        <f>IF(MacReports!J45="Enabled","Apple ID Lock","")</f>
        <v/>
      </c>
      <c r="R45" s="13" t="str">
        <f>IF(MacReports!L45="y","Remote Locked","")</f>
        <v/>
      </c>
      <c r="S45" t="str">
        <f t="shared" si="2"/>
        <v>Battery Defect, 0</v>
      </c>
      <c r="T45" t="str">
        <f>_xlfn.XLOOKUP(B45,Disk_Pivot!G:G,Disk_Pivot!I:I)</f>
        <v>No</v>
      </c>
      <c r="U45" t="str">
        <f>_xlfn.XLOOKUP(B45,Disk_Pivot!G:G,Disk_Pivot!N:N)</f>
        <v/>
      </c>
      <c r="V45" t="str">
        <f>IF(U45="Fail",MacReports!N45,"")</f>
        <v/>
      </c>
      <c r="AB45" t="str">
        <f t="shared" si="1"/>
        <v/>
      </c>
    </row>
    <row r="46" spans="1:28">
      <c r="A46">
        <f>MacReports!A46</f>
        <v>0</v>
      </c>
      <c r="B46">
        <f>MacReports!B46</f>
        <v>0</v>
      </c>
      <c r="F46" t="str">
        <f>_xlfn.XLOOKUP(B46,MacReports!B:B,MacReports!D:D,"")</f>
        <v/>
      </c>
      <c r="G46" s="13">
        <f>MacReports!E46</f>
        <v>0</v>
      </c>
      <c r="H46" t="e">
        <f>_xlfn.XLOOKUP(G46,Models!A:A,Models!B:B)</f>
        <v>#N/A</v>
      </c>
      <c r="I46" t="e">
        <f>_xlfn.XLOOKUP(G46,Models!A:A,Models!E:E)</f>
        <v>#N/A</v>
      </c>
      <c r="J46" t="e">
        <f>_xlfn.XLOOKUP(G46,Models!A:A,Models!D:D)</f>
        <v>#N/A</v>
      </c>
      <c r="K46">
        <f>MacReports!F46</f>
        <v>0</v>
      </c>
      <c r="L46">
        <f>MacReports!G46</f>
        <v>0</v>
      </c>
      <c r="M46" s="15" t="e" cm="1">
        <f t="array" ref="M46">--_xlfn.LET(
    _xlpm.txt, MacReports!H46,
    _xlpm.chars, MID(_xlpm.txt, _xlfn.SEQUENCE(LEN(_xlpm.txt)), 1),
    _xlfn.TEXTJOIN("", TRUE, IF(ISNUMBER(--_xlpm.chars), _xlpm.chars, ""))
)</f>
        <v>#VALUE!</v>
      </c>
      <c r="N46" s="16" t="str" cm="1">
        <f t="array" ref="N46">_xlfn.IFS(
   --MacReports!M46&lt;55,"Battery Defect",
  -- MacReports!M46&lt;=69,"Battery D",
  --MacReports!M46&lt;=80,"Battery C",
 --MacReports!M46&gt;80,""
)</f>
        <v>Battery Defect</v>
      </c>
      <c r="O46" s="16" t="str">
        <f>IF(MacReports!I46="Service","Battery Service","")</f>
        <v/>
      </c>
      <c r="P46" s="13">
        <f>MacReports!P46</f>
        <v>0</v>
      </c>
      <c r="Q46" s="13" t="str">
        <f>IF(MacReports!J46="Enabled","Apple ID Lock","")</f>
        <v/>
      </c>
      <c r="R46" s="13" t="str">
        <f>IF(MacReports!L46="y","Remote Locked","")</f>
        <v/>
      </c>
      <c r="S46" t="str">
        <f t="shared" si="2"/>
        <v>Battery Defect, 0</v>
      </c>
      <c r="T46" t="str">
        <f>_xlfn.XLOOKUP(B46,Disk_Pivot!G:G,Disk_Pivot!I:I)</f>
        <v>No</v>
      </c>
      <c r="U46" t="str">
        <f>_xlfn.XLOOKUP(B46,Disk_Pivot!G:G,Disk_Pivot!N:N)</f>
        <v/>
      </c>
      <c r="V46" t="str">
        <f>IF(U46="Fail",MacReports!N46,"")</f>
        <v/>
      </c>
      <c r="AB46" t="str">
        <f t="shared" si="1"/>
        <v/>
      </c>
    </row>
    <row r="47" spans="1:28">
      <c r="A47">
        <f>MacReports!A47</f>
        <v>0</v>
      </c>
      <c r="B47">
        <f>MacReports!B47</f>
        <v>0</v>
      </c>
      <c r="F47" t="str">
        <f>_xlfn.XLOOKUP(B47,MacReports!B:B,MacReports!D:D,"")</f>
        <v/>
      </c>
      <c r="G47" s="13">
        <f>MacReports!E47</f>
        <v>0</v>
      </c>
      <c r="H47" t="e">
        <f>_xlfn.XLOOKUP(G47,Models!A:A,Models!B:B)</f>
        <v>#N/A</v>
      </c>
      <c r="I47" t="e">
        <f>_xlfn.XLOOKUP(G47,Models!A:A,Models!E:E)</f>
        <v>#N/A</v>
      </c>
      <c r="J47" t="e">
        <f>_xlfn.XLOOKUP(G47,Models!A:A,Models!D:D)</f>
        <v>#N/A</v>
      </c>
      <c r="K47">
        <f>MacReports!F47</f>
        <v>0</v>
      </c>
      <c r="L47">
        <f>MacReports!G47</f>
        <v>0</v>
      </c>
      <c r="M47" s="15" t="e" cm="1">
        <f t="array" ref="M47">--_xlfn.LET(
    _xlpm.txt, MacReports!H47,
    _xlpm.chars, MID(_xlpm.txt, _xlfn.SEQUENCE(LEN(_xlpm.txt)), 1),
    _xlfn.TEXTJOIN("", TRUE, IF(ISNUMBER(--_xlpm.chars), _xlpm.chars, ""))
)</f>
        <v>#VALUE!</v>
      </c>
      <c r="N47" s="16" t="str" cm="1">
        <f t="array" ref="N47">_xlfn.IFS(
   --MacReports!M47&lt;55,"Battery Defect",
  -- MacReports!M47&lt;=69,"Battery D",
  --MacReports!M47&lt;=80,"Battery C",
 --MacReports!M47&gt;80,""
)</f>
        <v>Battery Defect</v>
      </c>
      <c r="O47" s="16" t="str">
        <f>IF(MacReports!I47="Service","Battery Service","")</f>
        <v/>
      </c>
      <c r="P47" s="13">
        <f>MacReports!P47</f>
        <v>0</v>
      </c>
      <c r="Q47" s="13" t="str">
        <f>IF(MacReports!J47="Enabled","Apple ID Lock","")</f>
        <v/>
      </c>
      <c r="R47" s="13" t="str">
        <f>IF(MacReports!L47="y","Remote Locked","")</f>
        <v/>
      </c>
      <c r="S47" t="str">
        <f t="shared" si="2"/>
        <v>Battery Defect, 0</v>
      </c>
      <c r="T47" t="str">
        <f>_xlfn.XLOOKUP(B47,Disk_Pivot!G:G,Disk_Pivot!I:I)</f>
        <v>No</v>
      </c>
      <c r="U47" t="str">
        <f>_xlfn.XLOOKUP(B47,Disk_Pivot!G:G,Disk_Pivot!N:N)</f>
        <v/>
      </c>
      <c r="V47" t="str">
        <f>IF(U47="Fail",MacReports!N47,"")</f>
        <v/>
      </c>
      <c r="AB47" t="str">
        <f t="shared" si="1"/>
        <v/>
      </c>
    </row>
    <row r="48" spans="1:28">
      <c r="A48">
        <f>MacReports!A48</f>
        <v>0</v>
      </c>
      <c r="B48">
        <f>MacReports!B48</f>
        <v>0</v>
      </c>
      <c r="F48" t="str">
        <f>_xlfn.XLOOKUP(B48,MacReports!B:B,MacReports!D:D,"")</f>
        <v/>
      </c>
      <c r="G48" s="13">
        <f>MacReports!E48</f>
        <v>0</v>
      </c>
      <c r="H48" t="e">
        <f>_xlfn.XLOOKUP(G48,Models!A:A,Models!B:B)</f>
        <v>#N/A</v>
      </c>
      <c r="I48" t="e">
        <f>_xlfn.XLOOKUP(G48,Models!A:A,Models!E:E)</f>
        <v>#N/A</v>
      </c>
      <c r="J48" t="e">
        <f>_xlfn.XLOOKUP(G48,Models!A:A,Models!D:D)</f>
        <v>#N/A</v>
      </c>
      <c r="K48">
        <f>MacReports!F48</f>
        <v>0</v>
      </c>
      <c r="L48">
        <f>MacReports!G48</f>
        <v>0</v>
      </c>
      <c r="M48" s="15" t="e" cm="1">
        <f t="array" ref="M48">--_xlfn.LET(
    _xlpm.txt, MacReports!H48,
    _xlpm.chars, MID(_xlpm.txt, _xlfn.SEQUENCE(LEN(_xlpm.txt)), 1),
    _xlfn.TEXTJOIN("", TRUE, IF(ISNUMBER(--_xlpm.chars), _xlpm.chars, ""))
)</f>
        <v>#VALUE!</v>
      </c>
      <c r="N48" s="16" t="str" cm="1">
        <f t="array" ref="N48">_xlfn.IFS(
   --MacReports!M48&lt;55,"Battery Defect",
  -- MacReports!M48&lt;=69,"Battery D",
  --MacReports!M48&lt;=80,"Battery C",
 --MacReports!M48&gt;80,""
)</f>
        <v>Battery Defect</v>
      </c>
      <c r="O48" s="16" t="str">
        <f>IF(MacReports!I48="Service","Battery Service","")</f>
        <v/>
      </c>
      <c r="P48" s="13">
        <f>MacReports!P48</f>
        <v>0</v>
      </c>
      <c r="Q48" s="13" t="str">
        <f>IF(MacReports!J48="Enabled","Apple ID Lock","")</f>
        <v/>
      </c>
      <c r="R48" s="13" t="str">
        <f>IF(MacReports!L48="y","Remote Locked","")</f>
        <v/>
      </c>
      <c r="S48" t="str">
        <f t="shared" si="2"/>
        <v>Battery Defect, 0</v>
      </c>
      <c r="T48" t="str">
        <f>_xlfn.XLOOKUP(B48,Disk_Pivot!G:G,Disk_Pivot!I:I)</f>
        <v>No</v>
      </c>
      <c r="U48" t="str">
        <f>_xlfn.XLOOKUP(B48,Disk_Pivot!G:G,Disk_Pivot!N:N)</f>
        <v/>
      </c>
      <c r="V48" t="str">
        <f>IF(U48="Fail",MacReports!N48,"")</f>
        <v/>
      </c>
      <c r="AB48" t="str">
        <f t="shared" si="1"/>
        <v/>
      </c>
    </row>
    <row r="49" spans="1:28">
      <c r="A49">
        <f>MacReports!A49</f>
        <v>0</v>
      </c>
      <c r="B49">
        <f>MacReports!B49</f>
        <v>0</v>
      </c>
      <c r="F49" t="str">
        <f>_xlfn.XLOOKUP(B49,MacReports!B:B,MacReports!D:D,"")</f>
        <v/>
      </c>
      <c r="G49" s="13">
        <f>MacReports!E49</f>
        <v>0</v>
      </c>
      <c r="H49" t="e">
        <f>_xlfn.XLOOKUP(G49,Models!A:A,Models!B:B)</f>
        <v>#N/A</v>
      </c>
      <c r="I49" t="e">
        <f>_xlfn.XLOOKUP(G49,Models!A:A,Models!E:E)</f>
        <v>#N/A</v>
      </c>
      <c r="J49" t="e">
        <f>_xlfn.XLOOKUP(G49,Models!A:A,Models!D:D)</f>
        <v>#N/A</v>
      </c>
      <c r="K49">
        <f>MacReports!F49</f>
        <v>0</v>
      </c>
      <c r="L49">
        <f>MacReports!G49</f>
        <v>0</v>
      </c>
      <c r="M49" s="15" t="e" cm="1">
        <f t="array" ref="M49">--_xlfn.LET(
    _xlpm.txt, MacReports!H49,
    _xlpm.chars, MID(_xlpm.txt, _xlfn.SEQUENCE(LEN(_xlpm.txt)), 1),
    _xlfn.TEXTJOIN("", TRUE, IF(ISNUMBER(--_xlpm.chars), _xlpm.chars, ""))
)</f>
        <v>#VALUE!</v>
      </c>
      <c r="N49" s="16" t="str" cm="1">
        <f t="array" ref="N49">_xlfn.IFS(
   --MacReports!M49&lt;55,"Battery Defect",
  -- MacReports!M49&lt;=69,"Battery D",
  --MacReports!M49&lt;=80,"Battery C",
 --MacReports!M49&gt;80,""
)</f>
        <v>Battery Defect</v>
      </c>
      <c r="O49" s="16" t="str">
        <f>IF(MacReports!I49="Service","Battery Service","")</f>
        <v/>
      </c>
      <c r="P49" s="13">
        <f>MacReports!P49</f>
        <v>0</v>
      </c>
      <c r="Q49" s="13" t="str">
        <f>IF(MacReports!J49="Enabled","Apple ID Lock","")</f>
        <v/>
      </c>
      <c r="R49" s="13" t="str">
        <f>IF(MacReports!L49="y","Remote Locked","")</f>
        <v/>
      </c>
      <c r="S49" t="str">
        <f t="shared" si="2"/>
        <v>Battery Defect, 0</v>
      </c>
      <c r="T49" t="str">
        <f>_xlfn.XLOOKUP(B49,Disk_Pivot!G:G,Disk_Pivot!I:I)</f>
        <v>No</v>
      </c>
      <c r="U49" t="str">
        <f>_xlfn.XLOOKUP(B49,Disk_Pivot!G:G,Disk_Pivot!N:N)</f>
        <v/>
      </c>
      <c r="V49" t="str">
        <f>IF(U49="Fail",MacReports!N49,"")</f>
        <v/>
      </c>
      <c r="AB49" t="str">
        <f t="shared" si="1"/>
        <v/>
      </c>
    </row>
    <row r="50" spans="1:28">
      <c r="A50">
        <f>MacReports!A50</f>
        <v>0</v>
      </c>
      <c r="B50">
        <f>MacReports!B50</f>
        <v>0</v>
      </c>
      <c r="F50" t="str">
        <f>_xlfn.XLOOKUP(B50,MacReports!B:B,MacReports!D:D,"")</f>
        <v/>
      </c>
      <c r="G50" s="13">
        <f>MacReports!E50</f>
        <v>0</v>
      </c>
      <c r="H50" t="e">
        <f>_xlfn.XLOOKUP(G50,Models!A:A,Models!B:B)</f>
        <v>#N/A</v>
      </c>
      <c r="I50" t="e">
        <f>_xlfn.XLOOKUP(G50,Models!A:A,Models!E:E)</f>
        <v>#N/A</v>
      </c>
      <c r="J50" t="e">
        <f>_xlfn.XLOOKUP(G50,Models!A:A,Models!D:D)</f>
        <v>#N/A</v>
      </c>
      <c r="K50">
        <f>MacReports!F50</f>
        <v>0</v>
      </c>
      <c r="L50">
        <f>MacReports!G50</f>
        <v>0</v>
      </c>
      <c r="M50" s="15" t="e" cm="1">
        <f t="array" ref="M50">--_xlfn.LET(
    _xlpm.txt, MacReports!H50,
    _xlpm.chars, MID(_xlpm.txt, _xlfn.SEQUENCE(LEN(_xlpm.txt)), 1),
    _xlfn.TEXTJOIN("", TRUE, IF(ISNUMBER(--_xlpm.chars), _xlpm.chars, ""))
)</f>
        <v>#VALUE!</v>
      </c>
      <c r="N50" s="16" t="str" cm="1">
        <f t="array" ref="N50">_xlfn.IFS(
   --MacReports!M50&lt;55,"Battery Defect",
  -- MacReports!M50&lt;=69,"Battery D",
  --MacReports!M50&lt;=80,"Battery C",
 --MacReports!M50&gt;80,""
)</f>
        <v>Battery Defect</v>
      </c>
      <c r="O50" s="16" t="str">
        <f>IF(MacReports!I50="Service","Battery Service","")</f>
        <v/>
      </c>
      <c r="P50" s="13">
        <f>MacReports!P50</f>
        <v>0</v>
      </c>
      <c r="Q50" s="13" t="str">
        <f>IF(MacReports!J50="Enabled","Apple ID Lock","")</f>
        <v/>
      </c>
      <c r="R50" s="13" t="str">
        <f>IF(MacReports!L50="y","Remote Locked","")</f>
        <v/>
      </c>
      <c r="S50" t="str">
        <f t="shared" si="2"/>
        <v>Battery Defect, 0</v>
      </c>
      <c r="T50" t="str">
        <f>_xlfn.XLOOKUP(B50,Disk_Pivot!G:G,Disk_Pivot!I:I)</f>
        <v>No</v>
      </c>
      <c r="U50" t="str">
        <f>_xlfn.XLOOKUP(B50,Disk_Pivot!G:G,Disk_Pivot!N:N)</f>
        <v/>
      </c>
      <c r="V50" t="str">
        <f>IF(U50="Fail",MacReports!N50,"")</f>
        <v/>
      </c>
      <c r="AB50" t="str">
        <f t="shared" si="1"/>
        <v/>
      </c>
    </row>
    <row r="51" spans="1:28">
      <c r="A51">
        <f>MacReports!A51</f>
        <v>0</v>
      </c>
      <c r="B51">
        <f>MacReports!B51</f>
        <v>0</v>
      </c>
      <c r="F51" t="str">
        <f>_xlfn.XLOOKUP(B51,MacReports!B:B,MacReports!D:D,"")</f>
        <v/>
      </c>
      <c r="G51" s="13">
        <f>MacReports!E51</f>
        <v>0</v>
      </c>
      <c r="H51" t="e">
        <f>_xlfn.XLOOKUP(G51,Models!A:A,Models!B:B)</f>
        <v>#N/A</v>
      </c>
      <c r="I51" t="e">
        <f>_xlfn.XLOOKUP(G51,Models!A:A,Models!E:E)</f>
        <v>#N/A</v>
      </c>
      <c r="J51" t="e">
        <f>_xlfn.XLOOKUP(G51,Models!A:A,Models!D:D)</f>
        <v>#N/A</v>
      </c>
      <c r="K51">
        <f>MacReports!F51</f>
        <v>0</v>
      </c>
      <c r="L51">
        <f>MacReports!G51</f>
        <v>0</v>
      </c>
      <c r="M51" s="15" t="e" cm="1">
        <f t="array" ref="M51">--_xlfn.LET(
    _xlpm.txt, MacReports!H51,
    _xlpm.chars, MID(_xlpm.txt, _xlfn.SEQUENCE(LEN(_xlpm.txt)), 1),
    _xlfn.TEXTJOIN("", TRUE, IF(ISNUMBER(--_xlpm.chars), _xlpm.chars, ""))
)</f>
        <v>#VALUE!</v>
      </c>
      <c r="N51" s="16" t="str" cm="1">
        <f t="array" ref="N51">_xlfn.IFS(
   --MacReports!M51&lt;55,"Battery Defect",
  -- MacReports!M51&lt;=69,"Battery D",
  --MacReports!M51&lt;=80,"Battery C",
 --MacReports!M51&gt;80,""
)</f>
        <v>Battery Defect</v>
      </c>
      <c r="O51" s="16" t="str">
        <f>IF(MacReports!I51="Service","Battery Service","")</f>
        <v/>
      </c>
      <c r="P51" s="13">
        <f>MacReports!P51</f>
        <v>0</v>
      </c>
      <c r="Q51" s="13" t="str">
        <f>IF(MacReports!J51="Enabled","Apple ID Lock","")</f>
        <v/>
      </c>
      <c r="R51" s="13" t="str">
        <f>IF(MacReports!L51="y","Remote Locked","")</f>
        <v/>
      </c>
      <c r="S51" t="str">
        <f t="shared" si="2"/>
        <v>Battery Defect, 0</v>
      </c>
      <c r="T51" t="str">
        <f>_xlfn.XLOOKUP(B51,Disk_Pivot!G:G,Disk_Pivot!I:I)</f>
        <v>No</v>
      </c>
      <c r="U51" t="str">
        <f>_xlfn.XLOOKUP(B51,Disk_Pivot!G:G,Disk_Pivot!N:N)</f>
        <v/>
      </c>
      <c r="V51" t="str">
        <f>IF(U51="Fail",MacReports!N51,"")</f>
        <v/>
      </c>
      <c r="AB51" t="str">
        <f t="shared" si="1"/>
        <v/>
      </c>
    </row>
    <row r="52" spans="1:28">
      <c r="A52">
        <f>MacReports!A52</f>
        <v>0</v>
      </c>
      <c r="B52">
        <f>MacReports!B52</f>
        <v>0</v>
      </c>
      <c r="F52" t="str">
        <f>_xlfn.XLOOKUP(B52,MacReports!B:B,MacReports!D:D,"")</f>
        <v/>
      </c>
      <c r="G52" s="13">
        <f>MacReports!E52</f>
        <v>0</v>
      </c>
      <c r="H52" t="e">
        <f>_xlfn.XLOOKUP(G52,Models!A:A,Models!B:B)</f>
        <v>#N/A</v>
      </c>
      <c r="I52" t="e">
        <f>_xlfn.XLOOKUP(G52,Models!A:A,Models!E:E)</f>
        <v>#N/A</v>
      </c>
      <c r="J52" t="e">
        <f>_xlfn.XLOOKUP(G52,Models!A:A,Models!D:D)</f>
        <v>#N/A</v>
      </c>
      <c r="K52">
        <f>MacReports!F52</f>
        <v>0</v>
      </c>
      <c r="L52">
        <f>MacReports!G52</f>
        <v>0</v>
      </c>
      <c r="M52" s="15" t="e" cm="1">
        <f t="array" ref="M52">--_xlfn.LET(
    _xlpm.txt, MacReports!H52,
    _xlpm.chars, MID(_xlpm.txt, _xlfn.SEQUENCE(LEN(_xlpm.txt)), 1),
    _xlfn.TEXTJOIN("", TRUE, IF(ISNUMBER(--_xlpm.chars), _xlpm.chars, ""))
)</f>
        <v>#VALUE!</v>
      </c>
      <c r="N52" s="16" t="str" cm="1">
        <f t="array" ref="N52">_xlfn.IFS(
   --MacReports!M52&lt;55,"Battery Defect",
  -- MacReports!M52&lt;=69,"Battery D",
  --MacReports!M52&lt;=80,"Battery C",
 --MacReports!M52&gt;80,""
)</f>
        <v>Battery Defect</v>
      </c>
      <c r="O52" s="16" t="str">
        <f>IF(MacReports!I52="Service","Battery Service","")</f>
        <v/>
      </c>
      <c r="P52" s="13">
        <f>MacReports!P52</f>
        <v>0</v>
      </c>
      <c r="Q52" s="13" t="str">
        <f>IF(MacReports!J52="Enabled","Apple ID Lock","")</f>
        <v/>
      </c>
      <c r="R52" s="13" t="str">
        <f>IF(MacReports!L52="y","Remote Locked","")</f>
        <v/>
      </c>
      <c r="S52" t="str">
        <f t="shared" si="2"/>
        <v>Battery Defect, 0</v>
      </c>
      <c r="T52" t="str">
        <f>_xlfn.XLOOKUP(B52,Disk_Pivot!G:G,Disk_Pivot!I:I)</f>
        <v>No</v>
      </c>
      <c r="U52" t="str">
        <f>_xlfn.XLOOKUP(B52,Disk_Pivot!G:G,Disk_Pivot!N:N)</f>
        <v/>
      </c>
      <c r="V52" t="str">
        <f>IF(U52="Fail",MacReports!N52,"")</f>
        <v/>
      </c>
      <c r="AB52" t="str">
        <f t="shared" si="1"/>
        <v/>
      </c>
    </row>
    <row r="53" spans="1:28">
      <c r="B53">
        <f>MacReports!B53</f>
        <v>0</v>
      </c>
      <c r="F53" t="str">
        <f>_xlfn.XLOOKUP(B53,MacReports!B:B,MacReports!D:D,"")</f>
        <v/>
      </c>
      <c r="AB53" t="str">
        <f t="shared" si="1"/>
        <v/>
      </c>
    </row>
    <row r="54" spans="1:28">
      <c r="B54">
        <f>MacReports!B54</f>
        <v>0</v>
      </c>
      <c r="F54" t="str">
        <f>_xlfn.XLOOKUP(B54,MacReports!B:B,MacReports!D:D,"")</f>
        <v/>
      </c>
      <c r="AB54" t="str">
        <f t="shared" si="1"/>
        <v/>
      </c>
    </row>
    <row r="55" spans="1:28">
      <c r="B55">
        <f>MacReports!B55</f>
        <v>0</v>
      </c>
      <c r="F55" t="str">
        <f>_xlfn.XLOOKUP(B55,MacReports!B:B,MacReports!D:D,"")</f>
        <v/>
      </c>
      <c r="AB55" t="str">
        <f t="shared" si="1"/>
        <v/>
      </c>
    </row>
    <row r="56" spans="1:28">
      <c r="B56">
        <f>MacReports!B56</f>
        <v>0</v>
      </c>
      <c r="F56" t="str">
        <f>_xlfn.XLOOKUP(B56,MacReports!B:B,MacReports!D:D,"")</f>
        <v/>
      </c>
      <c r="AB56" t="str">
        <f t="shared" si="1"/>
        <v/>
      </c>
    </row>
    <row r="57" spans="1:28">
      <c r="B57">
        <f>MacReports!B57</f>
        <v>0</v>
      </c>
      <c r="F57" t="str">
        <f>_xlfn.XLOOKUP(B57,MacReports!B:B,MacReports!D:D,"")</f>
        <v/>
      </c>
      <c r="AB57" t="str">
        <f t="shared" si="1"/>
        <v/>
      </c>
    </row>
    <row r="58" spans="1:28">
      <c r="B58">
        <f>MacReports!B58</f>
        <v>0</v>
      </c>
      <c r="F58" t="str">
        <f>_xlfn.XLOOKUP(B58,MacReports!B:B,MacReports!D:D,"")</f>
        <v/>
      </c>
      <c r="AB58" t="str">
        <f t="shared" si="1"/>
        <v/>
      </c>
    </row>
    <row r="59" spans="1:28">
      <c r="B59">
        <f>MacReports!B59</f>
        <v>0</v>
      </c>
      <c r="F59" t="str">
        <f>_xlfn.XLOOKUP(B59,MacReports!B:B,MacReports!D:D,"")</f>
        <v/>
      </c>
      <c r="AB59" t="str">
        <f t="shared" si="1"/>
        <v/>
      </c>
    </row>
    <row r="60" spans="1:28">
      <c r="B60">
        <f>MacReports!B60</f>
        <v>0</v>
      </c>
      <c r="F60" t="str">
        <f>_xlfn.XLOOKUP(B60,MacReports!B:B,MacReports!D:D,"")</f>
        <v/>
      </c>
      <c r="AB60" t="str">
        <f t="shared" si="1"/>
        <v/>
      </c>
    </row>
    <row r="61" spans="1:28">
      <c r="B61">
        <f>MacReports!B61</f>
        <v>0</v>
      </c>
      <c r="F61" t="str">
        <f>_xlfn.XLOOKUP(B61,MacReports!B:B,MacReports!D:D,"")</f>
        <v/>
      </c>
      <c r="AB61" t="str">
        <f t="shared" si="1"/>
        <v/>
      </c>
    </row>
    <row r="62" spans="1:28">
      <c r="B62">
        <f>MacReports!B62</f>
        <v>0</v>
      </c>
      <c r="F62" t="str">
        <f>_xlfn.XLOOKUP(B62,MacReports!B:B,MacReports!D:D,"")</f>
        <v/>
      </c>
      <c r="AB62" t="str">
        <f t="shared" si="1"/>
        <v/>
      </c>
    </row>
    <row r="63" spans="1:28">
      <c r="B63">
        <f>MacReports!B63</f>
        <v>0</v>
      </c>
      <c r="F63" t="str">
        <f>_xlfn.XLOOKUP(B63,MacReports!B:B,MacReports!D:D,"")</f>
        <v/>
      </c>
      <c r="AB63" t="str">
        <f t="shared" si="1"/>
        <v/>
      </c>
    </row>
    <row r="64" spans="1:28">
      <c r="B64">
        <f>MacReports!B64</f>
        <v>0</v>
      </c>
      <c r="F64" t="str">
        <f>_xlfn.XLOOKUP(B64,MacReports!B:B,MacReports!D:D,"")</f>
        <v/>
      </c>
      <c r="AB64" t="str">
        <f t="shared" si="1"/>
        <v/>
      </c>
    </row>
    <row r="65" spans="2:28">
      <c r="B65">
        <f>MacReports!B65</f>
        <v>0</v>
      </c>
      <c r="F65" t="str">
        <f>_xlfn.XLOOKUP(B65,MacReports!B:B,MacReports!D:D,"")</f>
        <v/>
      </c>
      <c r="AB65" t="str">
        <f t="shared" si="1"/>
        <v/>
      </c>
    </row>
    <row r="66" spans="2:28">
      <c r="B66">
        <f>MacReports!B66</f>
        <v>0</v>
      </c>
      <c r="F66" t="str">
        <f>_xlfn.XLOOKUP(B66,MacReports!B:B,MacReports!D:D,"")</f>
        <v/>
      </c>
      <c r="AB66" t="str">
        <f t="shared" si="1"/>
        <v/>
      </c>
    </row>
    <row r="67" spans="2:28">
      <c r="B67">
        <f>MacReports!B67</f>
        <v>0</v>
      </c>
      <c r="F67" t="str">
        <f>_xlfn.XLOOKUP(B67,MacReports!B:B,MacReports!D:D,"")</f>
        <v/>
      </c>
      <c r="AB67" t="str">
        <f t="shared" ref="AB67:AB130" si="3">_xlfn.TEXTJOIN(", ",TRUE,Q67,R67)</f>
        <v/>
      </c>
    </row>
    <row r="68" spans="2:28">
      <c r="B68">
        <f>MacReports!B68</f>
        <v>0</v>
      </c>
      <c r="F68" t="str">
        <f>_xlfn.XLOOKUP(B68,MacReports!B:B,MacReports!D:D,"")</f>
        <v/>
      </c>
      <c r="AB68" t="str">
        <f t="shared" si="3"/>
        <v/>
      </c>
    </row>
    <row r="69" spans="2:28">
      <c r="B69">
        <f>MacReports!B69</f>
        <v>0</v>
      </c>
      <c r="F69" t="str">
        <f>_xlfn.XLOOKUP(B69,MacReports!B:B,MacReports!D:D,"")</f>
        <v/>
      </c>
      <c r="AB69" t="str">
        <f t="shared" si="3"/>
        <v/>
      </c>
    </row>
    <row r="70" spans="2:28">
      <c r="B70">
        <f>MacReports!B70</f>
        <v>0</v>
      </c>
      <c r="F70" t="str">
        <f>_xlfn.XLOOKUP(B70,MacReports!B:B,MacReports!D:D,"")</f>
        <v/>
      </c>
      <c r="AB70" t="str">
        <f t="shared" si="3"/>
        <v/>
      </c>
    </row>
    <row r="71" spans="2:28">
      <c r="B71">
        <f>MacReports!B71</f>
        <v>0</v>
      </c>
      <c r="F71" t="str">
        <f>_xlfn.XLOOKUP(B71,MacReports!B:B,MacReports!D:D,"")</f>
        <v/>
      </c>
      <c r="AB71" t="str">
        <f t="shared" si="3"/>
        <v/>
      </c>
    </row>
    <row r="72" spans="2:28">
      <c r="B72">
        <f>MacReports!B72</f>
        <v>0</v>
      </c>
      <c r="F72" t="str">
        <f>_xlfn.XLOOKUP(B72,MacReports!B:B,MacReports!D:D,"")</f>
        <v/>
      </c>
      <c r="AB72" t="str">
        <f t="shared" si="3"/>
        <v/>
      </c>
    </row>
    <row r="73" spans="2:28">
      <c r="B73">
        <f>MacReports!B73</f>
        <v>0</v>
      </c>
      <c r="F73" t="str">
        <f>_xlfn.XLOOKUP(B73,MacReports!B:B,MacReports!D:D,"")</f>
        <v/>
      </c>
      <c r="AB73" t="str">
        <f t="shared" si="3"/>
        <v/>
      </c>
    </row>
    <row r="74" spans="2:28">
      <c r="B74">
        <f>MacReports!B74</f>
        <v>0</v>
      </c>
      <c r="F74" t="str">
        <f>_xlfn.XLOOKUP(B74,MacReports!B:B,MacReports!D:D,"")</f>
        <v/>
      </c>
      <c r="AB74" t="str">
        <f t="shared" si="3"/>
        <v/>
      </c>
    </row>
    <row r="75" spans="2:28">
      <c r="B75">
        <f>MacReports!B75</f>
        <v>0</v>
      </c>
      <c r="F75" t="str">
        <f>_xlfn.XLOOKUP(B75,MacReports!B:B,MacReports!D:D,"")</f>
        <v/>
      </c>
      <c r="AB75" t="str">
        <f t="shared" si="3"/>
        <v/>
      </c>
    </row>
    <row r="76" spans="2:28">
      <c r="B76">
        <f>MacReports!B76</f>
        <v>0</v>
      </c>
      <c r="F76" t="str">
        <f>_xlfn.XLOOKUP(B76,MacReports!B:B,MacReports!D:D,"")</f>
        <v/>
      </c>
      <c r="AB76" t="str">
        <f t="shared" si="3"/>
        <v/>
      </c>
    </row>
    <row r="77" spans="2:28">
      <c r="B77">
        <f>MacReports!B77</f>
        <v>0</v>
      </c>
      <c r="F77" t="str">
        <f>_xlfn.XLOOKUP(B77,MacReports!B:B,MacReports!D:D,"")</f>
        <v/>
      </c>
      <c r="AB77" t="str">
        <f t="shared" si="3"/>
        <v/>
      </c>
    </row>
    <row r="78" spans="2:28">
      <c r="B78">
        <f>MacReports!B78</f>
        <v>0</v>
      </c>
      <c r="F78" t="str">
        <f>_xlfn.XLOOKUP(B78,MacReports!B:B,MacReports!D:D,"")</f>
        <v/>
      </c>
      <c r="AB78" t="str">
        <f t="shared" si="3"/>
        <v/>
      </c>
    </row>
    <row r="79" spans="2:28">
      <c r="B79">
        <f>MacReports!B79</f>
        <v>0</v>
      </c>
      <c r="F79" t="str">
        <f>_xlfn.XLOOKUP(B79,MacReports!B:B,MacReports!D:D,"")</f>
        <v/>
      </c>
      <c r="AB79" t="str">
        <f t="shared" si="3"/>
        <v/>
      </c>
    </row>
    <row r="80" spans="2:28">
      <c r="B80">
        <f>MacReports!B80</f>
        <v>0</v>
      </c>
      <c r="F80" t="str">
        <f>_xlfn.XLOOKUP(B80,MacReports!B:B,MacReports!D:D,"")</f>
        <v/>
      </c>
      <c r="AB80" t="str">
        <f t="shared" si="3"/>
        <v/>
      </c>
    </row>
    <row r="81" spans="2:28">
      <c r="B81">
        <f>MacReports!B81</f>
        <v>0</v>
      </c>
      <c r="F81" t="str">
        <f>_xlfn.XLOOKUP(B81,MacReports!B:B,MacReports!D:D,"")</f>
        <v/>
      </c>
      <c r="AB81" t="str">
        <f t="shared" si="3"/>
        <v/>
      </c>
    </row>
    <row r="82" spans="2:28">
      <c r="B82">
        <f>MacReports!B82</f>
        <v>0</v>
      </c>
      <c r="F82" t="str">
        <f>_xlfn.XLOOKUP(B82,MacReports!B:B,MacReports!D:D,"")</f>
        <v/>
      </c>
      <c r="AB82" t="str">
        <f t="shared" si="3"/>
        <v/>
      </c>
    </row>
    <row r="83" spans="2:28">
      <c r="B83">
        <f>MacReports!B83</f>
        <v>0</v>
      </c>
      <c r="F83" t="str">
        <f>_xlfn.XLOOKUP(B83,MacReports!B:B,MacReports!D:D,"")</f>
        <v/>
      </c>
      <c r="AB83" t="str">
        <f t="shared" si="3"/>
        <v/>
      </c>
    </row>
    <row r="84" spans="2:28">
      <c r="B84">
        <f>MacReports!B84</f>
        <v>0</v>
      </c>
      <c r="F84" t="str">
        <f>_xlfn.XLOOKUP(B84,MacReports!B:B,MacReports!D:D,"")</f>
        <v/>
      </c>
      <c r="AB84" t="str">
        <f t="shared" si="3"/>
        <v/>
      </c>
    </row>
    <row r="85" spans="2:28">
      <c r="B85">
        <f>MacReports!B85</f>
        <v>0</v>
      </c>
      <c r="F85" t="str">
        <f>_xlfn.XLOOKUP(B85,MacReports!B:B,MacReports!D:D,"")</f>
        <v/>
      </c>
      <c r="AB85" t="str">
        <f t="shared" si="3"/>
        <v/>
      </c>
    </row>
    <row r="86" spans="2:28">
      <c r="B86">
        <f>MacReports!B86</f>
        <v>0</v>
      </c>
      <c r="F86" t="str">
        <f>_xlfn.XLOOKUP(B86,MacReports!B:B,MacReports!D:D,"")</f>
        <v/>
      </c>
      <c r="AB86" t="str">
        <f t="shared" si="3"/>
        <v/>
      </c>
    </row>
    <row r="87" spans="2:28">
      <c r="B87">
        <f>MacReports!B87</f>
        <v>0</v>
      </c>
      <c r="F87" t="str">
        <f>_xlfn.XLOOKUP(B87,MacReports!B:B,MacReports!D:D,"")</f>
        <v/>
      </c>
      <c r="AB87" t="str">
        <f t="shared" si="3"/>
        <v/>
      </c>
    </row>
    <row r="88" spans="2:28">
      <c r="B88">
        <f>MacReports!B88</f>
        <v>0</v>
      </c>
      <c r="F88" t="str">
        <f>_xlfn.XLOOKUP(B88,MacReports!B:B,MacReports!D:D,"")</f>
        <v/>
      </c>
      <c r="AB88" t="str">
        <f t="shared" si="3"/>
        <v/>
      </c>
    </row>
    <row r="89" spans="2:28">
      <c r="B89">
        <f>MacReports!B89</f>
        <v>0</v>
      </c>
      <c r="F89" t="str">
        <f>_xlfn.XLOOKUP(B89,MacReports!B:B,MacReports!D:D,"")</f>
        <v/>
      </c>
      <c r="AB89" t="str">
        <f t="shared" si="3"/>
        <v/>
      </c>
    </row>
    <row r="90" spans="2:28">
      <c r="B90">
        <f>MacReports!B90</f>
        <v>0</v>
      </c>
      <c r="F90" t="str">
        <f>_xlfn.XLOOKUP(B90,MacReports!B:B,MacReports!D:D,"")</f>
        <v/>
      </c>
      <c r="AB90" t="str">
        <f t="shared" si="3"/>
        <v/>
      </c>
    </row>
    <row r="91" spans="2:28">
      <c r="B91">
        <f>MacReports!B91</f>
        <v>0</v>
      </c>
      <c r="F91" t="str">
        <f>_xlfn.XLOOKUP(B91,MacReports!B:B,MacReports!D:D,"")</f>
        <v/>
      </c>
      <c r="AB91" t="str">
        <f t="shared" si="3"/>
        <v/>
      </c>
    </row>
    <row r="92" spans="2:28">
      <c r="B92">
        <f>MacReports!B92</f>
        <v>0</v>
      </c>
      <c r="F92" t="str">
        <f>_xlfn.XLOOKUP(B92,MacReports!B:B,MacReports!D:D,"")</f>
        <v/>
      </c>
      <c r="AB92" t="str">
        <f t="shared" si="3"/>
        <v/>
      </c>
    </row>
    <row r="93" spans="2:28">
      <c r="B93">
        <f>MacReports!B93</f>
        <v>0</v>
      </c>
      <c r="F93" t="str">
        <f>_xlfn.XLOOKUP(B93,MacReports!B:B,MacReports!D:D,"")</f>
        <v/>
      </c>
      <c r="AB93" t="str">
        <f t="shared" si="3"/>
        <v/>
      </c>
    </row>
    <row r="94" spans="2:28">
      <c r="B94">
        <f>MacReports!B94</f>
        <v>0</v>
      </c>
      <c r="F94" t="str">
        <f>_xlfn.XLOOKUP(B94,MacReports!B:B,MacReports!D:D,"")</f>
        <v/>
      </c>
      <c r="AB94" t="str">
        <f t="shared" si="3"/>
        <v/>
      </c>
    </row>
    <row r="95" spans="2:28">
      <c r="B95">
        <f>MacReports!B95</f>
        <v>0</v>
      </c>
      <c r="F95" t="str">
        <f>_xlfn.XLOOKUP(B95,MacReports!B:B,MacReports!D:D,"")</f>
        <v/>
      </c>
      <c r="AB95" t="str">
        <f t="shared" si="3"/>
        <v/>
      </c>
    </row>
    <row r="96" spans="2:28">
      <c r="B96">
        <f>MacReports!B96</f>
        <v>0</v>
      </c>
      <c r="F96" t="str">
        <f>_xlfn.XLOOKUP(B96,MacReports!B:B,MacReports!D:D,"")</f>
        <v/>
      </c>
      <c r="AB96" t="str">
        <f t="shared" si="3"/>
        <v/>
      </c>
    </row>
    <row r="97" spans="2:28">
      <c r="B97">
        <f>MacReports!B97</f>
        <v>0</v>
      </c>
      <c r="F97" t="str">
        <f>_xlfn.XLOOKUP(B97,MacReports!B:B,MacReports!D:D,"")</f>
        <v/>
      </c>
      <c r="AB97" t="str">
        <f t="shared" si="3"/>
        <v/>
      </c>
    </row>
    <row r="98" spans="2:28">
      <c r="B98">
        <f>MacReports!B98</f>
        <v>0</v>
      </c>
      <c r="F98" t="str">
        <f>_xlfn.XLOOKUP(B98,MacReports!B:B,MacReports!D:D,"")</f>
        <v/>
      </c>
      <c r="AB98" t="str">
        <f t="shared" si="3"/>
        <v/>
      </c>
    </row>
    <row r="99" spans="2:28">
      <c r="B99">
        <f>MacReports!B99</f>
        <v>0</v>
      </c>
      <c r="F99" t="str">
        <f>_xlfn.XLOOKUP(B99,MacReports!B:B,MacReports!D:D,"")</f>
        <v/>
      </c>
      <c r="AB99" t="str">
        <f t="shared" si="3"/>
        <v/>
      </c>
    </row>
    <row r="100" spans="2:28">
      <c r="B100">
        <f>MacReports!B100</f>
        <v>0</v>
      </c>
      <c r="F100" t="str">
        <f>_xlfn.XLOOKUP(B100,MacReports!B:B,MacReports!D:D,"")</f>
        <v/>
      </c>
      <c r="AB100" t="str">
        <f t="shared" si="3"/>
        <v/>
      </c>
    </row>
    <row r="101" spans="2:28">
      <c r="B101">
        <f>MacReports!B101</f>
        <v>0</v>
      </c>
      <c r="F101" t="str">
        <f>_xlfn.XLOOKUP(B101,MacReports!B:B,MacReports!D:D,"")</f>
        <v/>
      </c>
      <c r="AB101" t="str">
        <f t="shared" si="3"/>
        <v/>
      </c>
    </row>
    <row r="102" spans="2:28">
      <c r="B102">
        <f>MacReports!B102</f>
        <v>0</v>
      </c>
      <c r="F102" t="str">
        <f>_xlfn.XLOOKUP(B102,MacReports!B:B,MacReports!D:D,"")</f>
        <v/>
      </c>
      <c r="AB102" t="str">
        <f t="shared" si="3"/>
        <v/>
      </c>
    </row>
    <row r="103" spans="2:28">
      <c r="B103">
        <f>MacReports!B103</f>
        <v>0</v>
      </c>
      <c r="F103" t="str">
        <f>_xlfn.XLOOKUP(B103,MacReports!B:B,MacReports!D:D,"")</f>
        <v/>
      </c>
      <c r="AB103" t="str">
        <f t="shared" si="3"/>
        <v/>
      </c>
    </row>
    <row r="104" spans="2:28">
      <c r="B104">
        <f>MacReports!B104</f>
        <v>0</v>
      </c>
      <c r="F104" t="str">
        <f>_xlfn.XLOOKUP(B104,MacReports!B:B,MacReports!D:D,"")</f>
        <v/>
      </c>
      <c r="AB104" t="str">
        <f t="shared" si="3"/>
        <v/>
      </c>
    </row>
    <row r="105" spans="2:28">
      <c r="B105">
        <f>MacReports!B105</f>
        <v>0</v>
      </c>
      <c r="F105" t="str">
        <f>_xlfn.XLOOKUP(B105,MacReports!B:B,MacReports!D:D,"")</f>
        <v/>
      </c>
      <c r="AB105" t="str">
        <f t="shared" si="3"/>
        <v/>
      </c>
    </row>
    <row r="106" spans="2:28">
      <c r="B106">
        <f>MacReports!B106</f>
        <v>0</v>
      </c>
      <c r="F106" t="str">
        <f>_xlfn.XLOOKUP(B106,MacReports!B:B,MacReports!D:D,"")</f>
        <v/>
      </c>
      <c r="AB106" t="str">
        <f t="shared" si="3"/>
        <v/>
      </c>
    </row>
    <row r="107" spans="2:28">
      <c r="B107">
        <f>MacReports!B107</f>
        <v>0</v>
      </c>
      <c r="F107" t="str">
        <f>_xlfn.XLOOKUP(B107,MacReports!B:B,MacReports!D:D,"")</f>
        <v/>
      </c>
      <c r="AB107" t="str">
        <f t="shared" si="3"/>
        <v/>
      </c>
    </row>
    <row r="108" spans="2:28">
      <c r="B108">
        <f>MacReports!B108</f>
        <v>0</v>
      </c>
      <c r="F108" t="str">
        <f>_xlfn.XLOOKUP(B108,MacReports!B:B,MacReports!D:D,"")</f>
        <v/>
      </c>
      <c r="AB108" t="str">
        <f t="shared" si="3"/>
        <v/>
      </c>
    </row>
    <row r="109" spans="2:28">
      <c r="B109">
        <f>MacReports!B109</f>
        <v>0</v>
      </c>
      <c r="F109" t="str">
        <f>_xlfn.XLOOKUP(B109,MacReports!B:B,MacReports!D:D,"")</f>
        <v/>
      </c>
      <c r="AB109" t="str">
        <f t="shared" si="3"/>
        <v/>
      </c>
    </row>
    <row r="110" spans="2:28">
      <c r="B110">
        <f>MacReports!B110</f>
        <v>0</v>
      </c>
      <c r="F110" t="str">
        <f>_xlfn.XLOOKUP(B110,MacReports!B:B,MacReports!D:D,"")</f>
        <v/>
      </c>
      <c r="AB110" t="str">
        <f t="shared" si="3"/>
        <v/>
      </c>
    </row>
    <row r="111" spans="2:28">
      <c r="B111">
        <f>MacReports!B111</f>
        <v>0</v>
      </c>
      <c r="F111" t="str">
        <f>_xlfn.XLOOKUP(B111,MacReports!B:B,MacReports!D:D,"")</f>
        <v/>
      </c>
      <c r="AB111" t="str">
        <f t="shared" si="3"/>
        <v/>
      </c>
    </row>
    <row r="112" spans="2:28">
      <c r="B112">
        <f>MacReports!B112</f>
        <v>0</v>
      </c>
      <c r="F112" t="str">
        <f>_xlfn.XLOOKUP(B112,MacReports!B:B,MacReports!D:D,"")</f>
        <v/>
      </c>
      <c r="AB112" t="str">
        <f t="shared" si="3"/>
        <v/>
      </c>
    </row>
    <row r="113" spans="2:28">
      <c r="B113">
        <f>MacReports!B113</f>
        <v>0</v>
      </c>
      <c r="F113" t="str">
        <f>_xlfn.XLOOKUP(B113,MacReports!B:B,MacReports!D:D,"")</f>
        <v/>
      </c>
      <c r="AB113" t="str">
        <f t="shared" si="3"/>
        <v/>
      </c>
    </row>
    <row r="114" spans="2:28">
      <c r="B114">
        <f>MacReports!B114</f>
        <v>0</v>
      </c>
      <c r="F114" t="str">
        <f>_xlfn.XLOOKUP(B114,MacReports!B:B,MacReports!D:D,"")</f>
        <v/>
      </c>
      <c r="AB114" t="str">
        <f t="shared" si="3"/>
        <v/>
      </c>
    </row>
    <row r="115" spans="2:28">
      <c r="B115">
        <f>MacReports!B115</f>
        <v>0</v>
      </c>
      <c r="F115" t="str">
        <f>_xlfn.XLOOKUP(B115,MacReports!B:B,MacReports!D:D,"")</f>
        <v/>
      </c>
      <c r="AB115" t="str">
        <f t="shared" si="3"/>
        <v/>
      </c>
    </row>
    <row r="116" spans="2:28">
      <c r="B116">
        <f>MacReports!B116</f>
        <v>0</v>
      </c>
      <c r="F116" t="str">
        <f>_xlfn.XLOOKUP(B116,MacReports!B:B,MacReports!D:D,"")</f>
        <v/>
      </c>
      <c r="AB116" t="str">
        <f t="shared" si="3"/>
        <v/>
      </c>
    </row>
    <row r="117" spans="2:28">
      <c r="B117">
        <f>MacReports!B117</f>
        <v>0</v>
      </c>
      <c r="F117" t="str">
        <f>_xlfn.XLOOKUP(B117,MacReports!B:B,MacReports!D:D,"")</f>
        <v/>
      </c>
      <c r="AB117" t="str">
        <f t="shared" si="3"/>
        <v/>
      </c>
    </row>
    <row r="118" spans="2:28">
      <c r="B118">
        <f>MacReports!B118</f>
        <v>0</v>
      </c>
      <c r="F118" t="str">
        <f>_xlfn.XLOOKUP(B118,MacReports!B:B,MacReports!D:D,"")</f>
        <v/>
      </c>
      <c r="AB118" t="str">
        <f t="shared" si="3"/>
        <v/>
      </c>
    </row>
    <row r="119" spans="2:28">
      <c r="B119">
        <f>MacReports!B119</f>
        <v>0</v>
      </c>
      <c r="F119" t="str">
        <f>_xlfn.XLOOKUP(B119,MacReports!B:B,MacReports!D:D,"")</f>
        <v/>
      </c>
      <c r="AB119" t="str">
        <f t="shared" si="3"/>
        <v/>
      </c>
    </row>
    <row r="120" spans="2:28">
      <c r="B120">
        <f>MacReports!B120</f>
        <v>0</v>
      </c>
      <c r="F120" t="str">
        <f>_xlfn.XLOOKUP(B120,MacReports!B:B,MacReports!D:D,"")</f>
        <v/>
      </c>
      <c r="AB120" t="str">
        <f t="shared" si="3"/>
        <v/>
      </c>
    </row>
    <row r="121" spans="2:28">
      <c r="B121">
        <f>MacReports!B121</f>
        <v>0</v>
      </c>
      <c r="F121" t="str">
        <f>_xlfn.XLOOKUP(B121,MacReports!B:B,MacReports!D:D,"")</f>
        <v/>
      </c>
      <c r="AB121" t="str">
        <f t="shared" si="3"/>
        <v/>
      </c>
    </row>
    <row r="122" spans="2:28">
      <c r="B122">
        <f>MacReports!B122</f>
        <v>0</v>
      </c>
      <c r="F122" t="str">
        <f>_xlfn.XLOOKUP(B122,MacReports!B:B,MacReports!D:D,"")</f>
        <v/>
      </c>
      <c r="AB122" t="str">
        <f t="shared" si="3"/>
        <v/>
      </c>
    </row>
    <row r="123" spans="2:28">
      <c r="B123">
        <f>MacReports!B123</f>
        <v>0</v>
      </c>
      <c r="F123" t="str">
        <f>_xlfn.XLOOKUP(B123,MacReports!B:B,MacReports!D:D,"")</f>
        <v/>
      </c>
      <c r="AB123" t="str">
        <f t="shared" si="3"/>
        <v/>
      </c>
    </row>
    <row r="124" spans="2:28">
      <c r="B124">
        <f>MacReports!B124</f>
        <v>0</v>
      </c>
      <c r="F124" t="str">
        <f>_xlfn.XLOOKUP(B124,MacReports!B:B,MacReports!D:D,"")</f>
        <v/>
      </c>
      <c r="AB124" t="str">
        <f t="shared" si="3"/>
        <v/>
      </c>
    </row>
    <row r="125" spans="2:28">
      <c r="B125">
        <f>MacReports!B125</f>
        <v>0</v>
      </c>
      <c r="F125" t="str">
        <f>_xlfn.XLOOKUP(B125,MacReports!B:B,MacReports!D:D,"")</f>
        <v/>
      </c>
      <c r="AB125" t="str">
        <f t="shared" si="3"/>
        <v/>
      </c>
    </row>
    <row r="126" spans="2:28">
      <c r="B126">
        <f>MacReports!B126</f>
        <v>0</v>
      </c>
      <c r="F126" t="str">
        <f>_xlfn.XLOOKUP(B126,MacReports!B:B,MacReports!D:D,"")</f>
        <v/>
      </c>
      <c r="AB126" t="str">
        <f t="shared" si="3"/>
        <v/>
      </c>
    </row>
    <row r="127" spans="2:28">
      <c r="B127">
        <f>MacReports!B127</f>
        <v>0</v>
      </c>
      <c r="F127" t="str">
        <f>_xlfn.XLOOKUP(B127,MacReports!B:B,MacReports!D:D,"")</f>
        <v/>
      </c>
      <c r="AB127" t="str">
        <f t="shared" si="3"/>
        <v/>
      </c>
    </row>
    <row r="128" spans="2:28">
      <c r="B128">
        <f>MacReports!B128</f>
        <v>0</v>
      </c>
      <c r="F128" t="str">
        <f>_xlfn.XLOOKUP(B128,MacReports!B:B,MacReports!D:D,"")</f>
        <v/>
      </c>
      <c r="AB128" t="str">
        <f t="shared" si="3"/>
        <v/>
      </c>
    </row>
    <row r="129" spans="2:28">
      <c r="B129">
        <f>MacReports!B129</f>
        <v>0</v>
      </c>
      <c r="F129" t="str">
        <f>_xlfn.XLOOKUP(B129,MacReports!B:B,MacReports!D:D,"")</f>
        <v/>
      </c>
      <c r="AB129" t="str">
        <f t="shared" si="3"/>
        <v/>
      </c>
    </row>
    <row r="130" spans="2:28">
      <c r="B130">
        <f>MacReports!B130</f>
        <v>0</v>
      </c>
      <c r="F130" t="str">
        <f>_xlfn.XLOOKUP(B130,MacReports!B:B,MacReports!D:D,"")</f>
        <v/>
      </c>
      <c r="AB130" t="str">
        <f t="shared" si="3"/>
        <v/>
      </c>
    </row>
    <row r="131" spans="2:28">
      <c r="B131">
        <f>MacReports!B131</f>
        <v>0</v>
      </c>
      <c r="F131" t="str">
        <f>_xlfn.XLOOKUP(B131,MacReports!B:B,MacReports!D:D,"")</f>
        <v/>
      </c>
      <c r="AB131" t="str">
        <f t="shared" ref="AB131:AB194" si="4">_xlfn.TEXTJOIN(", ",TRUE,Q131,R131)</f>
        <v/>
      </c>
    </row>
    <row r="132" spans="2:28">
      <c r="B132">
        <f>MacReports!B132</f>
        <v>0</v>
      </c>
      <c r="F132" t="str">
        <f>_xlfn.XLOOKUP(B132,MacReports!B:B,MacReports!D:D,"")</f>
        <v/>
      </c>
      <c r="AB132" t="str">
        <f t="shared" si="4"/>
        <v/>
      </c>
    </row>
    <row r="133" spans="2:28">
      <c r="B133">
        <f>MacReports!B133</f>
        <v>0</v>
      </c>
      <c r="F133" t="str">
        <f>_xlfn.XLOOKUP(B133,MacReports!B:B,MacReports!D:D,"")</f>
        <v/>
      </c>
      <c r="AB133" t="str">
        <f t="shared" si="4"/>
        <v/>
      </c>
    </row>
    <row r="134" spans="2:28">
      <c r="B134">
        <f>MacReports!B134</f>
        <v>0</v>
      </c>
      <c r="F134" t="str">
        <f>_xlfn.XLOOKUP(B134,MacReports!B:B,MacReports!D:D,"")</f>
        <v/>
      </c>
      <c r="AB134" t="str">
        <f t="shared" si="4"/>
        <v/>
      </c>
    </row>
    <row r="135" spans="2:28">
      <c r="B135">
        <f>MacReports!B135</f>
        <v>0</v>
      </c>
      <c r="F135" t="str">
        <f>_xlfn.XLOOKUP(B135,MacReports!B:B,MacReports!D:D,"")</f>
        <v/>
      </c>
      <c r="AB135" t="str">
        <f t="shared" si="4"/>
        <v/>
      </c>
    </row>
    <row r="136" spans="2:28">
      <c r="B136">
        <f>MacReports!B136</f>
        <v>0</v>
      </c>
      <c r="F136" t="str">
        <f>_xlfn.XLOOKUP(B136,MacReports!B:B,MacReports!D:D,"")</f>
        <v/>
      </c>
      <c r="AB136" t="str">
        <f t="shared" si="4"/>
        <v/>
      </c>
    </row>
    <row r="137" spans="2:28">
      <c r="B137">
        <f>MacReports!B137</f>
        <v>0</v>
      </c>
      <c r="F137" t="str">
        <f>_xlfn.XLOOKUP(B137,MacReports!B:B,MacReports!D:D,"")</f>
        <v/>
      </c>
      <c r="AB137" t="str">
        <f t="shared" si="4"/>
        <v/>
      </c>
    </row>
    <row r="138" spans="2:28">
      <c r="B138">
        <f>MacReports!B138</f>
        <v>0</v>
      </c>
      <c r="F138" t="str">
        <f>_xlfn.XLOOKUP(B138,MacReports!B:B,MacReports!D:D,"")</f>
        <v/>
      </c>
      <c r="AB138" t="str">
        <f t="shared" si="4"/>
        <v/>
      </c>
    </row>
    <row r="139" spans="2:28">
      <c r="B139">
        <f>MacReports!B139</f>
        <v>0</v>
      </c>
      <c r="F139" t="str">
        <f>_xlfn.XLOOKUP(B139,MacReports!B:B,MacReports!D:D,"")</f>
        <v/>
      </c>
      <c r="AB139" t="str">
        <f t="shared" si="4"/>
        <v/>
      </c>
    </row>
    <row r="140" spans="2:28">
      <c r="B140">
        <f>MacReports!B140</f>
        <v>0</v>
      </c>
      <c r="F140" t="str">
        <f>_xlfn.XLOOKUP(B140,MacReports!B:B,MacReports!D:D,"")</f>
        <v/>
      </c>
      <c r="AB140" t="str">
        <f t="shared" si="4"/>
        <v/>
      </c>
    </row>
    <row r="141" spans="2:28">
      <c r="B141">
        <f>MacReports!B141</f>
        <v>0</v>
      </c>
      <c r="F141" t="str">
        <f>_xlfn.XLOOKUP(B141,MacReports!B:B,MacReports!D:D,"")</f>
        <v/>
      </c>
      <c r="AB141" t="str">
        <f t="shared" si="4"/>
        <v/>
      </c>
    </row>
    <row r="142" spans="2:28">
      <c r="B142">
        <f>MacReports!B142</f>
        <v>0</v>
      </c>
      <c r="F142" t="str">
        <f>_xlfn.XLOOKUP(B142,MacReports!B:B,MacReports!D:D,"")</f>
        <v/>
      </c>
      <c r="AB142" t="str">
        <f t="shared" si="4"/>
        <v/>
      </c>
    </row>
    <row r="143" spans="2:28">
      <c r="B143">
        <f>MacReports!B143</f>
        <v>0</v>
      </c>
      <c r="F143" t="str">
        <f>_xlfn.XLOOKUP(B143,MacReports!B:B,MacReports!D:D,"")</f>
        <v/>
      </c>
      <c r="AB143" t="str">
        <f t="shared" si="4"/>
        <v/>
      </c>
    </row>
    <row r="144" spans="2:28">
      <c r="B144">
        <f>MacReports!B144</f>
        <v>0</v>
      </c>
      <c r="F144" t="str">
        <f>_xlfn.XLOOKUP(B144,MacReports!B:B,MacReports!D:D,"")</f>
        <v/>
      </c>
      <c r="AB144" t="str">
        <f t="shared" si="4"/>
        <v/>
      </c>
    </row>
    <row r="145" spans="2:28">
      <c r="B145">
        <f>MacReports!B145</f>
        <v>0</v>
      </c>
      <c r="F145" t="str">
        <f>_xlfn.XLOOKUP(B145,MacReports!B:B,MacReports!D:D,"")</f>
        <v/>
      </c>
      <c r="AB145" t="str">
        <f t="shared" si="4"/>
        <v/>
      </c>
    </row>
    <row r="146" spans="2:28">
      <c r="B146">
        <f>MacReports!B146</f>
        <v>0</v>
      </c>
      <c r="F146" t="str">
        <f>_xlfn.XLOOKUP(B146,MacReports!B:B,MacReports!D:D,"")</f>
        <v/>
      </c>
      <c r="AB146" t="str">
        <f t="shared" si="4"/>
        <v/>
      </c>
    </row>
    <row r="147" spans="2:28">
      <c r="B147">
        <f>MacReports!B147</f>
        <v>0</v>
      </c>
      <c r="F147" t="str">
        <f>_xlfn.XLOOKUP(B147,MacReports!B:B,MacReports!D:D,"")</f>
        <v/>
      </c>
      <c r="AB147" t="str">
        <f t="shared" si="4"/>
        <v/>
      </c>
    </row>
    <row r="148" spans="2:28">
      <c r="B148">
        <f>MacReports!B148</f>
        <v>0</v>
      </c>
      <c r="F148" t="str">
        <f>_xlfn.XLOOKUP(B148,MacReports!B:B,MacReports!D:D,"")</f>
        <v/>
      </c>
      <c r="AB148" t="str">
        <f t="shared" si="4"/>
        <v/>
      </c>
    </row>
    <row r="149" spans="2:28">
      <c r="B149">
        <f>MacReports!B149</f>
        <v>0</v>
      </c>
      <c r="F149" t="str">
        <f>_xlfn.XLOOKUP(B149,MacReports!B:B,MacReports!D:D,"")</f>
        <v/>
      </c>
      <c r="AB149" t="str">
        <f t="shared" si="4"/>
        <v/>
      </c>
    </row>
    <row r="150" spans="2:28">
      <c r="B150">
        <f>MacReports!B150</f>
        <v>0</v>
      </c>
      <c r="F150" t="str">
        <f>_xlfn.XLOOKUP(B150,MacReports!B:B,MacReports!D:D,"")</f>
        <v/>
      </c>
      <c r="AB150" t="str">
        <f t="shared" si="4"/>
        <v/>
      </c>
    </row>
    <row r="151" spans="2:28">
      <c r="B151">
        <f>MacReports!B151</f>
        <v>0</v>
      </c>
      <c r="F151" t="str">
        <f>_xlfn.XLOOKUP(B151,MacReports!B:B,MacReports!D:D,"")</f>
        <v/>
      </c>
      <c r="AB151" t="str">
        <f t="shared" si="4"/>
        <v/>
      </c>
    </row>
    <row r="152" spans="2:28">
      <c r="B152">
        <f>MacReports!B152</f>
        <v>0</v>
      </c>
      <c r="F152" t="str">
        <f>_xlfn.XLOOKUP(B152,MacReports!B:B,MacReports!D:D,"")</f>
        <v/>
      </c>
      <c r="AB152" t="str">
        <f t="shared" si="4"/>
        <v/>
      </c>
    </row>
    <row r="153" spans="2:28">
      <c r="B153">
        <f>MacReports!B153</f>
        <v>0</v>
      </c>
      <c r="F153" t="str">
        <f>_xlfn.XLOOKUP(B153,MacReports!B:B,MacReports!D:D,"")</f>
        <v/>
      </c>
      <c r="AB153" t="str">
        <f t="shared" si="4"/>
        <v/>
      </c>
    </row>
    <row r="154" spans="2:28">
      <c r="B154">
        <f>MacReports!B154</f>
        <v>0</v>
      </c>
      <c r="F154" t="str">
        <f>_xlfn.XLOOKUP(B154,MacReports!B:B,MacReports!D:D,"")</f>
        <v/>
      </c>
      <c r="AB154" t="str">
        <f t="shared" si="4"/>
        <v/>
      </c>
    </row>
    <row r="155" spans="2:28">
      <c r="B155">
        <f>MacReports!B155</f>
        <v>0</v>
      </c>
      <c r="F155" t="str">
        <f>_xlfn.XLOOKUP(B155,MacReports!B:B,MacReports!D:D,"")</f>
        <v/>
      </c>
      <c r="AB155" t="str">
        <f t="shared" si="4"/>
        <v/>
      </c>
    </row>
    <row r="156" spans="2:28">
      <c r="B156">
        <f>MacReports!B156</f>
        <v>0</v>
      </c>
      <c r="F156" t="str">
        <f>_xlfn.XLOOKUP(B156,MacReports!B:B,MacReports!D:D,"")</f>
        <v/>
      </c>
      <c r="AB156" t="str">
        <f t="shared" si="4"/>
        <v/>
      </c>
    </row>
    <row r="157" spans="2:28">
      <c r="B157">
        <f>MacReports!B157</f>
        <v>0</v>
      </c>
      <c r="F157" t="str">
        <f>_xlfn.XLOOKUP(B157,MacReports!B:B,MacReports!D:D,"")</f>
        <v/>
      </c>
      <c r="AB157" t="str">
        <f t="shared" si="4"/>
        <v/>
      </c>
    </row>
    <row r="158" spans="2:28">
      <c r="B158">
        <f>MacReports!B158</f>
        <v>0</v>
      </c>
      <c r="F158" t="str">
        <f>_xlfn.XLOOKUP(B158,MacReports!B:B,MacReports!D:D,"")</f>
        <v/>
      </c>
      <c r="AB158" t="str">
        <f t="shared" si="4"/>
        <v/>
      </c>
    </row>
    <row r="159" spans="2:28">
      <c r="B159">
        <f>MacReports!B159</f>
        <v>0</v>
      </c>
      <c r="F159" t="str">
        <f>_xlfn.XLOOKUP(B159,MacReports!B:B,MacReports!D:D,"")</f>
        <v/>
      </c>
      <c r="AB159" t="str">
        <f t="shared" si="4"/>
        <v/>
      </c>
    </row>
    <row r="160" spans="2:28">
      <c r="B160">
        <f>MacReports!B160</f>
        <v>0</v>
      </c>
      <c r="F160" t="str">
        <f>_xlfn.XLOOKUP(B160,MacReports!B:B,MacReports!D:D,"")</f>
        <v/>
      </c>
      <c r="AB160" t="str">
        <f t="shared" si="4"/>
        <v/>
      </c>
    </row>
    <row r="161" spans="2:28">
      <c r="B161">
        <f>MacReports!B161</f>
        <v>0</v>
      </c>
      <c r="F161" t="str">
        <f>_xlfn.XLOOKUP(B161,MacReports!B:B,MacReports!D:D,"")</f>
        <v/>
      </c>
      <c r="AB161" t="str">
        <f t="shared" si="4"/>
        <v/>
      </c>
    </row>
    <row r="162" spans="2:28">
      <c r="B162">
        <f>MacReports!B162</f>
        <v>0</v>
      </c>
      <c r="F162" t="str">
        <f>_xlfn.XLOOKUP(B162,MacReports!B:B,MacReports!D:D,"")</f>
        <v/>
      </c>
      <c r="AB162" t="str">
        <f t="shared" si="4"/>
        <v/>
      </c>
    </row>
    <row r="163" spans="2:28">
      <c r="B163">
        <f>MacReports!B163</f>
        <v>0</v>
      </c>
      <c r="F163" t="str">
        <f>_xlfn.XLOOKUP(B163,MacReports!B:B,MacReports!D:D,"")</f>
        <v/>
      </c>
      <c r="AB163" t="str">
        <f t="shared" si="4"/>
        <v/>
      </c>
    </row>
    <row r="164" spans="2:28">
      <c r="B164">
        <f>MacReports!B164</f>
        <v>0</v>
      </c>
      <c r="F164" t="str">
        <f>_xlfn.XLOOKUP(B164,MacReports!B:B,MacReports!D:D,"")</f>
        <v/>
      </c>
      <c r="AB164" t="str">
        <f t="shared" si="4"/>
        <v/>
      </c>
    </row>
    <row r="165" spans="2:28">
      <c r="B165">
        <f>MacReports!B165</f>
        <v>0</v>
      </c>
      <c r="F165" t="str">
        <f>_xlfn.XLOOKUP(B165,MacReports!B:B,MacReports!D:D,"")</f>
        <v/>
      </c>
      <c r="AB165" t="str">
        <f t="shared" si="4"/>
        <v/>
      </c>
    </row>
    <row r="166" spans="2:28">
      <c r="B166">
        <f>MacReports!B166</f>
        <v>0</v>
      </c>
      <c r="F166" t="str">
        <f>_xlfn.XLOOKUP(B166,MacReports!B:B,MacReports!D:D,"")</f>
        <v/>
      </c>
      <c r="AB166" t="str">
        <f t="shared" si="4"/>
        <v/>
      </c>
    </row>
    <row r="167" spans="2:28">
      <c r="B167">
        <f>MacReports!B167</f>
        <v>0</v>
      </c>
      <c r="F167" t="str">
        <f>_xlfn.XLOOKUP(B167,MacReports!B:B,MacReports!D:D,"")</f>
        <v/>
      </c>
      <c r="AB167" t="str">
        <f t="shared" si="4"/>
        <v/>
      </c>
    </row>
    <row r="168" spans="2:28">
      <c r="B168">
        <f>MacReports!B168</f>
        <v>0</v>
      </c>
      <c r="F168" t="str">
        <f>_xlfn.XLOOKUP(B168,MacReports!B:B,MacReports!D:D,"")</f>
        <v/>
      </c>
      <c r="AB168" t="str">
        <f t="shared" si="4"/>
        <v/>
      </c>
    </row>
    <row r="169" spans="2:28">
      <c r="B169">
        <f>MacReports!B169</f>
        <v>0</v>
      </c>
      <c r="F169" t="str">
        <f>_xlfn.XLOOKUP(B169,MacReports!B:B,MacReports!D:D,"")</f>
        <v/>
      </c>
      <c r="AB169" t="str">
        <f t="shared" si="4"/>
        <v/>
      </c>
    </row>
    <row r="170" spans="2:28">
      <c r="B170">
        <f>MacReports!B170</f>
        <v>0</v>
      </c>
      <c r="F170" t="str">
        <f>_xlfn.XLOOKUP(B170,MacReports!B:B,MacReports!D:D,"")</f>
        <v/>
      </c>
      <c r="AB170" t="str">
        <f t="shared" si="4"/>
        <v/>
      </c>
    </row>
    <row r="171" spans="2:28">
      <c r="B171">
        <f>MacReports!B171</f>
        <v>0</v>
      </c>
      <c r="F171" t="str">
        <f>_xlfn.XLOOKUP(B171,MacReports!B:B,MacReports!D:D,"")</f>
        <v/>
      </c>
      <c r="AB171" t="str">
        <f t="shared" si="4"/>
        <v/>
      </c>
    </row>
    <row r="172" spans="2:28">
      <c r="B172">
        <f>MacReports!B172</f>
        <v>0</v>
      </c>
      <c r="F172" t="str">
        <f>_xlfn.XLOOKUP(B172,MacReports!B:B,MacReports!D:D,"")</f>
        <v/>
      </c>
      <c r="AB172" t="str">
        <f t="shared" si="4"/>
        <v/>
      </c>
    </row>
    <row r="173" spans="2:28">
      <c r="B173">
        <f>MacReports!B173</f>
        <v>0</v>
      </c>
      <c r="F173" t="str">
        <f>_xlfn.XLOOKUP(B173,MacReports!B:B,MacReports!D:D,"")</f>
        <v/>
      </c>
      <c r="AB173" t="str">
        <f t="shared" si="4"/>
        <v/>
      </c>
    </row>
    <row r="174" spans="2:28">
      <c r="B174">
        <f>MacReports!B174</f>
        <v>0</v>
      </c>
      <c r="F174" t="str">
        <f>_xlfn.XLOOKUP(B174,MacReports!B:B,MacReports!D:D,"")</f>
        <v/>
      </c>
      <c r="AB174" t="str">
        <f t="shared" si="4"/>
        <v/>
      </c>
    </row>
    <row r="175" spans="2:28">
      <c r="B175">
        <f>MacReports!B175</f>
        <v>0</v>
      </c>
      <c r="F175" t="str">
        <f>_xlfn.XLOOKUP(B175,MacReports!B:B,MacReports!D:D,"")</f>
        <v/>
      </c>
      <c r="AB175" t="str">
        <f t="shared" si="4"/>
        <v/>
      </c>
    </row>
    <row r="176" spans="2:28">
      <c r="B176">
        <f>MacReports!B176</f>
        <v>0</v>
      </c>
      <c r="F176" t="str">
        <f>_xlfn.XLOOKUP(B176,MacReports!B:B,MacReports!D:D,"")</f>
        <v/>
      </c>
      <c r="AB176" t="str">
        <f t="shared" si="4"/>
        <v/>
      </c>
    </row>
    <row r="177" spans="2:28">
      <c r="B177">
        <f>MacReports!B177</f>
        <v>0</v>
      </c>
      <c r="F177" t="str">
        <f>_xlfn.XLOOKUP(B177,MacReports!B:B,MacReports!D:D,"")</f>
        <v/>
      </c>
      <c r="AB177" t="str">
        <f t="shared" si="4"/>
        <v/>
      </c>
    </row>
    <row r="178" spans="2:28">
      <c r="B178">
        <f>MacReports!B178</f>
        <v>0</v>
      </c>
      <c r="F178" t="str">
        <f>_xlfn.XLOOKUP(B178,MacReports!B:B,MacReports!D:D,"")</f>
        <v/>
      </c>
      <c r="AB178" t="str">
        <f t="shared" si="4"/>
        <v/>
      </c>
    </row>
    <row r="179" spans="2:28">
      <c r="B179">
        <f>MacReports!B179</f>
        <v>0</v>
      </c>
      <c r="F179" t="str">
        <f>_xlfn.XLOOKUP(B179,MacReports!B:B,MacReports!D:D,"")</f>
        <v/>
      </c>
      <c r="AB179" t="str">
        <f t="shared" si="4"/>
        <v/>
      </c>
    </row>
    <row r="180" spans="2:28">
      <c r="B180">
        <f>MacReports!B180</f>
        <v>0</v>
      </c>
      <c r="F180" t="str">
        <f>_xlfn.XLOOKUP(B180,MacReports!B:B,MacReports!D:D,"")</f>
        <v/>
      </c>
      <c r="AB180" t="str">
        <f t="shared" si="4"/>
        <v/>
      </c>
    </row>
    <row r="181" spans="2:28">
      <c r="B181">
        <f>MacReports!B181</f>
        <v>0</v>
      </c>
      <c r="F181" t="str">
        <f>_xlfn.XLOOKUP(B181,MacReports!B:B,MacReports!D:D,"")</f>
        <v/>
      </c>
      <c r="AB181" t="str">
        <f t="shared" si="4"/>
        <v/>
      </c>
    </row>
    <row r="182" spans="2:28">
      <c r="B182">
        <f>MacReports!B182</f>
        <v>0</v>
      </c>
      <c r="F182" t="str">
        <f>_xlfn.XLOOKUP(B182,MacReports!B:B,MacReports!D:D,"")</f>
        <v/>
      </c>
      <c r="AB182" t="str">
        <f t="shared" si="4"/>
        <v/>
      </c>
    </row>
    <row r="183" spans="2:28">
      <c r="B183">
        <f>MacReports!B183</f>
        <v>0</v>
      </c>
      <c r="F183" t="str">
        <f>_xlfn.XLOOKUP(B183,MacReports!B:B,MacReports!D:D,"")</f>
        <v/>
      </c>
      <c r="AB183" t="str">
        <f t="shared" si="4"/>
        <v/>
      </c>
    </row>
    <row r="184" spans="2:28">
      <c r="B184">
        <f>MacReports!B184</f>
        <v>0</v>
      </c>
      <c r="F184" t="str">
        <f>_xlfn.XLOOKUP(B184,MacReports!B:B,MacReports!D:D,"")</f>
        <v/>
      </c>
      <c r="AB184" t="str">
        <f t="shared" si="4"/>
        <v/>
      </c>
    </row>
    <row r="185" spans="2:28">
      <c r="B185">
        <f>MacReports!B185</f>
        <v>0</v>
      </c>
      <c r="F185" t="str">
        <f>_xlfn.XLOOKUP(B185,MacReports!B:B,MacReports!D:D,"")</f>
        <v/>
      </c>
      <c r="AB185" t="str">
        <f t="shared" si="4"/>
        <v/>
      </c>
    </row>
    <row r="186" spans="2:28">
      <c r="B186">
        <f>MacReports!B186</f>
        <v>0</v>
      </c>
      <c r="F186" t="str">
        <f>_xlfn.XLOOKUP(B186,MacReports!B:B,MacReports!D:D,"")</f>
        <v/>
      </c>
      <c r="AB186" t="str">
        <f t="shared" si="4"/>
        <v/>
      </c>
    </row>
    <row r="187" spans="2:28">
      <c r="B187">
        <f>MacReports!B187</f>
        <v>0</v>
      </c>
      <c r="F187" t="str">
        <f>_xlfn.XLOOKUP(B187,MacReports!B:B,MacReports!D:D,"")</f>
        <v/>
      </c>
      <c r="AB187" t="str">
        <f t="shared" si="4"/>
        <v/>
      </c>
    </row>
    <row r="188" spans="2:28">
      <c r="B188">
        <f>MacReports!B188</f>
        <v>0</v>
      </c>
      <c r="F188" t="str">
        <f>_xlfn.XLOOKUP(B188,MacReports!B:B,MacReports!D:D,"")</f>
        <v/>
      </c>
      <c r="AB188" t="str">
        <f t="shared" si="4"/>
        <v/>
      </c>
    </row>
    <row r="189" spans="2:28">
      <c r="B189">
        <f>MacReports!B189</f>
        <v>0</v>
      </c>
      <c r="F189" t="str">
        <f>_xlfn.XLOOKUP(B189,MacReports!B:B,MacReports!D:D,"")</f>
        <v/>
      </c>
      <c r="AB189" t="str">
        <f t="shared" si="4"/>
        <v/>
      </c>
    </row>
    <row r="190" spans="2:28">
      <c r="B190">
        <f>MacReports!B190</f>
        <v>0</v>
      </c>
      <c r="F190" t="str">
        <f>_xlfn.XLOOKUP(B190,MacReports!B:B,MacReports!D:D,"")</f>
        <v/>
      </c>
      <c r="AB190" t="str">
        <f t="shared" si="4"/>
        <v/>
      </c>
    </row>
    <row r="191" spans="2:28">
      <c r="B191">
        <f>MacReports!B191</f>
        <v>0</v>
      </c>
      <c r="F191" t="str">
        <f>_xlfn.XLOOKUP(B191,MacReports!B:B,MacReports!D:D,"")</f>
        <v/>
      </c>
      <c r="AB191" t="str">
        <f t="shared" si="4"/>
        <v/>
      </c>
    </row>
    <row r="192" spans="2:28">
      <c r="B192">
        <f>MacReports!B192</f>
        <v>0</v>
      </c>
      <c r="F192" t="str">
        <f>_xlfn.XLOOKUP(B192,MacReports!B:B,MacReports!D:D,"")</f>
        <v/>
      </c>
      <c r="AB192" t="str">
        <f t="shared" si="4"/>
        <v/>
      </c>
    </row>
    <row r="193" spans="2:28">
      <c r="B193">
        <f>MacReports!B193</f>
        <v>0</v>
      </c>
      <c r="F193" t="str">
        <f>_xlfn.XLOOKUP(B193,MacReports!B:B,MacReports!D:D,"")</f>
        <v/>
      </c>
      <c r="AB193" t="str">
        <f t="shared" si="4"/>
        <v/>
      </c>
    </row>
    <row r="194" spans="2:28">
      <c r="B194">
        <f>MacReports!B194</f>
        <v>0</v>
      </c>
      <c r="F194" t="str">
        <f>_xlfn.XLOOKUP(B194,MacReports!B:B,MacReports!D:D,"")</f>
        <v/>
      </c>
      <c r="AB194" t="str">
        <f t="shared" si="4"/>
        <v/>
      </c>
    </row>
    <row r="195" spans="2:28">
      <c r="B195">
        <f>MacReports!B195</f>
        <v>0</v>
      </c>
      <c r="F195" t="str">
        <f>_xlfn.XLOOKUP(B195,MacReports!B:B,MacReports!D:D,"")</f>
        <v/>
      </c>
      <c r="AB195" t="str">
        <f t="shared" ref="AB195:AB258" si="5">_xlfn.TEXTJOIN(", ",TRUE,Q195,R195)</f>
        <v/>
      </c>
    </row>
    <row r="196" spans="2:28">
      <c r="B196">
        <f>MacReports!B196</f>
        <v>0</v>
      </c>
      <c r="F196" t="str">
        <f>_xlfn.XLOOKUP(B196,MacReports!B:B,MacReports!D:D,"")</f>
        <v/>
      </c>
      <c r="AB196" t="str">
        <f t="shared" si="5"/>
        <v/>
      </c>
    </row>
    <row r="197" spans="2:28">
      <c r="B197">
        <f>MacReports!B197</f>
        <v>0</v>
      </c>
      <c r="F197" t="str">
        <f>_xlfn.XLOOKUP(B197,MacReports!B:B,MacReports!D:D,"")</f>
        <v/>
      </c>
      <c r="AB197" t="str">
        <f t="shared" si="5"/>
        <v/>
      </c>
    </row>
    <row r="198" spans="2:28">
      <c r="B198">
        <f>MacReports!B198</f>
        <v>0</v>
      </c>
      <c r="F198" t="str">
        <f>_xlfn.XLOOKUP(B198,MacReports!B:B,MacReports!D:D,"")</f>
        <v/>
      </c>
      <c r="AB198" t="str">
        <f t="shared" si="5"/>
        <v/>
      </c>
    </row>
    <row r="199" spans="2:28">
      <c r="B199">
        <f>MacReports!B199</f>
        <v>0</v>
      </c>
      <c r="F199" t="str">
        <f>_xlfn.XLOOKUP(B199,MacReports!B:B,MacReports!D:D,"")</f>
        <v/>
      </c>
      <c r="AB199" t="str">
        <f t="shared" si="5"/>
        <v/>
      </c>
    </row>
    <row r="200" spans="2:28">
      <c r="B200">
        <f>MacReports!B200</f>
        <v>0</v>
      </c>
      <c r="F200" t="str">
        <f>_xlfn.XLOOKUP(B200,MacReports!B:B,MacReports!D:D,"")</f>
        <v/>
      </c>
      <c r="AB200" t="str">
        <f t="shared" si="5"/>
        <v/>
      </c>
    </row>
    <row r="201" spans="2:28">
      <c r="B201">
        <f>MacReports!B201</f>
        <v>0</v>
      </c>
      <c r="F201" t="str">
        <f>_xlfn.XLOOKUP(B201,MacReports!B:B,MacReports!D:D,"")</f>
        <v/>
      </c>
      <c r="AB201" t="str">
        <f t="shared" si="5"/>
        <v/>
      </c>
    </row>
    <row r="202" spans="2:28">
      <c r="B202">
        <f>MacReports!B202</f>
        <v>0</v>
      </c>
      <c r="F202" t="str">
        <f>_xlfn.XLOOKUP(B202,MacReports!B:B,MacReports!D:D,"")</f>
        <v/>
      </c>
      <c r="AB202" t="str">
        <f t="shared" si="5"/>
        <v/>
      </c>
    </row>
    <row r="203" spans="2:28">
      <c r="B203">
        <f>MacReports!B203</f>
        <v>0</v>
      </c>
      <c r="F203" t="str">
        <f>_xlfn.XLOOKUP(B203,MacReports!B:B,MacReports!D:D,"")</f>
        <v/>
      </c>
      <c r="AB203" t="str">
        <f t="shared" si="5"/>
        <v/>
      </c>
    </row>
    <row r="204" spans="2:28">
      <c r="B204">
        <f>MacReports!B204</f>
        <v>0</v>
      </c>
      <c r="F204" t="str">
        <f>_xlfn.XLOOKUP(B204,MacReports!B:B,MacReports!D:D,"")</f>
        <v/>
      </c>
      <c r="AB204" t="str">
        <f t="shared" si="5"/>
        <v/>
      </c>
    </row>
    <row r="205" spans="2:28">
      <c r="B205">
        <f>MacReports!B205</f>
        <v>0</v>
      </c>
      <c r="F205" t="str">
        <f>_xlfn.XLOOKUP(B205,MacReports!B:B,MacReports!D:D,"")</f>
        <v/>
      </c>
      <c r="AB205" t="str">
        <f t="shared" si="5"/>
        <v/>
      </c>
    </row>
    <row r="206" spans="2:28">
      <c r="B206">
        <f>MacReports!B206</f>
        <v>0</v>
      </c>
      <c r="F206" t="str">
        <f>_xlfn.XLOOKUP(B206,MacReports!B:B,MacReports!D:D,"")</f>
        <v/>
      </c>
      <c r="AB206" t="str">
        <f t="shared" si="5"/>
        <v/>
      </c>
    </row>
    <row r="207" spans="2:28">
      <c r="B207">
        <f>MacReports!B207</f>
        <v>0</v>
      </c>
      <c r="F207" t="str">
        <f>_xlfn.XLOOKUP(B207,MacReports!B:B,MacReports!D:D,"")</f>
        <v/>
      </c>
      <c r="AB207" t="str">
        <f t="shared" si="5"/>
        <v/>
      </c>
    </row>
    <row r="208" spans="2:28">
      <c r="B208">
        <f>MacReports!B208</f>
        <v>0</v>
      </c>
      <c r="F208" t="str">
        <f>_xlfn.XLOOKUP(B208,MacReports!B:B,MacReports!D:D,"")</f>
        <v/>
      </c>
      <c r="AB208" t="str">
        <f t="shared" si="5"/>
        <v/>
      </c>
    </row>
    <row r="209" spans="2:28">
      <c r="B209">
        <f>MacReports!B209</f>
        <v>0</v>
      </c>
      <c r="F209" t="str">
        <f>_xlfn.XLOOKUP(B209,MacReports!B:B,MacReports!D:D,"")</f>
        <v/>
      </c>
      <c r="AB209" t="str">
        <f t="shared" si="5"/>
        <v/>
      </c>
    </row>
    <row r="210" spans="2:28">
      <c r="B210">
        <f>MacReports!B210</f>
        <v>0</v>
      </c>
      <c r="F210" t="str">
        <f>_xlfn.XLOOKUP(B210,MacReports!B:B,MacReports!D:D,"")</f>
        <v/>
      </c>
      <c r="AB210" t="str">
        <f t="shared" si="5"/>
        <v/>
      </c>
    </row>
    <row r="211" spans="2:28">
      <c r="B211">
        <f>MacReports!B211</f>
        <v>0</v>
      </c>
      <c r="F211" t="str">
        <f>_xlfn.XLOOKUP(B211,MacReports!B:B,MacReports!D:D,"")</f>
        <v/>
      </c>
      <c r="AB211" t="str">
        <f t="shared" si="5"/>
        <v/>
      </c>
    </row>
    <row r="212" spans="2:28">
      <c r="B212">
        <f>MacReports!B212</f>
        <v>0</v>
      </c>
      <c r="F212" t="str">
        <f>_xlfn.XLOOKUP(B212,MacReports!B:B,MacReports!D:D,"")</f>
        <v/>
      </c>
      <c r="AB212" t="str">
        <f t="shared" si="5"/>
        <v/>
      </c>
    </row>
    <row r="213" spans="2:28">
      <c r="B213">
        <f>MacReports!B213</f>
        <v>0</v>
      </c>
      <c r="F213" t="str">
        <f>_xlfn.XLOOKUP(B213,MacReports!B:B,MacReports!D:D,"")</f>
        <v/>
      </c>
      <c r="AB213" t="str">
        <f t="shared" si="5"/>
        <v/>
      </c>
    </row>
    <row r="214" spans="2:28">
      <c r="B214">
        <f>MacReports!B214</f>
        <v>0</v>
      </c>
      <c r="F214" t="str">
        <f>_xlfn.XLOOKUP(B214,MacReports!B:B,MacReports!D:D,"")</f>
        <v/>
      </c>
      <c r="AB214" t="str">
        <f t="shared" si="5"/>
        <v/>
      </c>
    </row>
    <row r="215" spans="2:28">
      <c r="B215">
        <f>MacReports!B215</f>
        <v>0</v>
      </c>
      <c r="F215" t="str">
        <f>_xlfn.XLOOKUP(B215,MacReports!B:B,MacReports!D:D,"")</f>
        <v/>
      </c>
      <c r="AB215" t="str">
        <f t="shared" si="5"/>
        <v/>
      </c>
    </row>
    <row r="216" spans="2:28">
      <c r="B216">
        <f>MacReports!B216</f>
        <v>0</v>
      </c>
      <c r="F216" t="str">
        <f>_xlfn.XLOOKUP(B216,MacReports!B:B,MacReports!D:D,"")</f>
        <v/>
      </c>
      <c r="AB216" t="str">
        <f t="shared" si="5"/>
        <v/>
      </c>
    </row>
    <row r="217" spans="2:28">
      <c r="B217">
        <f>MacReports!B217</f>
        <v>0</v>
      </c>
      <c r="F217" t="str">
        <f>_xlfn.XLOOKUP(B217,MacReports!B:B,MacReports!D:D,"")</f>
        <v/>
      </c>
      <c r="AB217" t="str">
        <f t="shared" si="5"/>
        <v/>
      </c>
    </row>
    <row r="218" spans="2:28">
      <c r="B218">
        <f>MacReports!B218</f>
        <v>0</v>
      </c>
      <c r="F218" t="str">
        <f>_xlfn.XLOOKUP(B218,MacReports!B:B,MacReports!D:D,"")</f>
        <v/>
      </c>
      <c r="AB218" t="str">
        <f t="shared" si="5"/>
        <v/>
      </c>
    </row>
    <row r="219" spans="2:28">
      <c r="B219">
        <f>MacReports!B219</f>
        <v>0</v>
      </c>
      <c r="F219" t="str">
        <f>_xlfn.XLOOKUP(B219,MacReports!B:B,MacReports!D:D,"")</f>
        <v/>
      </c>
      <c r="AB219" t="str">
        <f t="shared" si="5"/>
        <v/>
      </c>
    </row>
    <row r="220" spans="2:28">
      <c r="B220">
        <f>MacReports!B220</f>
        <v>0</v>
      </c>
      <c r="F220" t="str">
        <f>_xlfn.XLOOKUP(B220,MacReports!B:B,MacReports!D:D,"")</f>
        <v/>
      </c>
      <c r="AB220" t="str">
        <f t="shared" si="5"/>
        <v/>
      </c>
    </row>
    <row r="221" spans="2:28">
      <c r="B221">
        <f>MacReports!B221</f>
        <v>0</v>
      </c>
      <c r="F221" t="str">
        <f>_xlfn.XLOOKUP(B221,MacReports!B:B,MacReports!D:D,"")</f>
        <v/>
      </c>
      <c r="AB221" t="str">
        <f t="shared" si="5"/>
        <v/>
      </c>
    </row>
    <row r="222" spans="2:28">
      <c r="B222">
        <f>MacReports!B222</f>
        <v>0</v>
      </c>
      <c r="F222" t="str">
        <f>_xlfn.XLOOKUP(B222,MacReports!B:B,MacReports!D:D,"")</f>
        <v/>
      </c>
      <c r="AB222" t="str">
        <f t="shared" si="5"/>
        <v/>
      </c>
    </row>
    <row r="223" spans="2:28">
      <c r="B223">
        <f>MacReports!B223</f>
        <v>0</v>
      </c>
      <c r="F223" t="str">
        <f>_xlfn.XLOOKUP(B223,MacReports!B:B,MacReports!D:D,"")</f>
        <v/>
      </c>
      <c r="AB223" t="str">
        <f t="shared" si="5"/>
        <v/>
      </c>
    </row>
    <row r="224" spans="2:28">
      <c r="B224">
        <f>MacReports!B224</f>
        <v>0</v>
      </c>
      <c r="F224" t="str">
        <f>_xlfn.XLOOKUP(B224,MacReports!B:B,MacReports!D:D,"")</f>
        <v/>
      </c>
      <c r="AB224" t="str">
        <f t="shared" si="5"/>
        <v/>
      </c>
    </row>
    <row r="225" spans="2:28">
      <c r="B225">
        <f>MacReports!B225</f>
        <v>0</v>
      </c>
      <c r="F225" t="str">
        <f>_xlfn.XLOOKUP(B225,MacReports!B:B,MacReports!D:D,"")</f>
        <v/>
      </c>
      <c r="AB225" t="str">
        <f t="shared" si="5"/>
        <v/>
      </c>
    </row>
    <row r="226" spans="2:28">
      <c r="B226">
        <f>MacReports!B226</f>
        <v>0</v>
      </c>
      <c r="F226" t="str">
        <f>_xlfn.XLOOKUP(B226,MacReports!B:B,MacReports!D:D,"")</f>
        <v/>
      </c>
      <c r="AB226" t="str">
        <f t="shared" si="5"/>
        <v/>
      </c>
    </row>
    <row r="227" spans="2:28">
      <c r="B227">
        <f>MacReports!B227</f>
        <v>0</v>
      </c>
      <c r="F227" t="str">
        <f>_xlfn.XLOOKUP(B227,MacReports!B:B,MacReports!D:D,"")</f>
        <v/>
      </c>
      <c r="AB227" t="str">
        <f t="shared" si="5"/>
        <v/>
      </c>
    </row>
    <row r="228" spans="2:28">
      <c r="B228">
        <f>MacReports!B228</f>
        <v>0</v>
      </c>
      <c r="F228" t="str">
        <f>_xlfn.XLOOKUP(B228,MacReports!B:B,MacReports!D:D,"")</f>
        <v/>
      </c>
      <c r="AB228" t="str">
        <f t="shared" si="5"/>
        <v/>
      </c>
    </row>
    <row r="229" spans="2:28">
      <c r="B229">
        <f>MacReports!B229</f>
        <v>0</v>
      </c>
      <c r="F229" t="str">
        <f>_xlfn.XLOOKUP(B229,MacReports!B:B,MacReports!D:D,"")</f>
        <v/>
      </c>
      <c r="AB229" t="str">
        <f t="shared" si="5"/>
        <v/>
      </c>
    </row>
    <row r="230" spans="2:28">
      <c r="B230">
        <f>MacReports!B230</f>
        <v>0</v>
      </c>
      <c r="F230" t="str">
        <f>_xlfn.XLOOKUP(B230,MacReports!B:B,MacReports!D:D,"")</f>
        <v/>
      </c>
      <c r="AB230" t="str">
        <f t="shared" si="5"/>
        <v/>
      </c>
    </row>
    <row r="231" spans="2:28">
      <c r="B231">
        <f>MacReports!B231</f>
        <v>0</v>
      </c>
      <c r="F231" t="str">
        <f>_xlfn.XLOOKUP(B231,MacReports!B:B,MacReports!D:D,"")</f>
        <v/>
      </c>
      <c r="AB231" t="str">
        <f t="shared" si="5"/>
        <v/>
      </c>
    </row>
    <row r="232" spans="2:28">
      <c r="B232">
        <f>MacReports!B232</f>
        <v>0</v>
      </c>
      <c r="F232" t="str">
        <f>_xlfn.XLOOKUP(B232,MacReports!B:B,MacReports!D:D,"")</f>
        <v/>
      </c>
      <c r="AB232" t="str">
        <f t="shared" si="5"/>
        <v/>
      </c>
    </row>
    <row r="233" spans="2:28">
      <c r="B233">
        <f>MacReports!B233</f>
        <v>0</v>
      </c>
      <c r="F233" t="str">
        <f>_xlfn.XLOOKUP(B233,MacReports!B:B,MacReports!D:D,"")</f>
        <v/>
      </c>
      <c r="AB233" t="str">
        <f t="shared" si="5"/>
        <v/>
      </c>
    </row>
    <row r="234" spans="2:28">
      <c r="B234">
        <f>MacReports!B234</f>
        <v>0</v>
      </c>
      <c r="F234" t="str">
        <f>_xlfn.XLOOKUP(B234,MacReports!B:B,MacReports!D:D,"")</f>
        <v/>
      </c>
      <c r="AB234" t="str">
        <f t="shared" si="5"/>
        <v/>
      </c>
    </row>
    <row r="235" spans="2:28">
      <c r="B235">
        <f>MacReports!B235</f>
        <v>0</v>
      </c>
      <c r="F235" t="str">
        <f>_xlfn.XLOOKUP(B235,MacReports!B:B,MacReports!D:D,"")</f>
        <v/>
      </c>
      <c r="AB235" t="str">
        <f t="shared" si="5"/>
        <v/>
      </c>
    </row>
    <row r="236" spans="2:28">
      <c r="B236">
        <f>MacReports!B236</f>
        <v>0</v>
      </c>
      <c r="F236" t="str">
        <f>_xlfn.XLOOKUP(B236,MacReports!B:B,MacReports!D:D,"")</f>
        <v/>
      </c>
      <c r="AB236" t="str">
        <f t="shared" si="5"/>
        <v/>
      </c>
    </row>
    <row r="237" spans="2:28">
      <c r="B237">
        <f>MacReports!B237</f>
        <v>0</v>
      </c>
      <c r="F237" t="str">
        <f>_xlfn.XLOOKUP(B237,MacReports!B:B,MacReports!D:D,"")</f>
        <v/>
      </c>
      <c r="AB237" t="str">
        <f t="shared" si="5"/>
        <v/>
      </c>
    </row>
    <row r="238" spans="2:28">
      <c r="B238">
        <f>MacReports!B238</f>
        <v>0</v>
      </c>
      <c r="F238" t="str">
        <f>_xlfn.XLOOKUP(B238,MacReports!B:B,MacReports!D:D,"")</f>
        <v/>
      </c>
      <c r="AB238" t="str">
        <f t="shared" si="5"/>
        <v/>
      </c>
    </row>
    <row r="239" spans="2:28">
      <c r="B239">
        <f>MacReports!B239</f>
        <v>0</v>
      </c>
      <c r="F239" t="str">
        <f>_xlfn.XLOOKUP(B239,MacReports!B:B,MacReports!D:D,"")</f>
        <v/>
      </c>
      <c r="AB239" t="str">
        <f t="shared" si="5"/>
        <v/>
      </c>
    </row>
    <row r="240" spans="2:28">
      <c r="B240">
        <f>MacReports!B240</f>
        <v>0</v>
      </c>
      <c r="F240" t="str">
        <f>_xlfn.XLOOKUP(B240,MacReports!B:B,MacReports!D:D,"")</f>
        <v/>
      </c>
      <c r="AB240" t="str">
        <f t="shared" si="5"/>
        <v/>
      </c>
    </row>
    <row r="241" spans="2:28">
      <c r="B241">
        <f>MacReports!B241</f>
        <v>0</v>
      </c>
      <c r="F241" t="str">
        <f>_xlfn.XLOOKUP(B241,MacReports!B:B,MacReports!D:D,"")</f>
        <v/>
      </c>
      <c r="AB241" t="str">
        <f t="shared" si="5"/>
        <v/>
      </c>
    </row>
    <row r="242" spans="2:28">
      <c r="B242">
        <f>MacReports!B242</f>
        <v>0</v>
      </c>
      <c r="F242" t="str">
        <f>_xlfn.XLOOKUP(B242,MacReports!B:B,MacReports!D:D,"")</f>
        <v/>
      </c>
      <c r="AB242" t="str">
        <f t="shared" si="5"/>
        <v/>
      </c>
    </row>
    <row r="243" spans="2:28">
      <c r="B243">
        <f>MacReports!B243</f>
        <v>0</v>
      </c>
      <c r="F243" t="str">
        <f>_xlfn.XLOOKUP(B243,MacReports!B:B,MacReports!D:D,"")</f>
        <v/>
      </c>
      <c r="AB243" t="str">
        <f t="shared" si="5"/>
        <v/>
      </c>
    </row>
    <row r="244" spans="2:28">
      <c r="B244">
        <f>MacReports!B244</f>
        <v>0</v>
      </c>
      <c r="F244" t="str">
        <f>_xlfn.XLOOKUP(B244,MacReports!B:B,MacReports!D:D,"")</f>
        <v/>
      </c>
      <c r="AB244" t="str">
        <f t="shared" si="5"/>
        <v/>
      </c>
    </row>
    <row r="245" spans="2:28">
      <c r="B245">
        <f>MacReports!B245</f>
        <v>0</v>
      </c>
      <c r="F245" t="str">
        <f>_xlfn.XLOOKUP(B245,MacReports!B:B,MacReports!D:D,"")</f>
        <v/>
      </c>
      <c r="AB245" t="str">
        <f t="shared" si="5"/>
        <v/>
      </c>
    </row>
    <row r="246" spans="2:28">
      <c r="B246">
        <f>MacReports!B246</f>
        <v>0</v>
      </c>
      <c r="F246" t="str">
        <f>_xlfn.XLOOKUP(B246,MacReports!B:B,MacReports!D:D,"")</f>
        <v/>
      </c>
      <c r="AB246" t="str">
        <f t="shared" si="5"/>
        <v/>
      </c>
    </row>
    <row r="247" spans="2:28">
      <c r="B247">
        <f>MacReports!B247</f>
        <v>0</v>
      </c>
      <c r="F247" t="str">
        <f>_xlfn.XLOOKUP(B247,MacReports!B:B,MacReports!D:D,"")</f>
        <v/>
      </c>
      <c r="AB247" t="str">
        <f t="shared" si="5"/>
        <v/>
      </c>
    </row>
    <row r="248" spans="2:28">
      <c r="B248">
        <f>MacReports!B248</f>
        <v>0</v>
      </c>
      <c r="F248" t="str">
        <f>_xlfn.XLOOKUP(B248,MacReports!B:B,MacReports!D:D,"")</f>
        <v/>
      </c>
      <c r="AB248" t="str">
        <f t="shared" si="5"/>
        <v/>
      </c>
    </row>
    <row r="249" spans="2:28">
      <c r="B249">
        <f>MacReports!B249</f>
        <v>0</v>
      </c>
      <c r="F249" t="str">
        <f>_xlfn.XLOOKUP(B249,MacReports!B:B,MacReports!D:D,"")</f>
        <v/>
      </c>
      <c r="AB249" t="str">
        <f t="shared" si="5"/>
        <v/>
      </c>
    </row>
    <row r="250" spans="2:28">
      <c r="B250">
        <f>MacReports!B250</f>
        <v>0</v>
      </c>
      <c r="F250" t="str">
        <f>_xlfn.XLOOKUP(B250,MacReports!B:B,MacReports!D:D,"")</f>
        <v/>
      </c>
      <c r="AB250" t="str">
        <f t="shared" si="5"/>
        <v/>
      </c>
    </row>
    <row r="251" spans="2:28">
      <c r="B251">
        <f>MacReports!B251</f>
        <v>0</v>
      </c>
      <c r="F251" t="str">
        <f>_xlfn.XLOOKUP(B251,MacReports!B:B,MacReports!D:D,"")</f>
        <v/>
      </c>
      <c r="AB251" t="str">
        <f t="shared" si="5"/>
        <v/>
      </c>
    </row>
    <row r="252" spans="2:28">
      <c r="B252">
        <f>MacReports!B252</f>
        <v>0</v>
      </c>
      <c r="F252" t="str">
        <f>_xlfn.XLOOKUP(B252,MacReports!B:B,MacReports!D:D,"")</f>
        <v/>
      </c>
      <c r="AB252" t="str">
        <f t="shared" si="5"/>
        <v/>
      </c>
    </row>
    <row r="253" spans="2:28">
      <c r="B253">
        <f>MacReports!B253</f>
        <v>0</v>
      </c>
      <c r="F253" t="str">
        <f>_xlfn.XLOOKUP(B253,MacReports!B:B,MacReports!D:D,"")</f>
        <v/>
      </c>
      <c r="AB253" t="str">
        <f t="shared" si="5"/>
        <v/>
      </c>
    </row>
    <row r="254" spans="2:28">
      <c r="B254">
        <f>MacReports!B254</f>
        <v>0</v>
      </c>
      <c r="F254" t="str">
        <f>_xlfn.XLOOKUP(B254,MacReports!B:B,MacReports!D:D,"")</f>
        <v/>
      </c>
      <c r="AB254" t="str">
        <f t="shared" si="5"/>
        <v/>
      </c>
    </row>
    <row r="255" spans="2:28">
      <c r="F255" t="str">
        <f>_xlfn.XLOOKUP(B255,MacReports!B:B,MacReports!D:D,"")</f>
        <v/>
      </c>
      <c r="AB255" t="str">
        <f t="shared" si="5"/>
        <v/>
      </c>
    </row>
    <row r="256" spans="2:28">
      <c r="F256" t="str">
        <f>_xlfn.XLOOKUP(B256,MacReports!B:B,MacReports!D:D,"")</f>
        <v/>
      </c>
      <c r="AB256" t="str">
        <f t="shared" si="5"/>
        <v/>
      </c>
    </row>
    <row r="257" spans="6:28">
      <c r="F257" t="str">
        <f>_xlfn.XLOOKUP(B257,MacReports!B:B,MacReports!D:D,"")</f>
        <v/>
      </c>
      <c r="AB257" t="str">
        <f t="shared" si="5"/>
        <v/>
      </c>
    </row>
    <row r="258" spans="6:28">
      <c r="F258" t="str">
        <f>_xlfn.XLOOKUP(B258,MacReports!B:B,MacReports!D:D,"")</f>
        <v/>
      </c>
      <c r="AB258" t="str">
        <f t="shared" si="5"/>
        <v/>
      </c>
    </row>
    <row r="259" spans="6:28">
      <c r="F259" t="str">
        <f>_xlfn.XLOOKUP(B259,MacReports!B:B,MacReports!D:D,"")</f>
        <v/>
      </c>
      <c r="AB259" t="str">
        <f t="shared" ref="AB259:AB271" si="6">_xlfn.TEXTJOIN(", ",TRUE,Q259,R259)</f>
        <v/>
      </c>
    </row>
    <row r="260" spans="6:28">
      <c r="F260" t="str">
        <f>_xlfn.XLOOKUP(B260,MacReports!B:B,MacReports!D:D,"")</f>
        <v/>
      </c>
      <c r="AB260" t="str">
        <f t="shared" si="6"/>
        <v/>
      </c>
    </row>
    <row r="261" spans="6:28">
      <c r="F261" t="str">
        <f>_xlfn.XLOOKUP(B261,MacReports!B:B,MacReports!D:D,"")</f>
        <v/>
      </c>
      <c r="AB261" t="str">
        <f t="shared" si="6"/>
        <v/>
      </c>
    </row>
    <row r="262" spans="6:28">
      <c r="F262" t="str">
        <f>_xlfn.XLOOKUP(B262,MacReports!B:B,MacReports!D:D,"")</f>
        <v/>
      </c>
      <c r="AB262" t="str">
        <f t="shared" si="6"/>
        <v/>
      </c>
    </row>
    <row r="263" spans="6:28">
      <c r="F263" t="str">
        <f>_xlfn.XLOOKUP(B263,MacReports!B:B,MacReports!D:D,"")</f>
        <v/>
      </c>
      <c r="AB263" t="str">
        <f t="shared" si="6"/>
        <v/>
      </c>
    </row>
    <row r="264" spans="6:28">
      <c r="F264" t="str">
        <f>_xlfn.XLOOKUP(B264,MacReports!B:B,MacReports!D:D,"")</f>
        <v/>
      </c>
      <c r="AB264" t="str">
        <f t="shared" si="6"/>
        <v/>
      </c>
    </row>
    <row r="265" spans="6:28">
      <c r="F265" t="str">
        <f>_xlfn.XLOOKUP(B265,MacReports!B:B,MacReports!D:D,"")</f>
        <v/>
      </c>
      <c r="AB265" t="str">
        <f t="shared" si="6"/>
        <v/>
      </c>
    </row>
    <row r="266" spans="6:28">
      <c r="F266" t="str">
        <f>_xlfn.XLOOKUP(B266,MacReports!B:B,MacReports!D:D,"")</f>
        <v/>
      </c>
      <c r="AB266" t="str">
        <f t="shared" si="6"/>
        <v/>
      </c>
    </row>
    <row r="267" spans="6:28">
      <c r="F267" t="str">
        <f>_xlfn.XLOOKUP(B267,MacReports!B:B,MacReports!D:D,"")</f>
        <v/>
      </c>
      <c r="AB267" t="str">
        <f t="shared" si="6"/>
        <v/>
      </c>
    </row>
    <row r="268" spans="6:28">
      <c r="F268" t="str">
        <f>_xlfn.XLOOKUP(B268,MacReports!B:B,MacReports!D:D,"")</f>
        <v/>
      </c>
      <c r="AB268" t="str">
        <f t="shared" si="6"/>
        <v/>
      </c>
    </row>
    <row r="269" spans="6:28">
      <c r="F269" t="str">
        <f>_xlfn.XLOOKUP(B269,MacReports!B:B,MacReports!D:D,"")</f>
        <v/>
      </c>
      <c r="AB269" t="str">
        <f t="shared" si="6"/>
        <v/>
      </c>
    </row>
    <row r="270" spans="6:28">
      <c r="F270" t="str">
        <f>_xlfn.XLOOKUP(B270,MacReports!B:B,MacReports!D:D,"")</f>
        <v/>
      </c>
      <c r="AB270" t="str">
        <f t="shared" si="6"/>
        <v/>
      </c>
    </row>
    <row r="271" spans="6:28">
      <c r="F271" t="str">
        <f>_xlfn.XLOOKUP(B271,MacReports!B:B,MacReports!D:D,"")</f>
        <v/>
      </c>
      <c r="AB271" t="str">
        <f t="shared" si="6"/>
        <v/>
      </c>
    </row>
    <row r="272" spans="6:28">
      <c r="F272">
        <f>_xlfn.XLOOKUP(B272,MacReports!B:B,MacReports!D:D,"")</f>
        <v>0</v>
      </c>
    </row>
    <row r="273" spans="6:6">
      <c r="F273" t="str">
        <f>_xlfn.XLOOKUP(B273,MacReports!B:B,MacReports!D:D,"")</f>
        <v/>
      </c>
    </row>
    <row r="274" spans="6:6">
      <c r="F274" t="str">
        <f>_xlfn.XLOOKUP(B274,MacReports!B:B,MacReports!D:D,"")</f>
        <v/>
      </c>
    </row>
    <row r="275" spans="6:6">
      <c r="F275" t="str">
        <f>_xlfn.XLOOKUP(B275,MacReports!B:B,MacReports!D:D,"")</f>
        <v/>
      </c>
    </row>
    <row r="276" spans="6:6">
      <c r="F276" t="str">
        <f>_xlfn.XLOOKUP(B276,MacReports!B:B,MacReports!D:D,"")</f>
        <v/>
      </c>
    </row>
    <row r="277" spans="6:6">
      <c r="F277" t="str">
        <f>_xlfn.XLOOKUP(B277,MacReports!B:B,MacReports!D:D,"")</f>
        <v/>
      </c>
    </row>
    <row r="278" spans="6:6">
      <c r="F278" t="str">
        <f>_xlfn.XLOOKUP(B278,MacReports!B:B,MacReports!D:D,"")</f>
        <v/>
      </c>
    </row>
    <row r="279" spans="6:6">
      <c r="F279" t="str">
        <f>_xlfn.XLOOKUP(B279,MacReports!B:B,MacReports!D:D,"")</f>
        <v/>
      </c>
    </row>
    <row r="280" spans="6:6">
      <c r="F280" t="str">
        <f>_xlfn.XLOOKUP(B280,MacReports!B:B,MacReports!D:D,"")</f>
        <v/>
      </c>
    </row>
    <row r="281" spans="6:6">
      <c r="F281" t="str">
        <f>_xlfn.XLOOKUP(B281,MacReports!B:B,MacReports!D:D,"")</f>
        <v/>
      </c>
    </row>
    <row r="282" spans="6:6">
      <c r="F282" t="str">
        <f>_xlfn.XLOOKUP(B282,MacReports!B:B,MacReports!D:D,"")</f>
        <v/>
      </c>
    </row>
    <row r="283" spans="6:6">
      <c r="F283" t="str">
        <f>_xlfn.XLOOKUP(B283,MacReports!B:B,MacReports!D:D,"")</f>
        <v/>
      </c>
    </row>
    <row r="284" spans="6:6">
      <c r="F284" t="str">
        <f>_xlfn.XLOOKUP(B284,MacReports!B:B,MacReports!D:D,"")</f>
        <v/>
      </c>
    </row>
    <row r="285" spans="6:6">
      <c r="F285" t="str">
        <f>_xlfn.XLOOKUP(B285,MacReports!B:B,MacReports!D:D,"")</f>
        <v/>
      </c>
    </row>
    <row r="286" spans="6:6">
      <c r="F286" t="str">
        <f>_xlfn.XLOOKUP(B286,MacReports!B:B,MacReports!D:D,"")</f>
        <v/>
      </c>
    </row>
    <row r="287" spans="6:6">
      <c r="F287" t="str">
        <f>_xlfn.XLOOKUP(B287,MacReports!B:B,MacReports!D:D,"")</f>
        <v/>
      </c>
    </row>
    <row r="288" spans="6:6">
      <c r="F288" t="str">
        <f>_xlfn.XLOOKUP(B288,MacReports!B:B,MacReports!D:D,"")</f>
        <v/>
      </c>
    </row>
    <row r="289" spans="6:6">
      <c r="F289" t="str">
        <f>_xlfn.XLOOKUP(B289,MacReports!B:B,MacReports!D:D,"")</f>
        <v/>
      </c>
    </row>
    <row r="290" spans="6:6">
      <c r="F290">
        <f>_xlfn.XLOOKUP(B290,MacReports!B:B,MacReports!D:D,"")</f>
        <v>0</v>
      </c>
    </row>
    <row r="291" spans="6:6">
      <c r="F291" t="str">
        <f>_xlfn.XLOOKUP(B291,MacReports!B:B,MacReports!D:D,"")</f>
        <v/>
      </c>
    </row>
    <row r="292" spans="6:6">
      <c r="F292" t="str">
        <f>_xlfn.XLOOKUP(B292,MacReports!B:B,MacReports!D:D,"")</f>
        <v/>
      </c>
    </row>
    <row r="293" spans="6:6">
      <c r="F293" t="str">
        <f>_xlfn.XLOOKUP(B293,MacReports!B:B,MacReports!D:D,"")</f>
        <v/>
      </c>
    </row>
    <row r="294" spans="6:6">
      <c r="F294" t="str">
        <f>_xlfn.XLOOKUP(B294,MacReports!B:B,MacReports!D:D,"")</f>
        <v/>
      </c>
    </row>
    <row r="295" spans="6:6">
      <c r="F295" t="str">
        <f>_xlfn.XLOOKUP(B295,MacReports!B:B,MacReports!D:D,"")</f>
        <v/>
      </c>
    </row>
    <row r="296" spans="6:6">
      <c r="F296" t="str">
        <f>_xlfn.XLOOKUP(B296,MacReports!B:B,MacReports!D:D,"")</f>
        <v/>
      </c>
    </row>
    <row r="297" spans="6:6">
      <c r="F297" t="str">
        <f>_xlfn.XLOOKUP(B297,MacReports!B:B,MacReports!D:D,"")</f>
        <v/>
      </c>
    </row>
    <row r="298" spans="6:6">
      <c r="F298" t="str">
        <f>_xlfn.XLOOKUP(B298,MacReports!B:B,MacReports!D:D,"")</f>
        <v/>
      </c>
    </row>
    <row r="299" spans="6:6">
      <c r="F299" t="str">
        <f>_xlfn.XLOOKUP(B299,MacReports!B:B,MacReports!D:D,"")</f>
        <v/>
      </c>
    </row>
    <row r="300" spans="6:6">
      <c r="F300" t="str">
        <f>_xlfn.XLOOKUP(B300,MacReports!B:B,MacReports!D:D,"")</f>
        <v/>
      </c>
    </row>
    <row r="301" spans="6:6">
      <c r="F301" t="str">
        <f>_xlfn.XLOOKUP(B301,MacReports!B:B,MacReports!D:D,"")</f>
        <v/>
      </c>
    </row>
    <row r="302" spans="6:6">
      <c r="F302">
        <f>_xlfn.XLOOKUP(B302,MacReports!B:B,MacReports!D:D,"")</f>
        <v>0</v>
      </c>
    </row>
    <row r="303" spans="6:6">
      <c r="F303" t="str">
        <f>_xlfn.XLOOKUP(B303,MacReports!B:B,MacReports!D:D,"")</f>
        <v/>
      </c>
    </row>
    <row r="304" spans="6:6">
      <c r="F304" t="str">
        <f>_xlfn.XLOOKUP(B304,MacReports!B:B,MacReports!D:D,"")</f>
        <v/>
      </c>
    </row>
    <row r="305" spans="6:6">
      <c r="F305" t="str">
        <f>_xlfn.XLOOKUP(B305,MacReports!B:B,MacReports!D:D,"")</f>
        <v/>
      </c>
    </row>
    <row r="306" spans="6:6">
      <c r="F306" t="str">
        <f>_xlfn.XLOOKUP(B306,MacReports!B:B,MacReports!D:D,"")</f>
        <v/>
      </c>
    </row>
    <row r="307" spans="6:6">
      <c r="F307" t="str">
        <f>_xlfn.XLOOKUP(B307,MacReports!B:B,MacReports!D:D,"")</f>
        <v/>
      </c>
    </row>
    <row r="308" spans="6:6">
      <c r="F308">
        <f>_xlfn.XLOOKUP(B308,MacReports!B:B,MacReports!D:D,"")</f>
        <v>0</v>
      </c>
    </row>
    <row r="309" spans="6:6">
      <c r="F309" t="str">
        <f>_xlfn.XLOOKUP(B309,MacReports!B:B,MacReports!D:D,"")</f>
        <v/>
      </c>
    </row>
    <row r="310" spans="6:6">
      <c r="F310" t="str">
        <f>_xlfn.XLOOKUP(B310,MacReports!B:B,MacReports!D:D,"")</f>
        <v/>
      </c>
    </row>
    <row r="311" spans="6:6">
      <c r="F311" t="str">
        <f>_xlfn.XLOOKUP(B311,MacReports!B:B,MacReports!D:D,"")</f>
        <v/>
      </c>
    </row>
    <row r="312" spans="6:6">
      <c r="F312" t="str">
        <f>_xlfn.XLOOKUP(B312,MacReports!B:B,MacReports!D:D,"")</f>
        <v/>
      </c>
    </row>
    <row r="313" spans="6:6">
      <c r="F313" t="str">
        <f>_xlfn.XLOOKUP(B313,MacReports!B:B,MacReports!D:D,"")</f>
        <v/>
      </c>
    </row>
    <row r="314" spans="6:6">
      <c r="F314" t="str">
        <f>_xlfn.XLOOKUP(B314,MacReports!B:B,MacReports!D:D,"")</f>
        <v/>
      </c>
    </row>
    <row r="315" spans="6:6">
      <c r="F315" t="str">
        <f>_xlfn.XLOOKUP(B315,MacReports!B:B,MacReports!D:D,"")</f>
        <v/>
      </c>
    </row>
    <row r="316" spans="6:6">
      <c r="F316" t="str">
        <f>_xlfn.XLOOKUP(B316,MacReports!B:B,MacReports!D:D,"")</f>
        <v/>
      </c>
    </row>
    <row r="317" spans="6:6">
      <c r="F317" t="str">
        <f>_xlfn.XLOOKUP(B317,MacReports!B:B,MacReports!D:D,"")</f>
        <v/>
      </c>
    </row>
    <row r="318" spans="6:6">
      <c r="F318" t="str">
        <f>_xlfn.XLOOKUP(B318,MacReports!B:B,MacReports!D:D,"")</f>
        <v/>
      </c>
    </row>
    <row r="319" spans="6:6">
      <c r="F319" t="str">
        <f>_xlfn.XLOOKUP(B319,MacReports!B:B,MacReports!D:D,"")</f>
        <v/>
      </c>
    </row>
    <row r="320" spans="6:6">
      <c r="F320" t="str">
        <f>_xlfn.XLOOKUP(B320,MacReports!B:B,MacReports!D:D,"")</f>
        <v/>
      </c>
    </row>
    <row r="321" spans="6:6">
      <c r="F321">
        <f>_xlfn.XLOOKUP(B321,MacReports!B:B,MacReports!D:D,"")</f>
        <v>0</v>
      </c>
    </row>
    <row r="322" spans="6:6">
      <c r="F322" t="str">
        <f>_xlfn.XLOOKUP(B322,MacReports!B:B,MacReports!D:D,"")</f>
        <v/>
      </c>
    </row>
    <row r="323" spans="6:6">
      <c r="F323" t="str">
        <f>_xlfn.XLOOKUP(B323,MacReports!B:B,MacReports!D:D,"")</f>
        <v/>
      </c>
    </row>
    <row r="324" spans="6:6">
      <c r="F324" t="str">
        <f>_xlfn.XLOOKUP(B324,MacReports!B:B,MacReports!D:D,"")</f>
        <v/>
      </c>
    </row>
    <row r="325" spans="6:6">
      <c r="F325" t="str">
        <f>_xlfn.XLOOKUP(B325,MacReports!B:B,MacReports!D:D,"")</f>
        <v/>
      </c>
    </row>
    <row r="326" spans="6:6">
      <c r="F326" t="str">
        <f>_xlfn.XLOOKUP(B326,MacReports!B:B,MacReports!D:D,"")</f>
        <v/>
      </c>
    </row>
    <row r="327" spans="6:6">
      <c r="F327" t="str">
        <f>_xlfn.XLOOKUP(B327,MacReports!B:B,MacReports!D:D,"")</f>
        <v/>
      </c>
    </row>
    <row r="328" spans="6:6">
      <c r="F328" t="str">
        <f>_xlfn.XLOOKUP(B328,MacReports!B:B,MacReports!D:D,"")</f>
        <v/>
      </c>
    </row>
    <row r="329" spans="6:6">
      <c r="F329" t="str">
        <f>_xlfn.XLOOKUP(B329,MacReports!B:B,MacReports!D:D,"")</f>
        <v/>
      </c>
    </row>
    <row r="330" spans="6:6">
      <c r="F330" t="str">
        <f>_xlfn.XLOOKUP(B330,MacReports!B:B,MacReports!D:D,"")</f>
        <v/>
      </c>
    </row>
    <row r="331" spans="6:6">
      <c r="F331" t="str">
        <f>_xlfn.XLOOKUP(B331,MacReports!B:B,MacReports!D:D,"")</f>
        <v/>
      </c>
    </row>
    <row r="332" spans="6:6">
      <c r="F332" t="str">
        <f>_xlfn.XLOOKUP(B332,MacReports!B:B,MacReports!D:D,"")</f>
        <v/>
      </c>
    </row>
    <row r="333" spans="6:6">
      <c r="F333" t="str">
        <f>_xlfn.XLOOKUP(B333,MacReports!B:B,MacReports!D:D,"")</f>
        <v/>
      </c>
    </row>
    <row r="334" spans="6:6">
      <c r="F334" t="str">
        <f>_xlfn.XLOOKUP(B334,MacReports!B:B,MacReports!D:D,"")</f>
        <v/>
      </c>
    </row>
    <row r="335" spans="6:6">
      <c r="F335" t="str">
        <f>_xlfn.XLOOKUP(B335,MacReports!B:B,MacReports!D:D,"")</f>
        <v/>
      </c>
    </row>
    <row r="336" spans="6:6">
      <c r="F336" t="str">
        <f>_xlfn.XLOOKUP(B336,MacReports!B:B,MacReports!D:D,"")</f>
        <v/>
      </c>
    </row>
    <row r="337" spans="6:6">
      <c r="F337" t="str">
        <f>_xlfn.XLOOKUP(B337,MacReports!B:B,MacReports!D:D,"")</f>
        <v/>
      </c>
    </row>
    <row r="338" spans="6:6">
      <c r="F338" t="str">
        <f>_xlfn.XLOOKUP(B338,MacReports!B:B,MacReports!D:D,"")</f>
        <v/>
      </c>
    </row>
    <row r="339" spans="6:6">
      <c r="F339" t="str">
        <f>_xlfn.XLOOKUP(B339,MacReports!B:B,MacReports!D:D,"")</f>
        <v/>
      </c>
    </row>
    <row r="340" spans="6:6">
      <c r="F340" t="str">
        <f>_xlfn.XLOOKUP(B340,MacReports!B:B,MacReports!D:D,"")</f>
        <v/>
      </c>
    </row>
    <row r="341" spans="6:6">
      <c r="F341" t="str">
        <f>_xlfn.XLOOKUP(B341,MacReports!B:B,MacReports!D:D,"")</f>
        <v/>
      </c>
    </row>
    <row r="342" spans="6:6">
      <c r="F342" t="str">
        <f>_xlfn.XLOOKUP(B342,MacReports!B:B,MacReports!D:D,"")</f>
        <v/>
      </c>
    </row>
    <row r="343" spans="6:6">
      <c r="F343" t="str">
        <f>_xlfn.XLOOKUP(B343,MacReports!B:B,MacReports!D:D,"")</f>
        <v/>
      </c>
    </row>
    <row r="344" spans="6:6">
      <c r="F344">
        <f>_xlfn.XLOOKUP(B344,MacReports!B:B,MacReports!D:D,"")</f>
        <v>0</v>
      </c>
    </row>
    <row r="345" spans="6:6">
      <c r="F345" t="str">
        <f>_xlfn.XLOOKUP(B345,MacReports!B:B,MacReports!D:D,"")</f>
        <v/>
      </c>
    </row>
    <row r="346" spans="6:6">
      <c r="F346" t="str">
        <f>_xlfn.XLOOKUP(B346,MacReports!B:B,MacReports!D:D,"")</f>
        <v/>
      </c>
    </row>
    <row r="347" spans="6:6">
      <c r="F347" t="str">
        <f>_xlfn.XLOOKUP(B347,MacReports!B:B,MacReports!D:D,"")</f>
        <v/>
      </c>
    </row>
    <row r="348" spans="6:6">
      <c r="F348" t="str">
        <f>_xlfn.XLOOKUP(B348,MacReports!B:B,MacReports!D:D,"")</f>
        <v/>
      </c>
    </row>
    <row r="349" spans="6:6">
      <c r="F349" t="str">
        <f>_xlfn.XLOOKUP(B349,MacReports!B:B,MacReports!D:D,"")</f>
        <v/>
      </c>
    </row>
    <row r="350" spans="6:6">
      <c r="F350" t="str">
        <f>_xlfn.XLOOKUP(B350,MacReports!B:B,MacReports!D:D,"")</f>
        <v/>
      </c>
    </row>
    <row r="351" spans="6:6">
      <c r="F351" t="str">
        <f>_xlfn.XLOOKUP(B351,MacReports!B:B,MacReports!D:D,"")</f>
        <v/>
      </c>
    </row>
    <row r="352" spans="6:6">
      <c r="F352" t="str">
        <f>_xlfn.XLOOKUP(B352,MacReports!B:B,MacReports!D:D,"")</f>
        <v/>
      </c>
    </row>
    <row r="353" spans="6:6">
      <c r="F353" t="str">
        <f>_xlfn.XLOOKUP(B353,MacReports!B:B,MacReports!D:D,"")</f>
        <v/>
      </c>
    </row>
    <row r="354" spans="6:6">
      <c r="F354" t="str">
        <f>_xlfn.XLOOKUP(B354,MacReports!B:B,MacReports!D:D,"")</f>
        <v/>
      </c>
    </row>
    <row r="355" spans="6:6">
      <c r="F355" t="str">
        <f>_xlfn.XLOOKUP(B355,MacReports!B:B,MacReports!D:D,"")</f>
        <v/>
      </c>
    </row>
    <row r="356" spans="6:6">
      <c r="F356">
        <f>_xlfn.XLOOKUP(B356,MacReports!B:B,MacReports!D:D,"")</f>
        <v>0</v>
      </c>
    </row>
    <row r="357" spans="6:6">
      <c r="F357" t="str">
        <f>_xlfn.XLOOKUP(B357,MacReports!B:B,MacReports!D:D,"")</f>
        <v/>
      </c>
    </row>
    <row r="358" spans="6:6">
      <c r="F358" t="str">
        <f>_xlfn.XLOOKUP(B358,MacReports!B:B,MacReports!D:D,"")</f>
        <v/>
      </c>
    </row>
    <row r="359" spans="6:6">
      <c r="F359" t="str">
        <f>_xlfn.XLOOKUP(B359,MacReports!B:B,MacReports!D:D,"")</f>
        <v/>
      </c>
    </row>
    <row r="360" spans="6:6">
      <c r="F360" t="str">
        <f>_xlfn.XLOOKUP(B360,MacReports!B:B,MacReports!D:D,"")</f>
        <v/>
      </c>
    </row>
    <row r="361" spans="6:6">
      <c r="F361" t="str">
        <f>_xlfn.XLOOKUP(B361,MacReports!B:B,MacReports!D:D,"")</f>
        <v/>
      </c>
    </row>
    <row r="362" spans="6:6">
      <c r="F362">
        <f>_xlfn.XLOOKUP(B362,MacReports!B:B,MacReports!D:D,"")</f>
        <v>0</v>
      </c>
    </row>
    <row r="363" spans="6:6">
      <c r="F363" t="str">
        <f>_xlfn.XLOOKUP(B363,MacReports!B:B,MacReports!D:D,"")</f>
        <v/>
      </c>
    </row>
    <row r="364" spans="6:6">
      <c r="F364" t="str">
        <f>_xlfn.XLOOKUP(B364,MacReports!B:B,MacReports!D:D,"")</f>
        <v/>
      </c>
    </row>
    <row r="365" spans="6:6">
      <c r="F365" t="str">
        <f>_xlfn.XLOOKUP(B365,MacReports!B:B,MacReports!D:D,"")</f>
        <v/>
      </c>
    </row>
    <row r="366" spans="6:6">
      <c r="F366" t="str">
        <f>_xlfn.XLOOKUP(B366,MacReports!B:B,MacReports!D:D,"")</f>
        <v/>
      </c>
    </row>
    <row r="367" spans="6:6">
      <c r="F367" t="str">
        <f>_xlfn.XLOOKUP(B367,MacReports!B:B,MacReports!D:D,"")</f>
        <v/>
      </c>
    </row>
    <row r="368" spans="6:6">
      <c r="F368" t="str">
        <f>_xlfn.XLOOKUP(B368,MacReports!B:B,MacReports!D:D,"")</f>
        <v/>
      </c>
    </row>
    <row r="369" spans="6:6">
      <c r="F369" t="str">
        <f>_xlfn.XLOOKUP(B369,MacReports!B:B,MacReports!D:D,"")</f>
        <v/>
      </c>
    </row>
    <row r="370" spans="6:6">
      <c r="F370" t="str">
        <f>_xlfn.XLOOKUP(B370,MacReports!B:B,MacReports!D:D,"")</f>
        <v/>
      </c>
    </row>
    <row r="371" spans="6:6">
      <c r="F371" t="str">
        <f>_xlfn.XLOOKUP(B371,MacReports!B:B,MacReports!D:D,"")</f>
        <v/>
      </c>
    </row>
    <row r="372" spans="6:6">
      <c r="F372" t="str">
        <f>_xlfn.XLOOKUP(B372,MacReports!B:B,MacReports!D:D,"")</f>
        <v/>
      </c>
    </row>
    <row r="373" spans="6:6">
      <c r="F373" t="str">
        <f>_xlfn.XLOOKUP(B373,MacReports!B:B,MacReports!D:D,"")</f>
        <v/>
      </c>
    </row>
    <row r="374" spans="6:6">
      <c r="F374" t="str">
        <f>_xlfn.XLOOKUP(B374,MacReports!B:B,MacReports!D:D,"")</f>
        <v/>
      </c>
    </row>
    <row r="375" spans="6:6">
      <c r="F375">
        <f>_xlfn.XLOOKUP(B375,MacReports!B:B,MacReports!D:D,"")</f>
        <v>0</v>
      </c>
    </row>
    <row r="376" spans="6:6">
      <c r="F376" t="str">
        <f>_xlfn.XLOOKUP(B376,MacReports!B:B,MacReports!D:D,"")</f>
        <v/>
      </c>
    </row>
    <row r="377" spans="6:6">
      <c r="F377" t="str">
        <f>_xlfn.XLOOKUP(B377,MacReports!B:B,MacReports!D:D,"")</f>
        <v/>
      </c>
    </row>
    <row r="378" spans="6:6">
      <c r="F378" t="str">
        <f>_xlfn.XLOOKUP(B378,MacReports!B:B,MacReports!D:D,"")</f>
        <v/>
      </c>
    </row>
    <row r="379" spans="6:6">
      <c r="F379" t="str">
        <f>_xlfn.XLOOKUP(B379,MacReports!B:B,MacReports!D:D,"")</f>
        <v/>
      </c>
    </row>
    <row r="380" spans="6:6">
      <c r="F380">
        <f>_xlfn.XLOOKUP(B380,MacReports!B:B,MacReports!D:D,"")</f>
        <v>0</v>
      </c>
    </row>
    <row r="381" spans="6:6">
      <c r="F381" t="str">
        <f>_xlfn.XLOOKUP(B381,MacReports!B:B,MacReports!D:D,"")</f>
        <v/>
      </c>
    </row>
    <row r="382" spans="6:6">
      <c r="F382" t="str">
        <f>_xlfn.XLOOKUP(B382,MacReports!B:B,MacReports!D:D,"")</f>
        <v/>
      </c>
    </row>
    <row r="383" spans="6:6">
      <c r="F383" t="str">
        <f>_xlfn.XLOOKUP(B383,MacReports!B:B,MacReports!D:D,"")</f>
        <v/>
      </c>
    </row>
    <row r="384" spans="6:6">
      <c r="F384" t="str">
        <f>_xlfn.XLOOKUP(B384,MacReports!B:B,MacReports!D:D,"")</f>
        <v/>
      </c>
    </row>
    <row r="385" spans="6:6">
      <c r="F385" t="str">
        <f>_xlfn.XLOOKUP(B385,MacReports!B:B,MacReports!D:D,"")</f>
        <v/>
      </c>
    </row>
    <row r="386" spans="6:6">
      <c r="F386" t="str">
        <f>_xlfn.XLOOKUP(B386,MacReports!B:B,MacReports!D:D,"")</f>
        <v/>
      </c>
    </row>
    <row r="387" spans="6:6">
      <c r="F387" t="str">
        <f>_xlfn.XLOOKUP(B387,MacReports!B:B,MacReports!D:D,"")</f>
        <v/>
      </c>
    </row>
    <row r="388" spans="6:6">
      <c r="F388" t="str">
        <f>_xlfn.XLOOKUP(B388,MacReports!B:B,MacReports!D:D,"")</f>
        <v/>
      </c>
    </row>
    <row r="389" spans="6:6">
      <c r="F389" t="str">
        <f>_xlfn.XLOOKUP(B389,MacReports!B:B,MacReports!D:D,"")</f>
        <v/>
      </c>
    </row>
    <row r="390" spans="6:6">
      <c r="F390" t="str">
        <f>_xlfn.XLOOKUP(B390,MacReports!B:B,MacReports!D:D,"")</f>
        <v/>
      </c>
    </row>
    <row r="391" spans="6:6">
      <c r="F391" t="str">
        <f>_xlfn.XLOOKUP(B391,MacReports!B:B,MacReports!D:D,"")</f>
        <v/>
      </c>
    </row>
    <row r="392" spans="6:6">
      <c r="F392" t="str">
        <f>_xlfn.XLOOKUP(B392,MacReports!B:B,MacReports!D:D,"")</f>
        <v/>
      </c>
    </row>
    <row r="393" spans="6:6">
      <c r="F393" t="str">
        <f>_xlfn.XLOOKUP(B393,MacReports!B:B,MacReports!D:D,"")</f>
        <v/>
      </c>
    </row>
    <row r="394" spans="6:6">
      <c r="F394" t="str">
        <f>_xlfn.XLOOKUP(B394,MacReports!B:B,MacReports!D:D,"")</f>
        <v/>
      </c>
    </row>
    <row r="395" spans="6:6">
      <c r="F395" t="str">
        <f>_xlfn.XLOOKUP(B395,MacReports!B:B,MacReports!D:D,"")</f>
        <v/>
      </c>
    </row>
    <row r="396" spans="6:6">
      <c r="F396" t="str">
        <f>_xlfn.XLOOKUP(B396,MacReports!B:B,MacReports!D:D,"")</f>
        <v/>
      </c>
    </row>
    <row r="397" spans="6:6">
      <c r="F397" t="str">
        <f>_xlfn.XLOOKUP(B397,MacReports!B:B,MacReports!D:D,"")</f>
        <v/>
      </c>
    </row>
    <row r="398" spans="6:6">
      <c r="F398">
        <f>_xlfn.XLOOKUP(B398,MacReports!B:B,MacReports!D:D,"")</f>
        <v>0</v>
      </c>
    </row>
    <row r="399" spans="6:6">
      <c r="F399" t="str">
        <f>_xlfn.XLOOKUP(B399,MacReports!B:B,MacReports!D:D,"")</f>
        <v/>
      </c>
    </row>
    <row r="400" spans="6:6">
      <c r="F400" t="str">
        <f>_xlfn.XLOOKUP(B400,MacReports!B:B,MacReports!D:D,"")</f>
        <v/>
      </c>
    </row>
    <row r="401" spans="6:6">
      <c r="F401" t="str">
        <f>_xlfn.XLOOKUP(B401,MacReports!B:B,MacReports!D:D,"")</f>
        <v/>
      </c>
    </row>
    <row r="402" spans="6:6">
      <c r="F402" t="str">
        <f>_xlfn.XLOOKUP(B402,MacReports!B:B,MacReports!D:D,"")</f>
        <v/>
      </c>
    </row>
    <row r="403" spans="6:6">
      <c r="F403" t="str">
        <f>_xlfn.XLOOKUP(B403,MacReports!B:B,MacReports!D:D,"")</f>
        <v/>
      </c>
    </row>
    <row r="404" spans="6:6">
      <c r="F404" t="str">
        <f>_xlfn.XLOOKUP(B404,MacReports!B:B,MacReports!D:D,"")</f>
        <v/>
      </c>
    </row>
    <row r="405" spans="6:6">
      <c r="F405" t="str">
        <f>_xlfn.XLOOKUP(B405,MacReports!B:B,MacReports!D:D,"")</f>
        <v/>
      </c>
    </row>
    <row r="406" spans="6:6">
      <c r="F406" t="str">
        <f>_xlfn.XLOOKUP(B406,MacReports!B:B,MacReports!D:D,"")</f>
        <v/>
      </c>
    </row>
    <row r="407" spans="6:6">
      <c r="F407" t="str">
        <f>_xlfn.XLOOKUP(B407,MacReports!B:B,MacReports!D:D,"")</f>
        <v/>
      </c>
    </row>
    <row r="408" spans="6:6">
      <c r="F408" t="str">
        <f>_xlfn.XLOOKUP(B408,MacReports!B:B,MacReports!D:D,"")</f>
        <v/>
      </c>
    </row>
    <row r="409" spans="6:6">
      <c r="F409" t="str">
        <f>_xlfn.XLOOKUP(B409,MacReports!B:B,MacReports!D:D,"")</f>
        <v/>
      </c>
    </row>
    <row r="410" spans="6:6">
      <c r="F410">
        <f>_xlfn.XLOOKUP(B410,MacReports!B:B,MacReports!D:D,"")</f>
        <v>0</v>
      </c>
    </row>
    <row r="411" spans="6:6">
      <c r="F411" t="str">
        <f>_xlfn.XLOOKUP(B411,MacReports!B:B,MacReports!D:D,"")</f>
        <v/>
      </c>
    </row>
    <row r="412" spans="6:6">
      <c r="F412" t="str">
        <f>_xlfn.XLOOKUP(B412,MacReports!B:B,MacReports!D:D,"")</f>
        <v/>
      </c>
    </row>
    <row r="413" spans="6:6">
      <c r="F413" t="str">
        <f>_xlfn.XLOOKUP(B413,MacReports!B:B,MacReports!D:D,"")</f>
        <v/>
      </c>
    </row>
    <row r="414" spans="6:6">
      <c r="F414" t="str">
        <f>_xlfn.XLOOKUP(B414,MacReports!B:B,MacReports!D:D,"")</f>
        <v/>
      </c>
    </row>
    <row r="415" spans="6:6">
      <c r="F415" t="str">
        <f>_xlfn.XLOOKUP(B415,MacReports!B:B,MacReports!D:D,"")</f>
        <v/>
      </c>
    </row>
    <row r="416" spans="6:6">
      <c r="F416">
        <f>_xlfn.XLOOKUP(B416,MacReports!B:B,MacReports!D:D,"")</f>
        <v>0</v>
      </c>
    </row>
    <row r="417" spans="6:6">
      <c r="F417" t="str">
        <f>_xlfn.XLOOKUP(B417,MacReports!B:B,MacReports!D:D,"")</f>
        <v/>
      </c>
    </row>
    <row r="418" spans="6:6">
      <c r="F418" t="str">
        <f>_xlfn.XLOOKUP(B418,MacReports!B:B,MacReports!D:D,"")</f>
        <v/>
      </c>
    </row>
    <row r="419" spans="6:6">
      <c r="F419" t="str">
        <f>_xlfn.XLOOKUP(B419,MacReports!B:B,MacReports!D:D,"")</f>
        <v/>
      </c>
    </row>
    <row r="420" spans="6:6">
      <c r="F420" t="str">
        <f>_xlfn.XLOOKUP(B420,MacReports!B:B,MacReports!D:D,"")</f>
        <v/>
      </c>
    </row>
    <row r="421" spans="6:6">
      <c r="F421" t="str">
        <f>_xlfn.XLOOKUP(B421,MacReports!B:B,MacReports!D:D,"")</f>
        <v/>
      </c>
    </row>
    <row r="422" spans="6:6">
      <c r="F422" t="str">
        <f>_xlfn.XLOOKUP(B422,MacReports!B:B,MacReports!D:D,"")</f>
        <v/>
      </c>
    </row>
    <row r="423" spans="6:6">
      <c r="F423" t="str">
        <f>_xlfn.XLOOKUP(B423,MacReports!B:B,MacReports!D:D,"")</f>
        <v/>
      </c>
    </row>
    <row r="424" spans="6:6">
      <c r="F424" t="str">
        <f>_xlfn.XLOOKUP(B424,MacReports!B:B,MacReports!D:D,"")</f>
        <v/>
      </c>
    </row>
    <row r="425" spans="6:6">
      <c r="F425" t="str">
        <f>_xlfn.XLOOKUP(B425,MacReports!B:B,MacReports!D:D,"")</f>
        <v/>
      </c>
    </row>
    <row r="426" spans="6:6">
      <c r="F426" t="str">
        <f>_xlfn.XLOOKUP(B426,MacReports!B:B,MacReports!D:D,"")</f>
        <v/>
      </c>
    </row>
    <row r="427" spans="6:6">
      <c r="F427" t="str">
        <f>_xlfn.XLOOKUP(B427,MacReports!B:B,MacReports!D:D,"")</f>
        <v/>
      </c>
    </row>
    <row r="428" spans="6:6">
      <c r="F428" t="str">
        <f>_xlfn.XLOOKUP(B428,MacReports!B:B,MacReports!D:D,"")</f>
        <v/>
      </c>
    </row>
    <row r="429" spans="6:6">
      <c r="F429" t="str">
        <f>_xlfn.XLOOKUP(B429,MacReports!B:B,MacReports!D:D,"")</f>
        <v/>
      </c>
    </row>
    <row r="430" spans="6:6">
      <c r="F430" t="str">
        <f>_xlfn.XLOOKUP(B430,MacReports!B:B,MacReports!D:D,"")</f>
        <v/>
      </c>
    </row>
    <row r="431" spans="6:6">
      <c r="F431" t="str">
        <f>_xlfn.XLOOKUP(B431,MacReports!B:B,MacReports!D:D,"")</f>
        <v/>
      </c>
    </row>
    <row r="432" spans="6:6">
      <c r="F432" t="str">
        <f>_xlfn.XLOOKUP(B432,MacReports!B:B,MacReports!D:D,"")</f>
        <v/>
      </c>
    </row>
    <row r="433" spans="6:6">
      <c r="F433" t="str">
        <f>_xlfn.XLOOKUP(B433,MacReports!B:B,MacReports!D:D,"")</f>
        <v/>
      </c>
    </row>
    <row r="434" spans="6:6">
      <c r="F434" t="str">
        <f>_xlfn.XLOOKUP(B434,MacReports!B:B,MacReports!D:D,"")</f>
        <v/>
      </c>
    </row>
    <row r="435" spans="6:6">
      <c r="F435" t="str">
        <f>_xlfn.XLOOKUP(B435,MacReports!B:B,MacReports!D:D,"")</f>
        <v/>
      </c>
    </row>
    <row r="436" spans="6:6">
      <c r="F436" t="str">
        <f>_xlfn.XLOOKUP(B436,MacReports!B:B,MacReports!D:D,"")</f>
        <v/>
      </c>
    </row>
    <row r="437" spans="6:6">
      <c r="F437" t="str">
        <f>_xlfn.XLOOKUP(B437,MacReports!B:B,MacReports!D:D,"")</f>
        <v/>
      </c>
    </row>
    <row r="438" spans="6:6">
      <c r="F438" t="str">
        <f>_xlfn.XLOOKUP(B438,MacReports!B:B,MacReports!D:D,"")</f>
        <v/>
      </c>
    </row>
    <row r="439" spans="6:6">
      <c r="F439" t="str">
        <f>_xlfn.XLOOKUP(B439,MacReports!B:B,MacReports!D:D,"")</f>
        <v/>
      </c>
    </row>
    <row r="440" spans="6:6">
      <c r="F440" t="str">
        <f>_xlfn.XLOOKUP(B440,MacReports!B:B,MacReports!D:D,"")</f>
        <v/>
      </c>
    </row>
    <row r="441" spans="6:6">
      <c r="F441" t="str">
        <f>_xlfn.XLOOKUP(B441,MacReports!B:B,MacReports!D:D,"")</f>
        <v/>
      </c>
    </row>
    <row r="442" spans="6:6">
      <c r="F442" t="str">
        <f>_xlfn.XLOOKUP(B442,MacReports!B:B,MacReports!D:D,"")</f>
        <v/>
      </c>
    </row>
    <row r="443" spans="6:6">
      <c r="F443" t="str">
        <f>_xlfn.XLOOKUP(B443,MacReports!B:B,MacReports!D:D,"")</f>
        <v/>
      </c>
    </row>
    <row r="444" spans="6:6">
      <c r="F444" t="str">
        <f>_xlfn.XLOOKUP(B444,MacReports!B:B,MacReports!D:D,"")</f>
        <v/>
      </c>
    </row>
    <row r="445" spans="6:6">
      <c r="F445" t="str">
        <f>_xlfn.XLOOKUP(B445,MacReports!B:B,MacReports!D:D,"")</f>
        <v/>
      </c>
    </row>
    <row r="446" spans="6:6">
      <c r="F446" t="str">
        <f>_xlfn.XLOOKUP(B446,MacReports!B:B,MacReports!D:D,"")</f>
        <v/>
      </c>
    </row>
    <row r="447" spans="6:6">
      <c r="F447" t="str">
        <f>_xlfn.XLOOKUP(B447,MacReports!B:B,MacReports!D:D,"")</f>
        <v/>
      </c>
    </row>
    <row r="448" spans="6:6">
      <c r="F448" t="str">
        <f>_xlfn.XLOOKUP(B448,MacReports!B:B,MacReports!D:D,"")</f>
        <v/>
      </c>
    </row>
    <row r="449" spans="6:6">
      <c r="F449" t="str">
        <f>_xlfn.XLOOKUP(B449,MacReports!B:B,MacReports!D:D,"")</f>
        <v/>
      </c>
    </row>
    <row r="450" spans="6:6">
      <c r="F450" t="str">
        <f>_xlfn.XLOOKUP(B450,MacReports!B:B,MacReports!D:D,"")</f>
        <v/>
      </c>
    </row>
    <row r="451" spans="6:6">
      <c r="F451" t="str">
        <f>_xlfn.XLOOKUP(B451,MacReports!B:B,MacReports!D:D,"")</f>
        <v/>
      </c>
    </row>
    <row r="452" spans="6:6">
      <c r="F452" t="str">
        <f>_xlfn.XLOOKUP(B452,MacReports!B:B,MacReports!D:D,"")</f>
        <v/>
      </c>
    </row>
    <row r="453" spans="6:6">
      <c r="F453" t="str">
        <f>_xlfn.XLOOKUP(B453,MacReports!B:B,MacReports!D:D,"")</f>
        <v/>
      </c>
    </row>
    <row r="454" spans="6:6">
      <c r="F454" t="str">
        <f>_xlfn.XLOOKUP(B454,MacReports!B:B,MacReports!D:D,"")</f>
        <v/>
      </c>
    </row>
    <row r="455" spans="6:6">
      <c r="F455" t="str">
        <f>_xlfn.XLOOKUP(B455,MacReports!B:B,MacReports!D:D,"")</f>
        <v/>
      </c>
    </row>
    <row r="456" spans="6:6">
      <c r="F456" t="str">
        <f>_xlfn.XLOOKUP(B456,MacReports!B:B,MacReports!D:D,"")</f>
        <v/>
      </c>
    </row>
    <row r="457" spans="6:6">
      <c r="F457" t="str">
        <f>_xlfn.XLOOKUP(B457,MacReports!B:B,MacReports!D:D,"")</f>
        <v/>
      </c>
    </row>
    <row r="458" spans="6:6">
      <c r="F458">
        <f>_xlfn.XLOOKUP(B458,MacReports!B:B,MacReports!D:D,"")</f>
        <v>0</v>
      </c>
    </row>
    <row r="459" spans="6:6">
      <c r="F459" t="str">
        <f>_xlfn.XLOOKUP(B459,MacReports!B:B,MacReports!D:D,"")</f>
        <v/>
      </c>
    </row>
    <row r="460" spans="6:6">
      <c r="F460">
        <f>_xlfn.XLOOKUP(B460,MacReports!B:B,MacReports!D:D,"")</f>
        <v>0</v>
      </c>
    </row>
    <row r="461" spans="6:6">
      <c r="F461" t="str">
        <f>_xlfn.XLOOKUP(B461,MacReports!B:B,MacReports!D:D,"")</f>
        <v/>
      </c>
    </row>
    <row r="462" spans="6:6">
      <c r="F462" t="str">
        <f>_xlfn.XLOOKUP(B462,MacReports!B:B,MacReports!D:D,"")</f>
        <v/>
      </c>
    </row>
    <row r="463" spans="6:6">
      <c r="F463" t="str">
        <f>_xlfn.XLOOKUP(B463,MacReports!B:B,MacReports!D:D,"")</f>
        <v/>
      </c>
    </row>
    <row r="464" spans="6:6">
      <c r="F464" t="str">
        <f>_xlfn.XLOOKUP(B464,MacReports!B:B,MacReports!D:D,"")</f>
        <v/>
      </c>
    </row>
    <row r="465" spans="6:6">
      <c r="F465" t="str">
        <f>_xlfn.XLOOKUP(B465,MacReports!B:B,MacReports!D:D,"")</f>
        <v/>
      </c>
    </row>
    <row r="466" spans="6:6">
      <c r="F466" t="str">
        <f>_xlfn.XLOOKUP(B466,MacReports!B:B,MacReports!D:D,"")</f>
        <v/>
      </c>
    </row>
    <row r="467" spans="6:6">
      <c r="F467" t="str">
        <f>_xlfn.XLOOKUP(B467,MacReports!B:B,MacReports!D:D,"")</f>
        <v/>
      </c>
    </row>
    <row r="468" spans="6:6">
      <c r="F468" t="str">
        <f>_xlfn.XLOOKUP(B468,MacReports!B:B,MacReports!D:D,"")</f>
        <v/>
      </c>
    </row>
    <row r="469" spans="6:6">
      <c r="F469" t="str">
        <f>_xlfn.XLOOKUP(B469,MacReports!B:B,MacReports!D:D,"")</f>
        <v/>
      </c>
    </row>
    <row r="470" spans="6:6">
      <c r="F470">
        <f>_xlfn.XLOOKUP(B470,MacReports!B:B,MacReports!D:D,"")</f>
        <v>0</v>
      </c>
    </row>
    <row r="471" spans="6:6">
      <c r="F471">
        <f>_xlfn.XLOOKUP(B471,MacReports!B:B,MacReports!D:D,"")</f>
        <v>0</v>
      </c>
    </row>
    <row r="472" spans="6:6">
      <c r="F472" t="str">
        <f>_xlfn.XLOOKUP(B472,MacReports!B:B,MacReports!D:D,"")</f>
        <v/>
      </c>
    </row>
    <row r="473" spans="6:6">
      <c r="F473" t="str">
        <f>_xlfn.XLOOKUP(B473,MacReports!B:B,MacReports!D:D,"")</f>
        <v/>
      </c>
    </row>
    <row r="474" spans="6:6">
      <c r="F474" t="str">
        <f>_xlfn.XLOOKUP(B474,MacReports!B:B,MacReports!D:D,"")</f>
        <v/>
      </c>
    </row>
    <row r="475" spans="6:6">
      <c r="F475" t="str">
        <f>_xlfn.XLOOKUP(B475,MacReports!B:B,MacReports!D:D,"")</f>
        <v/>
      </c>
    </row>
    <row r="476" spans="6:6">
      <c r="F476" t="str">
        <f>_xlfn.XLOOKUP(B476,MacReports!B:B,MacReports!D:D,"")</f>
        <v/>
      </c>
    </row>
    <row r="477" spans="6:6">
      <c r="F477" t="str">
        <f>_xlfn.XLOOKUP(B477,MacReports!B:B,MacReports!D:D,"")</f>
        <v/>
      </c>
    </row>
    <row r="478" spans="6:6">
      <c r="F478">
        <f>_xlfn.XLOOKUP(B478,MacReports!B:B,MacReports!D:D,"")</f>
        <v>0</v>
      </c>
    </row>
    <row r="479" spans="6:6">
      <c r="F479" t="str">
        <f>_xlfn.XLOOKUP(B479,MacReports!B:B,MacReports!D:D,"")</f>
        <v/>
      </c>
    </row>
    <row r="480" spans="6:6">
      <c r="F480" t="str">
        <f>_xlfn.XLOOKUP(B480,MacReports!B:B,MacReports!D:D,"")</f>
        <v/>
      </c>
    </row>
    <row r="481" spans="6:6">
      <c r="F481" t="str">
        <f>_xlfn.XLOOKUP(B481,MacReports!B:B,MacReports!D:D,"")</f>
        <v/>
      </c>
    </row>
    <row r="482" spans="6:6">
      <c r="F482" t="str">
        <f>_xlfn.XLOOKUP(B482,MacReports!B:B,MacReports!D:D,"")</f>
        <v/>
      </c>
    </row>
    <row r="483" spans="6:6">
      <c r="F483" t="str">
        <f>_xlfn.XLOOKUP(B483,MacReports!B:B,MacReports!D:D,"")</f>
        <v/>
      </c>
    </row>
    <row r="484" spans="6:6">
      <c r="F484" t="str">
        <f>_xlfn.XLOOKUP(B484,MacReports!B:B,MacReports!D:D,"")</f>
        <v/>
      </c>
    </row>
    <row r="485" spans="6:6">
      <c r="F485">
        <f>_xlfn.XLOOKUP(B485,MacReports!B:B,MacReports!D:D,"")</f>
        <v>0</v>
      </c>
    </row>
    <row r="486" spans="6:6">
      <c r="F486" t="str">
        <f>_xlfn.XLOOKUP(B486,MacReports!B:B,MacReports!D:D,"")</f>
        <v/>
      </c>
    </row>
    <row r="487" spans="6:6">
      <c r="F487" t="str">
        <f>_xlfn.XLOOKUP(B487,MacReports!B:B,MacReports!D:D,"")</f>
        <v/>
      </c>
    </row>
    <row r="488" spans="6:6">
      <c r="F488" t="str">
        <f>_xlfn.XLOOKUP(B488,MacReports!B:B,MacReports!D:D,"")</f>
        <v/>
      </c>
    </row>
    <row r="489" spans="6:6">
      <c r="F489" t="str">
        <f>_xlfn.XLOOKUP(B489,MacReports!B:B,MacReports!D:D,"")</f>
        <v/>
      </c>
    </row>
    <row r="490" spans="6:6">
      <c r="F490" t="str">
        <f>_xlfn.XLOOKUP(B490,MacReports!B:B,MacReports!D:D,"")</f>
        <v/>
      </c>
    </row>
    <row r="491" spans="6:6">
      <c r="F491" t="str">
        <f>_xlfn.XLOOKUP(B491,MacReports!B:B,MacReports!D:D,"")</f>
        <v/>
      </c>
    </row>
    <row r="492" spans="6:6">
      <c r="F492" t="str">
        <f>_xlfn.XLOOKUP(B492,MacReports!B:B,MacReports!D:D,"")</f>
        <v/>
      </c>
    </row>
    <row r="493" spans="6:6">
      <c r="F493" t="str">
        <f>_xlfn.XLOOKUP(B493,MacReports!B:B,MacReports!D:D,"")</f>
        <v/>
      </c>
    </row>
    <row r="494" spans="6:6">
      <c r="F494" t="str">
        <f>_xlfn.XLOOKUP(B494,MacReports!B:B,MacReports!D:D,"")</f>
        <v/>
      </c>
    </row>
    <row r="495" spans="6:6">
      <c r="F495" t="str">
        <f>_xlfn.XLOOKUP(B495,MacReports!B:B,MacReports!D:D,"")</f>
        <v/>
      </c>
    </row>
    <row r="496" spans="6:6">
      <c r="F496">
        <f>_xlfn.XLOOKUP(B496,MacReports!B:B,MacReports!D:D,"")</f>
        <v>0</v>
      </c>
    </row>
    <row r="497" spans="6:6">
      <c r="F497" t="str">
        <f>_xlfn.XLOOKUP(B497,MacReports!B:B,MacReports!D:D,"")</f>
        <v/>
      </c>
    </row>
    <row r="498" spans="6:6">
      <c r="F498" t="str">
        <f>_xlfn.XLOOKUP(B498,MacReports!B:B,MacReports!D:D,"")</f>
        <v/>
      </c>
    </row>
    <row r="499" spans="6:6">
      <c r="F499" t="str">
        <f>_xlfn.XLOOKUP(B499,MacReports!B:B,MacReports!D:D,"")</f>
        <v/>
      </c>
    </row>
    <row r="500" spans="6:6">
      <c r="F500" t="str">
        <f>_xlfn.XLOOKUP(B500,MacReports!B:B,MacReports!D:D,"")</f>
        <v/>
      </c>
    </row>
    <row r="501" spans="6:6">
      <c r="F501" t="str">
        <f>_xlfn.XLOOKUP(B501,MacReports!B:B,MacReports!D:D,"")</f>
        <v/>
      </c>
    </row>
    <row r="502" spans="6:6">
      <c r="F502" t="str">
        <f>_xlfn.XLOOKUP(B502,MacReports!B:B,MacReports!D:D,"")</f>
        <v/>
      </c>
    </row>
    <row r="503" spans="6:6">
      <c r="F503">
        <f>_xlfn.XLOOKUP(B503,MacReports!B:B,MacReports!D:D,"")</f>
        <v>0</v>
      </c>
    </row>
    <row r="504" spans="6:6">
      <c r="F504">
        <f>_xlfn.XLOOKUP(B504,MacReports!B:B,MacReports!D:D,"")</f>
        <v>0</v>
      </c>
    </row>
    <row r="505" spans="6:6">
      <c r="F505" t="str">
        <f>_xlfn.XLOOKUP(B505,MacReports!B:B,MacReports!D:D,"")</f>
        <v/>
      </c>
    </row>
    <row r="506" spans="6:6">
      <c r="F506" t="str">
        <f>_xlfn.XLOOKUP(B506,MacReports!B:B,MacReports!D:D,"")</f>
        <v/>
      </c>
    </row>
    <row r="507" spans="6:6">
      <c r="F507" t="str">
        <f>_xlfn.XLOOKUP(B507,MacReports!B:B,MacReports!D:D,"")</f>
        <v/>
      </c>
    </row>
    <row r="508" spans="6:6">
      <c r="F508" t="str">
        <f>_xlfn.XLOOKUP(B508,MacReports!B:B,MacReports!D:D,"")</f>
        <v/>
      </c>
    </row>
    <row r="509" spans="6:6">
      <c r="F509">
        <f>_xlfn.XLOOKUP(B509,MacReports!B:B,MacReports!D:D,"")</f>
        <v>0</v>
      </c>
    </row>
    <row r="510" spans="6:6">
      <c r="F510">
        <f>_xlfn.XLOOKUP(B510,MacReports!B:B,MacReports!D:D,"")</f>
        <v>0</v>
      </c>
    </row>
    <row r="511" spans="6:6">
      <c r="F511" t="str">
        <f>_xlfn.XLOOKUP(B511,MacReports!B:B,MacReports!D:D,"")</f>
        <v/>
      </c>
    </row>
    <row r="512" spans="6:6">
      <c r="F512">
        <f>_xlfn.XLOOKUP(B512,MacReports!B:B,MacReports!D:D,"")</f>
        <v>0</v>
      </c>
    </row>
    <row r="513" spans="6:6">
      <c r="F513" t="str">
        <f>_xlfn.XLOOKUP(B513,MacReports!B:B,MacReports!D:D,"")</f>
        <v/>
      </c>
    </row>
    <row r="514" spans="6:6">
      <c r="F514" t="str">
        <f>_xlfn.XLOOKUP(B514,MacReports!B:B,MacReports!D:D,"")</f>
        <v/>
      </c>
    </row>
    <row r="515" spans="6:6">
      <c r="F515" t="str">
        <f>_xlfn.XLOOKUP(B515,MacReports!B:B,MacReports!D:D,"")</f>
        <v/>
      </c>
    </row>
    <row r="516" spans="6:6">
      <c r="F516" t="str">
        <f>_xlfn.XLOOKUP(B516,MacReports!B:B,MacReports!D:D,"")</f>
        <v/>
      </c>
    </row>
    <row r="517" spans="6:6">
      <c r="F517">
        <f>_xlfn.XLOOKUP(B517,MacReports!B:B,MacReports!D:D,"")</f>
        <v>0</v>
      </c>
    </row>
    <row r="518" spans="6:6">
      <c r="F518">
        <f>_xlfn.XLOOKUP(B518,MacReports!B:B,MacReports!D:D,"")</f>
        <v>0</v>
      </c>
    </row>
    <row r="519" spans="6:6">
      <c r="F519" t="str">
        <f>_xlfn.XLOOKUP(B519,MacReports!B:B,MacReports!D:D,"")</f>
        <v/>
      </c>
    </row>
    <row r="520" spans="6:6">
      <c r="F520" t="str">
        <f>_xlfn.XLOOKUP(B520,MacReports!B:B,MacReports!D:D,"")</f>
        <v/>
      </c>
    </row>
    <row r="521" spans="6:6">
      <c r="F521" t="str">
        <f>_xlfn.XLOOKUP(B521,MacReports!B:B,MacReports!D:D,"")</f>
        <v/>
      </c>
    </row>
    <row r="522" spans="6:6">
      <c r="F522" t="str">
        <f>_xlfn.XLOOKUP(B522,MacReports!B:B,MacReports!D:D,"")</f>
        <v/>
      </c>
    </row>
    <row r="523" spans="6:6">
      <c r="F523" t="str">
        <f>_xlfn.XLOOKUP(B523,MacReports!B:B,MacReports!D:D,"")</f>
        <v/>
      </c>
    </row>
    <row r="524" spans="6:6">
      <c r="F524" t="str">
        <f>_xlfn.XLOOKUP(B524,MacReports!B:B,MacReports!D:D,"")</f>
        <v/>
      </c>
    </row>
    <row r="525" spans="6:6">
      <c r="F525" t="str">
        <f>_xlfn.XLOOKUP(B525,MacReports!B:B,MacReports!D:D,"")</f>
        <v/>
      </c>
    </row>
    <row r="526" spans="6:6">
      <c r="F526" t="str">
        <f>_xlfn.XLOOKUP(B526,MacReports!B:B,MacReports!D:D,"")</f>
        <v/>
      </c>
    </row>
    <row r="527" spans="6:6">
      <c r="F527" t="str">
        <f>_xlfn.XLOOKUP(B527,MacReports!B:B,MacReports!D:D,"")</f>
        <v/>
      </c>
    </row>
    <row r="528" spans="6:6">
      <c r="F528">
        <f>_xlfn.XLOOKUP(B528,MacReports!B:B,MacReports!D:D,"")</f>
        <v>0</v>
      </c>
    </row>
    <row r="529" spans="6:6">
      <c r="F529">
        <f>_xlfn.XLOOKUP(B529,MacReports!B:B,MacReports!D:D,"")</f>
        <v>0</v>
      </c>
    </row>
    <row r="530" spans="6:6">
      <c r="F530">
        <f>_xlfn.XLOOKUP(B530,MacReports!B:B,MacReports!D:D,"")</f>
        <v>0</v>
      </c>
    </row>
    <row r="531" spans="6:6">
      <c r="F531" t="str">
        <f>_xlfn.XLOOKUP(B531,MacReports!B:B,MacReports!D:D,"")</f>
        <v/>
      </c>
    </row>
    <row r="532" spans="6:6">
      <c r="F532" t="str">
        <f>_xlfn.XLOOKUP(B532,MacReports!B:B,MacReports!D:D,"")</f>
        <v/>
      </c>
    </row>
    <row r="533" spans="6:6">
      <c r="F533" t="str">
        <f>_xlfn.XLOOKUP(B533,MacReports!B:B,MacReports!D:D,"")</f>
        <v/>
      </c>
    </row>
    <row r="534" spans="6:6">
      <c r="F534" t="str">
        <f>_xlfn.XLOOKUP(B534,MacReports!B:B,MacReports!D:D,"")</f>
        <v/>
      </c>
    </row>
    <row r="535" spans="6:6">
      <c r="F535" t="str">
        <f>_xlfn.XLOOKUP(B535,MacReports!B:B,MacReports!D:D,"")</f>
        <v/>
      </c>
    </row>
    <row r="536" spans="6:6">
      <c r="F536">
        <f>_xlfn.XLOOKUP(B536,MacReports!B:B,MacReports!D:D,"")</f>
        <v>0</v>
      </c>
    </row>
    <row r="537" spans="6:6">
      <c r="F537" t="str">
        <f>_xlfn.XLOOKUP(B537,MacReports!B:B,MacReports!D:D,"")</f>
        <v/>
      </c>
    </row>
    <row r="538" spans="6:6">
      <c r="F538" t="str">
        <f>_xlfn.XLOOKUP(B538,MacReports!B:B,MacReports!D:D,"")</f>
        <v/>
      </c>
    </row>
    <row r="539" spans="6:6">
      <c r="F539" t="str">
        <f>_xlfn.XLOOKUP(B539,MacReports!B:B,MacReports!D:D,"")</f>
        <v/>
      </c>
    </row>
    <row r="540" spans="6:6">
      <c r="F540" t="str">
        <f>_xlfn.XLOOKUP(B540,MacReports!B:B,MacReports!D:D,"")</f>
        <v/>
      </c>
    </row>
    <row r="541" spans="6:6">
      <c r="F541">
        <f>_xlfn.XLOOKUP(B541,MacReports!B:B,MacReports!D:D,"")</f>
        <v>0</v>
      </c>
    </row>
    <row r="542" spans="6:6">
      <c r="F542" t="str">
        <f>_xlfn.XLOOKUP(B542,MacReports!B:B,MacReports!D:D,"")</f>
        <v/>
      </c>
    </row>
    <row r="543" spans="6:6">
      <c r="F543" t="str">
        <f>_xlfn.XLOOKUP(B543,MacReports!B:B,MacReports!D:D,"")</f>
        <v/>
      </c>
    </row>
    <row r="544" spans="6:6">
      <c r="F544" t="str">
        <f>_xlfn.XLOOKUP(B544,MacReports!B:B,MacReports!D:D,"")</f>
        <v/>
      </c>
    </row>
    <row r="545" spans="6:6">
      <c r="F545" t="str">
        <f>_xlfn.XLOOKUP(B545,MacReports!B:B,MacReports!D:D,"")</f>
        <v/>
      </c>
    </row>
    <row r="546" spans="6:6">
      <c r="F546">
        <f>_xlfn.XLOOKUP(B546,MacReports!B:B,MacReports!D:D,"")</f>
        <v>0</v>
      </c>
    </row>
    <row r="547" spans="6:6">
      <c r="F547" t="str">
        <f>_xlfn.XLOOKUP(B547,MacReports!B:B,MacReports!D:D,"")</f>
        <v/>
      </c>
    </row>
    <row r="548" spans="6:6">
      <c r="F548">
        <f>_xlfn.XLOOKUP(B548,MacReports!B:B,MacReports!D:D,"")</f>
        <v>0</v>
      </c>
    </row>
    <row r="549" spans="6:6">
      <c r="F549" t="str">
        <f>_xlfn.XLOOKUP(B549,MacReports!B:B,MacReports!D:D,"")</f>
        <v/>
      </c>
    </row>
    <row r="550" spans="6:6">
      <c r="F550" t="str">
        <f>_xlfn.XLOOKUP(B550,MacReports!B:B,MacReports!D:D,"")</f>
        <v/>
      </c>
    </row>
    <row r="551" spans="6:6">
      <c r="F551" t="str">
        <f>_xlfn.XLOOKUP(B551,MacReports!B:B,MacReports!D:D,"")</f>
        <v/>
      </c>
    </row>
    <row r="552" spans="6:6">
      <c r="F552" t="str">
        <f>_xlfn.XLOOKUP(B552,MacReports!B:B,MacReports!D:D,"")</f>
        <v/>
      </c>
    </row>
    <row r="553" spans="6:6">
      <c r="F553">
        <f>_xlfn.XLOOKUP(B553,MacReports!B:B,MacReports!D:D,"")</f>
        <v>0</v>
      </c>
    </row>
    <row r="554" spans="6:6">
      <c r="F554">
        <f>_xlfn.XLOOKUP(B554,MacReports!B:B,MacReports!D:D,"")</f>
        <v>0</v>
      </c>
    </row>
    <row r="555" spans="6:6">
      <c r="F555" t="str">
        <f>_xlfn.XLOOKUP(B555,MacReports!B:B,MacReports!D:D,"")</f>
        <v/>
      </c>
    </row>
    <row r="556" spans="6:6">
      <c r="F556" t="str">
        <f>_xlfn.XLOOKUP(B556,MacReports!B:B,MacReports!D:D,"")</f>
        <v/>
      </c>
    </row>
    <row r="557" spans="6:6">
      <c r="F557" t="str">
        <f>_xlfn.XLOOKUP(B557,MacReports!B:B,MacReports!D:D,"")</f>
        <v/>
      </c>
    </row>
    <row r="558" spans="6:6">
      <c r="F558" t="str">
        <f>_xlfn.XLOOKUP(B558,MacReports!B:B,MacReports!D:D,"")</f>
        <v/>
      </c>
    </row>
    <row r="559" spans="6:6">
      <c r="F559" t="str">
        <f>_xlfn.XLOOKUP(B559,MacReports!B:B,MacReports!D:D,"")</f>
        <v/>
      </c>
    </row>
    <row r="560" spans="6:6">
      <c r="F560">
        <f>_xlfn.XLOOKUP(B560,MacReports!B:B,MacReports!D:D,"")</f>
        <v>0</v>
      </c>
    </row>
    <row r="561" spans="6:6">
      <c r="F561" t="str">
        <f>_xlfn.XLOOKUP(B561,MacReports!B:B,MacReports!D:D,"")</f>
        <v/>
      </c>
    </row>
    <row r="562" spans="6:6">
      <c r="F562" t="str">
        <f>_xlfn.XLOOKUP(B562,MacReports!B:B,MacReports!D:D,"")</f>
        <v/>
      </c>
    </row>
    <row r="563" spans="6:6">
      <c r="F563" t="str">
        <f>_xlfn.XLOOKUP(B563,MacReports!B:B,MacReports!D:D,"")</f>
        <v/>
      </c>
    </row>
    <row r="564" spans="6:6">
      <c r="F564">
        <f>_xlfn.XLOOKUP(B564,MacReports!B:B,MacReports!D:D,"")</f>
        <v>0</v>
      </c>
    </row>
    <row r="565" spans="6:6">
      <c r="F565">
        <f>_xlfn.XLOOKUP(B565,MacReports!B:B,MacReports!D:D,"")</f>
        <v>0</v>
      </c>
    </row>
    <row r="566" spans="6:6">
      <c r="F566">
        <f>_xlfn.XLOOKUP(B566,MacReports!B:B,MacReports!D:D,"")</f>
        <v>0</v>
      </c>
    </row>
    <row r="567" spans="6:6">
      <c r="F567" t="str">
        <f>_xlfn.XLOOKUP(B567,MacReports!B:B,MacReports!D:D,"")</f>
        <v/>
      </c>
    </row>
    <row r="568" spans="6:6">
      <c r="F568" t="str">
        <f>_xlfn.XLOOKUP(B568,MacReports!B:B,MacReports!D:D,"")</f>
        <v/>
      </c>
    </row>
    <row r="569" spans="6:6">
      <c r="F569" t="str">
        <f>_xlfn.XLOOKUP(B569,MacReports!B:B,MacReports!D:D,"")</f>
        <v/>
      </c>
    </row>
    <row r="570" spans="6:6">
      <c r="F570" t="str">
        <f>_xlfn.XLOOKUP(B570,MacReports!B:B,MacReports!D:D,"")</f>
        <v/>
      </c>
    </row>
    <row r="571" spans="6:6">
      <c r="F571">
        <f>_xlfn.XLOOKUP(B571,MacReports!B:B,MacReports!D:D,"")</f>
        <v>0</v>
      </c>
    </row>
    <row r="572" spans="6:6">
      <c r="F572">
        <f>_xlfn.XLOOKUP(B572,MacReports!B:B,MacReports!D:D,"")</f>
        <v>0</v>
      </c>
    </row>
    <row r="573" spans="6:6">
      <c r="F573" t="str">
        <f>_xlfn.XLOOKUP(B573,MacReports!B:B,MacReports!D:D,"")</f>
        <v/>
      </c>
    </row>
    <row r="574" spans="6:6">
      <c r="F574" t="str">
        <f>_xlfn.XLOOKUP(B574,MacReports!B:B,MacReports!D:D,"")</f>
        <v/>
      </c>
    </row>
    <row r="575" spans="6:6">
      <c r="F575" t="str">
        <f>_xlfn.XLOOKUP(B575,MacReports!B:B,MacReports!D:D,"")</f>
        <v/>
      </c>
    </row>
    <row r="576" spans="6:6">
      <c r="F576" t="str">
        <f>_xlfn.XLOOKUP(B576,MacReports!B:B,MacReports!D:D,"")</f>
        <v/>
      </c>
    </row>
    <row r="577" spans="6:6">
      <c r="F577">
        <f>_xlfn.XLOOKUP(B577,MacReports!B:B,MacReports!D:D,"")</f>
        <v>0</v>
      </c>
    </row>
    <row r="578" spans="6:6">
      <c r="F578" t="str">
        <f>_xlfn.XLOOKUP(B578,MacReports!B:B,MacReports!D:D,"")</f>
        <v/>
      </c>
    </row>
    <row r="579" spans="6:6">
      <c r="F579" t="str">
        <f>_xlfn.XLOOKUP(B579,MacReports!B:B,MacReports!D:D,"")</f>
        <v/>
      </c>
    </row>
    <row r="580" spans="6:6">
      <c r="F580" t="str">
        <f>_xlfn.XLOOKUP(B580,MacReports!B:B,MacReports!D:D,"")</f>
        <v/>
      </c>
    </row>
    <row r="581" spans="6:6">
      <c r="F581" t="str">
        <f>_xlfn.XLOOKUP(B581,MacReports!B:B,MacReports!D:D,"")</f>
        <v/>
      </c>
    </row>
    <row r="582" spans="6:6">
      <c r="F582">
        <f>_xlfn.XLOOKUP(B582,MacReports!B:B,MacReports!D:D,"")</f>
        <v>0</v>
      </c>
    </row>
    <row r="583" spans="6:6">
      <c r="F583" t="str">
        <f>_xlfn.XLOOKUP(B583,MacReports!B:B,MacReports!D:D,"")</f>
        <v/>
      </c>
    </row>
    <row r="584" spans="6:6">
      <c r="F584">
        <f>_xlfn.XLOOKUP(B584,MacReports!B:B,MacReports!D:D,"")</f>
        <v>0</v>
      </c>
    </row>
    <row r="585" spans="6:6">
      <c r="F585" t="str">
        <f>_xlfn.XLOOKUP(B585,MacReports!B:B,MacReports!D:D,"")</f>
        <v/>
      </c>
    </row>
    <row r="586" spans="6:6">
      <c r="F586" t="str">
        <f>_xlfn.XLOOKUP(B586,MacReports!B:B,MacReports!D:D,"")</f>
        <v/>
      </c>
    </row>
    <row r="587" spans="6:6">
      <c r="F587" t="str">
        <f>_xlfn.XLOOKUP(B587,MacReports!B:B,MacReports!D:D,"")</f>
        <v/>
      </c>
    </row>
    <row r="588" spans="6:6">
      <c r="F588" t="str">
        <f>_xlfn.XLOOKUP(B588,MacReports!B:B,MacReports!D:D,"")</f>
        <v/>
      </c>
    </row>
    <row r="589" spans="6:6">
      <c r="F589">
        <f>_xlfn.XLOOKUP(B589,MacReports!B:B,MacReports!D:D,"")</f>
        <v>0</v>
      </c>
    </row>
    <row r="590" spans="6:6">
      <c r="F590">
        <f>_xlfn.XLOOKUP(B590,MacReports!B:B,MacReports!D:D,"")</f>
        <v>0</v>
      </c>
    </row>
    <row r="591" spans="6:6">
      <c r="F591" t="str">
        <f>_xlfn.XLOOKUP(B591,MacReports!B:B,MacReports!D:D,"")</f>
        <v/>
      </c>
    </row>
    <row r="592" spans="6:6">
      <c r="F592" t="str">
        <f>_xlfn.XLOOKUP(B592,MacReports!B:B,MacReports!D:D,"")</f>
        <v/>
      </c>
    </row>
    <row r="593" spans="6:6">
      <c r="F593" t="str">
        <f>_xlfn.XLOOKUP(B593,MacReports!B:B,MacReports!D:D,"")</f>
        <v/>
      </c>
    </row>
    <row r="594" spans="6:6">
      <c r="F594" t="str">
        <f>_xlfn.XLOOKUP(B594,MacReports!B:B,MacReports!D:D,"")</f>
        <v/>
      </c>
    </row>
    <row r="595" spans="6:6">
      <c r="F595">
        <f>_xlfn.XLOOKUP(B595,MacReports!B:B,MacReports!D:D,"")</f>
        <v>0</v>
      </c>
    </row>
    <row r="596" spans="6:6">
      <c r="F596" t="str">
        <f>_xlfn.XLOOKUP(B596,MacReports!B:B,MacReports!D:D,"")</f>
        <v/>
      </c>
    </row>
    <row r="597" spans="6:6">
      <c r="F597" t="str">
        <f>_xlfn.XLOOKUP(B597,MacReports!B:B,MacReports!D:D,"")</f>
        <v/>
      </c>
    </row>
    <row r="598" spans="6:6">
      <c r="F598" t="str">
        <f>_xlfn.XLOOKUP(B598,MacReports!B:B,MacReports!D:D,"")</f>
        <v/>
      </c>
    </row>
    <row r="599" spans="6:6">
      <c r="F599" t="str">
        <f>_xlfn.XLOOKUP(B599,MacReports!B:B,MacReports!D:D,"")</f>
        <v/>
      </c>
    </row>
    <row r="600" spans="6:6">
      <c r="F600">
        <f>_xlfn.XLOOKUP(B600,MacReports!B:B,MacReports!D:D,"")</f>
        <v>0</v>
      </c>
    </row>
    <row r="601" spans="6:6">
      <c r="F601" t="str">
        <f>_xlfn.XLOOKUP(B601,MacReports!B:B,MacReports!D:D,"")</f>
        <v/>
      </c>
    </row>
    <row r="602" spans="6:6">
      <c r="F602" t="str">
        <f>_xlfn.XLOOKUP(B602,MacReports!B:B,MacReports!D:D,"")</f>
        <v/>
      </c>
    </row>
    <row r="603" spans="6:6">
      <c r="F603" t="str">
        <f>_xlfn.XLOOKUP(B603,MacReports!B:B,MacReports!D:D,"")</f>
        <v/>
      </c>
    </row>
    <row r="604" spans="6:6">
      <c r="F604" t="str">
        <f>_xlfn.XLOOKUP(B604,MacReports!B:B,MacReports!D:D,"")</f>
        <v/>
      </c>
    </row>
    <row r="605" spans="6:6">
      <c r="F605" t="str">
        <f>_xlfn.XLOOKUP(B605,MacReports!B:B,MacReports!D:D,"")</f>
        <v/>
      </c>
    </row>
    <row r="606" spans="6:6">
      <c r="F606" t="str">
        <f>_xlfn.XLOOKUP(B606,MacReports!B:B,MacReports!D:D,"")</f>
        <v/>
      </c>
    </row>
    <row r="607" spans="6:6">
      <c r="F607">
        <f>_xlfn.XLOOKUP(B607,MacReports!B:B,MacReports!D:D,"")</f>
        <v>0</v>
      </c>
    </row>
    <row r="608" spans="6:6">
      <c r="F608" t="str">
        <f>_xlfn.XLOOKUP(B608,MacReports!B:B,MacReports!D:D,"")</f>
        <v/>
      </c>
    </row>
    <row r="609" spans="6:6">
      <c r="F609" t="str">
        <f>_xlfn.XLOOKUP(B609,MacReports!B:B,MacReports!D:D,"")</f>
        <v/>
      </c>
    </row>
    <row r="610" spans="6:6">
      <c r="F610" t="str">
        <f>_xlfn.XLOOKUP(B610,MacReports!B:B,MacReports!D:D,"")</f>
        <v/>
      </c>
    </row>
    <row r="611" spans="6:6">
      <c r="F611" t="str">
        <f>_xlfn.XLOOKUP(B611,MacReports!B:B,MacReports!D:D,"")</f>
        <v/>
      </c>
    </row>
    <row r="612" spans="6:6">
      <c r="F612" t="str">
        <f>_xlfn.XLOOKUP(B612,MacReports!B:B,MacReports!D:D,"")</f>
        <v/>
      </c>
    </row>
    <row r="613" spans="6:6">
      <c r="F613" t="str">
        <f>_xlfn.XLOOKUP(B613,MacReports!B:B,MacReports!D:D,"")</f>
        <v/>
      </c>
    </row>
    <row r="614" spans="6:6">
      <c r="F614">
        <f>_xlfn.XLOOKUP(B614,MacReports!B:B,MacReports!D:D,"")</f>
        <v>0</v>
      </c>
    </row>
    <row r="615" spans="6:6">
      <c r="F615" t="str">
        <f>_xlfn.XLOOKUP(B615,MacReports!B:B,MacReports!D:D,"")</f>
        <v/>
      </c>
    </row>
    <row r="616" spans="6:6">
      <c r="F616" t="str">
        <f>_xlfn.XLOOKUP(B616,MacReports!B:B,MacReports!D:D,"")</f>
        <v/>
      </c>
    </row>
    <row r="617" spans="6:6">
      <c r="F617" t="str">
        <f>_xlfn.XLOOKUP(B617,MacReports!B:B,MacReports!D:D,"")</f>
        <v/>
      </c>
    </row>
    <row r="618" spans="6:6">
      <c r="F618">
        <f>_xlfn.XLOOKUP(B618,MacReports!B:B,MacReports!D:D,"")</f>
        <v>0</v>
      </c>
    </row>
    <row r="619" spans="6:6">
      <c r="F619">
        <f>_xlfn.XLOOKUP(B619,MacReports!B:B,MacReports!D:D,"")</f>
        <v>0</v>
      </c>
    </row>
    <row r="620" spans="6:6">
      <c r="F620">
        <f>_xlfn.XLOOKUP(B620,MacReports!B:B,MacReports!D:D,"")</f>
        <v>0</v>
      </c>
    </row>
    <row r="621" spans="6:6">
      <c r="F621" t="str">
        <f>_xlfn.XLOOKUP(B621,MacReports!B:B,MacReports!D:D,"")</f>
        <v/>
      </c>
    </row>
    <row r="622" spans="6:6">
      <c r="F622" t="str">
        <f>_xlfn.XLOOKUP(B622,MacReports!B:B,MacReports!D:D,"")</f>
        <v/>
      </c>
    </row>
    <row r="623" spans="6:6">
      <c r="F623" t="str">
        <f>_xlfn.XLOOKUP(B623,MacReports!B:B,MacReports!D:D,"")</f>
        <v/>
      </c>
    </row>
    <row r="624" spans="6:6">
      <c r="F624" t="str">
        <f>_xlfn.XLOOKUP(B624,MacReports!B:B,MacReports!D:D,"")</f>
        <v/>
      </c>
    </row>
    <row r="625" spans="6:6">
      <c r="F625">
        <f>_xlfn.XLOOKUP(B625,MacReports!B:B,MacReports!D:D,"")</f>
        <v>0</v>
      </c>
    </row>
    <row r="626" spans="6:6">
      <c r="F626">
        <f>_xlfn.XLOOKUP(B626,MacReports!B:B,MacReports!D:D,"")</f>
        <v>0</v>
      </c>
    </row>
    <row r="627" spans="6:6">
      <c r="F627" t="str">
        <f>_xlfn.XLOOKUP(B627,MacReports!B:B,MacReports!D:D,"")</f>
        <v/>
      </c>
    </row>
    <row r="628" spans="6:6">
      <c r="F628" t="str">
        <f>_xlfn.XLOOKUP(B628,MacReports!B:B,MacReports!D:D,"")</f>
        <v/>
      </c>
    </row>
    <row r="629" spans="6:6">
      <c r="F629" t="str">
        <f>_xlfn.XLOOKUP(B629,MacReports!B:B,MacReports!D:D,"")</f>
        <v/>
      </c>
    </row>
    <row r="630" spans="6:6">
      <c r="F630" t="str">
        <f>_xlfn.XLOOKUP(B630,MacReports!B:B,MacReports!D:D,"")</f>
        <v/>
      </c>
    </row>
    <row r="631" spans="6:6">
      <c r="F631">
        <f>_xlfn.XLOOKUP(B631,MacReports!B:B,MacReports!D:D,"")</f>
        <v>0</v>
      </c>
    </row>
    <row r="632" spans="6:6">
      <c r="F632" t="str">
        <f>_xlfn.XLOOKUP(B632,MacReports!B:B,MacReports!D:D,"")</f>
        <v/>
      </c>
    </row>
    <row r="633" spans="6:6">
      <c r="F633" t="str">
        <f>_xlfn.XLOOKUP(B633,MacReports!B:B,MacReports!D:D,"")</f>
        <v/>
      </c>
    </row>
    <row r="634" spans="6:6">
      <c r="F634" t="str">
        <f>_xlfn.XLOOKUP(B634,MacReports!B:B,MacReports!D:D,"")</f>
        <v/>
      </c>
    </row>
    <row r="635" spans="6:6">
      <c r="F635" t="str">
        <f>_xlfn.XLOOKUP(B635,MacReports!B:B,MacReports!D:D,"")</f>
        <v/>
      </c>
    </row>
    <row r="636" spans="6:6">
      <c r="F636">
        <f>_xlfn.XLOOKUP(B636,MacReports!B:B,MacReports!D:D,"")</f>
        <v>0</v>
      </c>
    </row>
    <row r="637" spans="6:6">
      <c r="F637">
        <f>_xlfn.XLOOKUP(B637,MacReports!B:B,MacReports!D:D,"")</f>
        <v>0</v>
      </c>
    </row>
    <row r="638" spans="6:6">
      <c r="F638">
        <f>_xlfn.XLOOKUP(B638,MacReports!B:B,MacReports!D:D,"")</f>
        <v>0</v>
      </c>
    </row>
    <row r="639" spans="6:6">
      <c r="F639" t="str">
        <f>_xlfn.XLOOKUP(B639,MacReports!B:B,MacReports!D:D,"")</f>
        <v/>
      </c>
    </row>
    <row r="640" spans="6:6">
      <c r="F640" t="str">
        <f>_xlfn.XLOOKUP(B640,MacReports!B:B,MacReports!D:D,"")</f>
        <v/>
      </c>
    </row>
    <row r="641" spans="6:6">
      <c r="F641" t="str">
        <f>_xlfn.XLOOKUP(B641,MacReports!B:B,MacReports!D:D,"")</f>
        <v/>
      </c>
    </row>
    <row r="642" spans="6:6">
      <c r="F642" t="str">
        <f>_xlfn.XLOOKUP(B642,MacReports!B:B,MacReports!D:D,"")</f>
        <v/>
      </c>
    </row>
    <row r="643" spans="6:6">
      <c r="F643" t="str">
        <f>_xlfn.XLOOKUP(B643,MacReports!B:B,MacReports!D:D,"")</f>
        <v/>
      </c>
    </row>
    <row r="644" spans="6:6">
      <c r="F644">
        <f>_xlfn.XLOOKUP(B644,MacReports!B:B,MacReports!D:D,"")</f>
        <v>0</v>
      </c>
    </row>
    <row r="645" spans="6:6">
      <c r="F645" t="str">
        <f>_xlfn.XLOOKUP(B645,MacReports!B:B,MacReports!D:D,"")</f>
        <v/>
      </c>
    </row>
    <row r="646" spans="6:6">
      <c r="F646" t="str">
        <f>_xlfn.XLOOKUP(B646,MacReports!B:B,MacReports!D:D,"")</f>
        <v/>
      </c>
    </row>
    <row r="647" spans="6:6">
      <c r="F647" t="str">
        <f>_xlfn.XLOOKUP(B647,MacReports!B:B,MacReports!D:D,"")</f>
        <v/>
      </c>
    </row>
    <row r="648" spans="6:6">
      <c r="F648" t="str">
        <f>_xlfn.XLOOKUP(B648,MacReports!B:B,MacReports!D:D,"")</f>
        <v/>
      </c>
    </row>
    <row r="649" spans="6:6">
      <c r="F649" t="str">
        <f>_xlfn.XLOOKUP(B649,MacReports!B:B,MacReports!D:D,"")</f>
        <v/>
      </c>
    </row>
    <row r="650" spans="6:6">
      <c r="F650" t="str">
        <f>_xlfn.XLOOKUP(B650,MacReports!B:B,MacReports!D:D,"")</f>
        <v/>
      </c>
    </row>
    <row r="651" spans="6:6">
      <c r="F651" t="str">
        <f>_xlfn.XLOOKUP(B651,MacReports!B:B,MacReports!D:D,"")</f>
        <v/>
      </c>
    </row>
    <row r="652" spans="6:6">
      <c r="F652" t="str">
        <f>_xlfn.XLOOKUP(B652,MacReports!B:B,MacReports!D:D,"")</f>
        <v/>
      </c>
    </row>
    <row r="653" spans="6:6">
      <c r="F653" t="str">
        <f>_xlfn.XLOOKUP(B653,MacReports!B:B,MacReports!D:D,"")</f>
        <v/>
      </c>
    </row>
    <row r="654" spans="6:6">
      <c r="F654">
        <f>_xlfn.XLOOKUP(B654,MacReports!B:B,MacReports!D:D,"")</f>
        <v>0</v>
      </c>
    </row>
    <row r="655" spans="6:6">
      <c r="F655" t="str">
        <f>_xlfn.XLOOKUP(B655,MacReports!B:B,MacReports!D:D,"")</f>
        <v/>
      </c>
    </row>
    <row r="656" spans="6:6">
      <c r="F656">
        <f>_xlfn.XLOOKUP(B656,MacReports!B:B,MacReports!D:D,"")</f>
        <v>0</v>
      </c>
    </row>
    <row r="657" spans="6:6">
      <c r="F657" t="str">
        <f>_xlfn.XLOOKUP(B657,MacReports!B:B,MacReports!D:D,"")</f>
        <v/>
      </c>
    </row>
    <row r="658" spans="6:6">
      <c r="F658" t="str">
        <f>_xlfn.XLOOKUP(B658,MacReports!B:B,MacReports!D:D,"")</f>
        <v/>
      </c>
    </row>
    <row r="659" spans="6:6">
      <c r="F659" t="str">
        <f>_xlfn.XLOOKUP(B659,MacReports!B:B,MacReports!D:D,"")</f>
        <v/>
      </c>
    </row>
    <row r="660" spans="6:6">
      <c r="F660" t="str">
        <f>_xlfn.XLOOKUP(B660,MacReports!B:B,MacReports!D:D,"")</f>
        <v/>
      </c>
    </row>
    <row r="661" spans="6:6">
      <c r="F661">
        <f>_xlfn.XLOOKUP(B661,MacReports!B:B,MacReports!D:D,"")</f>
        <v>0</v>
      </c>
    </row>
    <row r="662" spans="6:6">
      <c r="F662">
        <f>_xlfn.XLOOKUP(B662,MacReports!B:B,MacReports!D:D,"")</f>
        <v>0</v>
      </c>
    </row>
    <row r="663" spans="6:6">
      <c r="F663" t="str">
        <f>_xlfn.XLOOKUP(B663,MacReports!B:B,MacReports!D:D,"")</f>
        <v/>
      </c>
    </row>
    <row r="664" spans="6:6">
      <c r="F664" t="str">
        <f>_xlfn.XLOOKUP(B664,MacReports!B:B,MacReports!D:D,"")</f>
        <v/>
      </c>
    </row>
    <row r="665" spans="6:6">
      <c r="F665" t="str">
        <f>_xlfn.XLOOKUP(B665,MacReports!B:B,MacReports!D:D,"")</f>
        <v/>
      </c>
    </row>
    <row r="666" spans="6:6">
      <c r="F666" t="str">
        <f>_xlfn.XLOOKUP(B666,MacReports!B:B,MacReports!D:D,"")</f>
        <v/>
      </c>
    </row>
    <row r="667" spans="6:6">
      <c r="F667">
        <f>_xlfn.XLOOKUP(B667,MacReports!B:B,MacReports!D:D,"")</f>
        <v>0</v>
      </c>
    </row>
    <row r="668" spans="6:6">
      <c r="F668">
        <f>_xlfn.XLOOKUP(B668,MacReports!B:B,MacReports!D:D,"")</f>
        <v>0</v>
      </c>
    </row>
    <row r="669" spans="6:6">
      <c r="F669" t="str">
        <f>_xlfn.XLOOKUP(B669,MacReports!B:B,MacReports!D:D,"")</f>
        <v/>
      </c>
    </row>
    <row r="670" spans="6:6">
      <c r="F670" t="str">
        <f>_xlfn.XLOOKUP(B670,MacReports!B:B,MacReports!D:D,"")</f>
        <v/>
      </c>
    </row>
    <row r="671" spans="6:6">
      <c r="F671" t="str">
        <f>_xlfn.XLOOKUP(B671,MacReports!B:B,MacReports!D:D,"")</f>
        <v/>
      </c>
    </row>
    <row r="672" spans="6:6">
      <c r="F672">
        <f>_xlfn.XLOOKUP(B672,MacReports!B:B,MacReports!D:D,"")</f>
        <v>0</v>
      </c>
    </row>
    <row r="673" spans="6:6">
      <c r="F673">
        <f>_xlfn.XLOOKUP(B673,MacReports!B:B,MacReports!D:D,"")</f>
        <v>0</v>
      </c>
    </row>
    <row r="674" spans="6:6">
      <c r="F674">
        <f>_xlfn.XLOOKUP(B674,MacReports!B:B,MacReports!D:D,"")</f>
        <v>0</v>
      </c>
    </row>
    <row r="675" spans="6:6">
      <c r="F675" t="str">
        <f>_xlfn.XLOOKUP(B675,MacReports!B:B,MacReports!D:D,"")</f>
        <v/>
      </c>
    </row>
    <row r="676" spans="6:6">
      <c r="F676" t="str">
        <f>_xlfn.XLOOKUP(B676,MacReports!B:B,MacReports!D:D,"")</f>
        <v/>
      </c>
    </row>
    <row r="677" spans="6:6">
      <c r="F677" t="str">
        <f>_xlfn.XLOOKUP(B677,MacReports!B:B,MacReports!D:D,"")</f>
        <v/>
      </c>
    </row>
    <row r="678" spans="6:6">
      <c r="F678" t="str">
        <f>_xlfn.XLOOKUP(B678,MacReports!B:B,MacReports!D:D,"")</f>
        <v/>
      </c>
    </row>
    <row r="679" spans="6:6">
      <c r="F679">
        <f>_xlfn.XLOOKUP(B679,MacReports!B:B,MacReports!D:D,"")</f>
        <v>0</v>
      </c>
    </row>
    <row r="680" spans="6:6">
      <c r="F680">
        <f>_xlfn.XLOOKUP(B680,MacReports!B:B,MacReports!D:D,"")</f>
        <v>0</v>
      </c>
    </row>
    <row r="681" spans="6:6">
      <c r="F681" t="str">
        <f>_xlfn.XLOOKUP(B681,MacReports!B:B,MacReports!D:D,"")</f>
        <v/>
      </c>
    </row>
    <row r="682" spans="6:6">
      <c r="F682" t="str">
        <f>_xlfn.XLOOKUP(B682,MacReports!B:B,MacReports!D:D,"")</f>
        <v/>
      </c>
    </row>
    <row r="683" spans="6:6">
      <c r="F683" t="str">
        <f>_xlfn.XLOOKUP(B683,MacReports!B:B,MacReports!D:D,"")</f>
        <v/>
      </c>
    </row>
    <row r="684" spans="6:6">
      <c r="F684" t="str">
        <f>_xlfn.XLOOKUP(B684,MacReports!B:B,MacReports!D:D,"")</f>
        <v/>
      </c>
    </row>
    <row r="685" spans="6:6">
      <c r="F685">
        <f>_xlfn.XLOOKUP(B685,MacReports!B:B,MacReports!D:D,"")</f>
        <v>0</v>
      </c>
    </row>
    <row r="686" spans="6:6">
      <c r="F686" t="str">
        <f>_xlfn.XLOOKUP(B686,MacReports!B:B,MacReports!D:D,"")</f>
        <v/>
      </c>
    </row>
    <row r="687" spans="6:6">
      <c r="F687" t="str">
        <f>_xlfn.XLOOKUP(B687,MacReports!B:B,MacReports!D:D,"")</f>
        <v/>
      </c>
    </row>
    <row r="688" spans="6:6">
      <c r="F688" t="str">
        <f>_xlfn.XLOOKUP(B688,MacReports!B:B,MacReports!D:D,"")</f>
        <v/>
      </c>
    </row>
    <row r="689" spans="6:6">
      <c r="F689" t="str">
        <f>_xlfn.XLOOKUP(B689,MacReports!B:B,MacReports!D:D,"")</f>
        <v/>
      </c>
    </row>
    <row r="690" spans="6:6">
      <c r="F690">
        <f>_xlfn.XLOOKUP(B690,MacReports!B:B,MacReports!D:D,"")</f>
        <v>0</v>
      </c>
    </row>
    <row r="691" spans="6:6">
      <c r="F691" t="str">
        <f>_xlfn.XLOOKUP(B691,MacReports!B:B,MacReports!D:D,"")</f>
        <v/>
      </c>
    </row>
    <row r="692" spans="6:6">
      <c r="F692">
        <f>_xlfn.XLOOKUP(B692,MacReports!B:B,MacReports!D:D,"")</f>
        <v>0</v>
      </c>
    </row>
    <row r="693" spans="6:6">
      <c r="F693" t="str">
        <f>_xlfn.XLOOKUP(B693,MacReports!B:B,MacReports!D:D,"")</f>
        <v/>
      </c>
    </row>
    <row r="694" spans="6:6">
      <c r="F694" t="str">
        <f>_xlfn.XLOOKUP(B694,MacReports!B:B,MacReports!D:D,"")</f>
        <v/>
      </c>
    </row>
    <row r="695" spans="6:6">
      <c r="F695" t="str">
        <f>_xlfn.XLOOKUP(B695,MacReports!B:B,MacReports!D:D,"")</f>
        <v/>
      </c>
    </row>
    <row r="696" spans="6:6">
      <c r="F696" t="str">
        <f>_xlfn.XLOOKUP(B696,MacReports!B:B,MacReports!D:D,"")</f>
        <v/>
      </c>
    </row>
    <row r="697" spans="6:6">
      <c r="F697">
        <f>_xlfn.XLOOKUP(B697,MacReports!B:B,MacReports!D:D,"")</f>
        <v>0</v>
      </c>
    </row>
    <row r="698" spans="6:6">
      <c r="F698">
        <f>_xlfn.XLOOKUP(B698,MacReports!B:B,MacReports!D:D,"")</f>
        <v>0</v>
      </c>
    </row>
    <row r="699" spans="6:6">
      <c r="F699" t="str">
        <f>_xlfn.XLOOKUP(B699,MacReports!B:B,MacReports!D:D,"")</f>
        <v/>
      </c>
    </row>
    <row r="700" spans="6:6">
      <c r="F700" t="str">
        <f>_xlfn.XLOOKUP(B700,MacReports!B:B,MacReports!D:D,"")</f>
        <v/>
      </c>
    </row>
    <row r="701" spans="6:6">
      <c r="F701" t="str">
        <f>_xlfn.XLOOKUP(B701,MacReports!B:B,MacReports!D:D,"")</f>
        <v/>
      </c>
    </row>
    <row r="702" spans="6:6">
      <c r="F702" t="str">
        <f>_xlfn.XLOOKUP(B702,MacReports!B:B,MacReports!D:D,"")</f>
        <v/>
      </c>
    </row>
    <row r="703" spans="6:6">
      <c r="F703">
        <f>_xlfn.XLOOKUP(B703,MacReports!B:B,MacReports!D:D,"")</f>
        <v>0</v>
      </c>
    </row>
    <row r="704" spans="6:6">
      <c r="F704" t="str">
        <f>_xlfn.XLOOKUP(B704,MacReports!B:B,MacReports!D:D,"")</f>
        <v/>
      </c>
    </row>
    <row r="705" spans="6:6">
      <c r="F705" t="str">
        <f>_xlfn.XLOOKUP(B705,MacReports!B:B,MacReports!D:D,"")</f>
        <v/>
      </c>
    </row>
    <row r="706" spans="6:6">
      <c r="F706" t="str">
        <f>_xlfn.XLOOKUP(B706,MacReports!B:B,MacReports!D:D,"")</f>
        <v/>
      </c>
    </row>
    <row r="707" spans="6:6">
      <c r="F707" t="str">
        <f>_xlfn.XLOOKUP(B707,MacReports!B:B,MacReports!D:D,"")</f>
        <v/>
      </c>
    </row>
    <row r="708" spans="6:6">
      <c r="F708">
        <f>_xlfn.XLOOKUP(B708,MacReports!B:B,MacReports!D:D,"")</f>
        <v>0</v>
      </c>
    </row>
    <row r="709" spans="6:6">
      <c r="F709" t="str">
        <f>_xlfn.XLOOKUP(B709,MacReports!B:B,MacReports!D:D,"")</f>
        <v/>
      </c>
    </row>
    <row r="710" spans="6:6">
      <c r="F710" t="str">
        <f>_xlfn.XLOOKUP(B710,MacReports!B:B,MacReports!D:D,"")</f>
        <v/>
      </c>
    </row>
    <row r="711" spans="6:6">
      <c r="F711" t="str">
        <f>_xlfn.XLOOKUP(B711,MacReports!B:B,MacReports!D:D,"")</f>
        <v/>
      </c>
    </row>
    <row r="712" spans="6:6">
      <c r="F712" t="str">
        <f>_xlfn.XLOOKUP(B712,MacReports!B:B,MacReports!D:D,"")</f>
        <v/>
      </c>
    </row>
    <row r="713" spans="6:6">
      <c r="F713" t="str">
        <f>_xlfn.XLOOKUP(B713,MacReports!B:B,MacReports!D:D,"")</f>
        <v/>
      </c>
    </row>
    <row r="714" spans="6:6">
      <c r="F714" t="str">
        <f>_xlfn.XLOOKUP(B714,MacReports!B:B,MacReports!D:D,"")</f>
        <v/>
      </c>
    </row>
    <row r="715" spans="6:6">
      <c r="F715">
        <f>_xlfn.XLOOKUP(B715,MacReports!B:B,MacReports!D:D,"")</f>
        <v>0</v>
      </c>
    </row>
    <row r="716" spans="6:6">
      <c r="F716" t="str">
        <f>_xlfn.XLOOKUP(B716,MacReports!B:B,MacReports!D:D,"")</f>
        <v/>
      </c>
    </row>
    <row r="717" spans="6:6">
      <c r="F717" t="str">
        <f>_xlfn.XLOOKUP(B717,MacReports!B:B,MacReports!D:D,"")</f>
        <v/>
      </c>
    </row>
    <row r="718" spans="6:6">
      <c r="F718" t="str">
        <f>_xlfn.XLOOKUP(B718,MacReports!B:B,MacReports!D:D,"")</f>
        <v/>
      </c>
    </row>
    <row r="719" spans="6:6">
      <c r="F719" t="str">
        <f>_xlfn.XLOOKUP(B719,MacReports!B:B,MacReports!D:D,"")</f>
        <v/>
      </c>
    </row>
    <row r="720" spans="6:6">
      <c r="F720" t="str">
        <f>_xlfn.XLOOKUP(B720,MacReports!B:B,MacReports!D:D,"")</f>
        <v/>
      </c>
    </row>
    <row r="721" spans="6:6">
      <c r="F721">
        <f>_xlfn.XLOOKUP(B721,MacReports!B:B,MacReports!D:D,"")</f>
        <v>0</v>
      </c>
    </row>
    <row r="722" spans="6:6">
      <c r="F722">
        <f>_xlfn.XLOOKUP(B722,MacReports!B:B,MacReports!D:D,"")</f>
        <v>0</v>
      </c>
    </row>
    <row r="723" spans="6:6">
      <c r="F723" t="str">
        <f>_xlfn.XLOOKUP(B723,MacReports!B:B,MacReports!D:D,"")</f>
        <v/>
      </c>
    </row>
    <row r="724" spans="6:6">
      <c r="F724" t="str">
        <f>_xlfn.XLOOKUP(B724,MacReports!B:B,MacReports!D:D,"")</f>
        <v/>
      </c>
    </row>
    <row r="725" spans="6:6">
      <c r="F725" t="str">
        <f>_xlfn.XLOOKUP(B725,MacReports!B:B,MacReports!D:D,"")</f>
        <v/>
      </c>
    </row>
    <row r="726" spans="6:6">
      <c r="F726">
        <f>_xlfn.XLOOKUP(B726,MacReports!B:B,MacReports!D:D,"")</f>
        <v>0</v>
      </c>
    </row>
    <row r="727" spans="6:6">
      <c r="F727">
        <f>_xlfn.XLOOKUP(B727,MacReports!B:B,MacReports!D:D,"")</f>
        <v>0</v>
      </c>
    </row>
    <row r="728" spans="6:6">
      <c r="F728">
        <f>_xlfn.XLOOKUP(B728,MacReports!B:B,MacReports!D:D,"")</f>
        <v>0</v>
      </c>
    </row>
    <row r="729" spans="6:6">
      <c r="F729" t="str">
        <f>_xlfn.XLOOKUP(B729,MacReports!B:B,MacReports!D:D,"")</f>
        <v/>
      </c>
    </row>
    <row r="730" spans="6:6">
      <c r="F730" t="str">
        <f>_xlfn.XLOOKUP(B730,MacReports!B:B,MacReports!D:D,"")</f>
        <v/>
      </c>
    </row>
    <row r="731" spans="6:6">
      <c r="F731" t="str">
        <f>_xlfn.XLOOKUP(B731,MacReports!B:B,MacReports!D:D,"")</f>
        <v/>
      </c>
    </row>
    <row r="732" spans="6:6">
      <c r="F732" t="str">
        <f>_xlfn.XLOOKUP(B732,MacReports!B:B,MacReports!D:D,"")</f>
        <v/>
      </c>
    </row>
    <row r="733" spans="6:6">
      <c r="F733">
        <f>_xlfn.XLOOKUP(B733,MacReports!B:B,MacReports!D:D,"")</f>
        <v>0</v>
      </c>
    </row>
    <row r="734" spans="6:6">
      <c r="F734">
        <f>_xlfn.XLOOKUP(B734,MacReports!B:B,MacReports!D:D,"")</f>
        <v>0</v>
      </c>
    </row>
    <row r="735" spans="6:6">
      <c r="F735" t="str">
        <f>_xlfn.XLOOKUP(B735,MacReports!B:B,MacReports!D:D,"")</f>
        <v/>
      </c>
    </row>
    <row r="736" spans="6:6">
      <c r="F736" t="str">
        <f>_xlfn.XLOOKUP(B736,MacReports!B:B,MacReports!D:D,"")</f>
        <v/>
      </c>
    </row>
    <row r="737" spans="6:6">
      <c r="F737" t="str">
        <f>_xlfn.XLOOKUP(B737,MacReports!B:B,MacReports!D:D,"")</f>
        <v/>
      </c>
    </row>
    <row r="738" spans="6:6">
      <c r="F738" t="str">
        <f>_xlfn.XLOOKUP(B738,MacReports!B:B,MacReports!D:D,"")</f>
        <v/>
      </c>
    </row>
    <row r="739" spans="6:6">
      <c r="F739" t="str">
        <f>_xlfn.XLOOKUP(B739,MacReports!B:B,MacReports!D:D,"")</f>
        <v/>
      </c>
    </row>
    <row r="740" spans="6:6">
      <c r="F740" t="str">
        <f>_xlfn.XLOOKUP(B740,MacReports!B:B,MacReports!D:D,"")</f>
        <v/>
      </c>
    </row>
    <row r="741" spans="6:6">
      <c r="F741" t="str">
        <f>_xlfn.XLOOKUP(B741,MacReports!B:B,MacReports!D:D,"")</f>
        <v/>
      </c>
    </row>
    <row r="742" spans="6:6">
      <c r="F742" t="str">
        <f>_xlfn.XLOOKUP(B742,MacReports!B:B,MacReports!D:D,"")</f>
        <v/>
      </c>
    </row>
    <row r="743" spans="6:6">
      <c r="F743" t="str">
        <f>_xlfn.XLOOKUP(B743,MacReports!B:B,MacReports!D:D,"")</f>
        <v/>
      </c>
    </row>
    <row r="744" spans="6:6">
      <c r="F744">
        <f>_xlfn.XLOOKUP(B744,MacReports!B:B,MacReports!D:D,"")</f>
        <v>0</v>
      </c>
    </row>
    <row r="745" spans="6:6">
      <c r="F745">
        <f>_xlfn.XLOOKUP(B745,MacReports!B:B,MacReports!D:D,"")</f>
        <v>0</v>
      </c>
    </row>
    <row r="746" spans="6:6">
      <c r="F746">
        <f>_xlfn.XLOOKUP(B746,MacReports!B:B,MacReports!D:D,"")</f>
        <v>0</v>
      </c>
    </row>
    <row r="747" spans="6:6">
      <c r="F747" t="str">
        <f>_xlfn.XLOOKUP(B747,MacReports!B:B,MacReports!D:D,"")</f>
        <v/>
      </c>
    </row>
    <row r="748" spans="6:6">
      <c r="F748" t="str">
        <f>_xlfn.XLOOKUP(B748,MacReports!B:B,MacReports!D:D,"")</f>
        <v/>
      </c>
    </row>
    <row r="749" spans="6:6">
      <c r="F749" t="str">
        <f>_xlfn.XLOOKUP(B749,MacReports!B:B,MacReports!D:D,"")</f>
        <v/>
      </c>
    </row>
    <row r="750" spans="6:6">
      <c r="F750" t="str">
        <f>_xlfn.XLOOKUP(B750,MacReports!B:B,MacReports!D:D,"")</f>
        <v/>
      </c>
    </row>
    <row r="751" spans="6:6">
      <c r="F751" t="str">
        <f>_xlfn.XLOOKUP(B751,MacReports!B:B,MacReports!D:D,"")</f>
        <v/>
      </c>
    </row>
    <row r="752" spans="6:6">
      <c r="F752">
        <f>_xlfn.XLOOKUP(B752,MacReports!B:B,MacReports!D:D,"")</f>
        <v>0</v>
      </c>
    </row>
    <row r="753" spans="6:6">
      <c r="F753" t="str">
        <f>_xlfn.XLOOKUP(B753,MacReports!B:B,MacReports!D:D,"")</f>
        <v/>
      </c>
    </row>
    <row r="754" spans="6:6">
      <c r="F754" t="str">
        <f>_xlfn.XLOOKUP(B754,MacReports!B:B,MacReports!D:D,"")</f>
        <v/>
      </c>
    </row>
    <row r="755" spans="6:6">
      <c r="F755" t="str">
        <f>_xlfn.XLOOKUP(B755,MacReports!B:B,MacReports!D:D,"")</f>
        <v/>
      </c>
    </row>
    <row r="756" spans="6:6">
      <c r="F756" t="str">
        <f>_xlfn.XLOOKUP(B756,MacReports!B:B,MacReports!D:D,"")</f>
        <v/>
      </c>
    </row>
    <row r="757" spans="6:6">
      <c r="F757">
        <f>_xlfn.XLOOKUP(B757,MacReports!B:B,MacReports!D:D,"")</f>
        <v>0</v>
      </c>
    </row>
    <row r="758" spans="6:6">
      <c r="F758" t="str">
        <f>_xlfn.XLOOKUP(B758,MacReports!B:B,MacReports!D:D,"")</f>
        <v/>
      </c>
    </row>
    <row r="759" spans="6:6">
      <c r="F759" t="str">
        <f>_xlfn.XLOOKUP(B759,MacReports!B:B,MacReports!D:D,"")</f>
        <v/>
      </c>
    </row>
    <row r="760" spans="6:6">
      <c r="F760" t="str">
        <f>_xlfn.XLOOKUP(B760,MacReports!B:B,MacReports!D:D,"")</f>
        <v/>
      </c>
    </row>
    <row r="761" spans="6:6">
      <c r="F761" t="str">
        <f>_xlfn.XLOOKUP(B761,MacReports!B:B,MacReports!D:D,"")</f>
        <v/>
      </c>
    </row>
    <row r="762" spans="6:6">
      <c r="F762">
        <f>_xlfn.XLOOKUP(B762,MacReports!B:B,MacReports!D:D,"")</f>
        <v>0</v>
      </c>
    </row>
    <row r="763" spans="6:6">
      <c r="F763" t="str">
        <f>_xlfn.XLOOKUP(B763,MacReports!B:B,MacReports!D:D,"")</f>
        <v/>
      </c>
    </row>
    <row r="764" spans="6:6">
      <c r="F764">
        <f>_xlfn.XLOOKUP(B764,MacReports!B:B,MacReports!D:D,"")</f>
        <v>0</v>
      </c>
    </row>
    <row r="765" spans="6:6">
      <c r="F765" t="str">
        <f>_xlfn.XLOOKUP(B765,MacReports!B:B,MacReports!D:D,"")</f>
        <v/>
      </c>
    </row>
    <row r="766" spans="6:6">
      <c r="F766" t="str">
        <f>_xlfn.XLOOKUP(B766,MacReports!B:B,MacReports!D:D,"")</f>
        <v/>
      </c>
    </row>
    <row r="767" spans="6:6">
      <c r="F767" t="str">
        <f>_xlfn.XLOOKUP(B767,MacReports!B:B,MacReports!D:D,"")</f>
        <v/>
      </c>
    </row>
    <row r="768" spans="6:6">
      <c r="F768" t="str">
        <f>_xlfn.XLOOKUP(B768,MacReports!B:B,MacReports!D:D,"")</f>
        <v/>
      </c>
    </row>
    <row r="769" spans="6:6">
      <c r="F769">
        <f>_xlfn.XLOOKUP(B769,MacReports!B:B,MacReports!D:D,"")</f>
        <v>0</v>
      </c>
    </row>
    <row r="770" spans="6:6">
      <c r="F770">
        <f>_xlfn.XLOOKUP(B770,MacReports!B:B,MacReports!D:D,"")</f>
        <v>0</v>
      </c>
    </row>
    <row r="771" spans="6:6">
      <c r="F771" t="str">
        <f>_xlfn.XLOOKUP(B771,MacReports!B:B,MacReports!D:D,"")</f>
        <v/>
      </c>
    </row>
    <row r="772" spans="6:6">
      <c r="F772" t="str">
        <f>_xlfn.XLOOKUP(B772,MacReports!B:B,MacReports!D:D,"")</f>
        <v/>
      </c>
    </row>
    <row r="773" spans="6:6">
      <c r="F773" t="str">
        <f>_xlfn.XLOOKUP(B773,MacReports!B:B,MacReports!D:D,"")</f>
        <v/>
      </c>
    </row>
    <row r="774" spans="6:6">
      <c r="F774" t="str">
        <f>_xlfn.XLOOKUP(B774,MacReports!B:B,MacReports!D:D,"")</f>
        <v/>
      </c>
    </row>
    <row r="775" spans="6:6">
      <c r="F775">
        <f>_xlfn.XLOOKUP(B775,MacReports!B:B,MacReports!D:D,"")</f>
        <v>0</v>
      </c>
    </row>
    <row r="776" spans="6:6">
      <c r="F776">
        <f>_xlfn.XLOOKUP(B776,MacReports!B:B,MacReports!D:D,"")</f>
        <v>0</v>
      </c>
    </row>
    <row r="777" spans="6:6">
      <c r="F777" t="str">
        <f>_xlfn.XLOOKUP(B777,MacReports!B:B,MacReports!D:D,"")</f>
        <v/>
      </c>
    </row>
    <row r="778" spans="6:6">
      <c r="F778" t="str">
        <f>_xlfn.XLOOKUP(B778,MacReports!B:B,MacReports!D:D,"")</f>
        <v/>
      </c>
    </row>
    <row r="779" spans="6:6">
      <c r="F779" t="str">
        <f>_xlfn.XLOOKUP(B779,MacReports!B:B,MacReports!D:D,"")</f>
        <v/>
      </c>
    </row>
    <row r="780" spans="6:6">
      <c r="F780">
        <f>_xlfn.XLOOKUP(B780,MacReports!B:B,MacReports!D:D,"")</f>
        <v>0</v>
      </c>
    </row>
    <row r="781" spans="6:6">
      <c r="F781">
        <f>_xlfn.XLOOKUP(B781,MacReports!B:B,MacReports!D:D,"")</f>
        <v>0</v>
      </c>
    </row>
    <row r="782" spans="6:6">
      <c r="F782">
        <f>_xlfn.XLOOKUP(B782,MacReports!B:B,MacReports!D:D,"")</f>
        <v>0</v>
      </c>
    </row>
    <row r="783" spans="6:6">
      <c r="F783" t="str">
        <f>_xlfn.XLOOKUP(B783,MacReports!B:B,MacReports!D:D,"")</f>
        <v/>
      </c>
    </row>
    <row r="784" spans="6:6">
      <c r="F784" t="str">
        <f>_xlfn.XLOOKUP(B784,MacReports!B:B,MacReports!D:D,"")</f>
        <v/>
      </c>
    </row>
    <row r="785" spans="6:6">
      <c r="F785" t="str">
        <f>_xlfn.XLOOKUP(B785,MacReports!B:B,MacReports!D:D,"")</f>
        <v/>
      </c>
    </row>
    <row r="786" spans="6:6">
      <c r="F786" t="str">
        <f>_xlfn.XLOOKUP(B786,MacReports!B:B,MacReports!D:D,"")</f>
        <v/>
      </c>
    </row>
    <row r="787" spans="6:6">
      <c r="F787">
        <f>_xlfn.XLOOKUP(B787,MacReports!B:B,MacReports!D:D,"")</f>
        <v>0</v>
      </c>
    </row>
    <row r="788" spans="6:6">
      <c r="F788">
        <f>_xlfn.XLOOKUP(B788,MacReports!B:B,MacReports!D:D,"")</f>
        <v>0</v>
      </c>
    </row>
    <row r="789" spans="6:6">
      <c r="F789" t="str">
        <f>_xlfn.XLOOKUP(B789,MacReports!B:B,MacReports!D:D,"")</f>
        <v/>
      </c>
    </row>
    <row r="790" spans="6:6">
      <c r="F790" t="str">
        <f>_xlfn.XLOOKUP(B790,MacReports!B:B,MacReports!D:D,"")</f>
        <v/>
      </c>
    </row>
    <row r="791" spans="6:6">
      <c r="F791" t="str">
        <f>_xlfn.XLOOKUP(B791,MacReports!B:B,MacReports!D:D,"")</f>
        <v/>
      </c>
    </row>
    <row r="792" spans="6:6">
      <c r="F792" t="str">
        <f>_xlfn.XLOOKUP(B792,MacReports!B:B,MacReports!D:D,"")</f>
        <v/>
      </c>
    </row>
    <row r="793" spans="6:6">
      <c r="F793">
        <f>_xlfn.XLOOKUP(B793,MacReports!B:B,MacReports!D:D,"")</f>
        <v>0</v>
      </c>
    </row>
    <row r="794" spans="6:6">
      <c r="F794" t="str">
        <f>_xlfn.XLOOKUP(B794,MacReports!B:B,MacReports!D:D,"")</f>
        <v/>
      </c>
    </row>
    <row r="795" spans="6:6">
      <c r="F795" t="str">
        <f>_xlfn.XLOOKUP(B795,MacReports!B:B,MacReports!D:D,"")</f>
        <v/>
      </c>
    </row>
    <row r="796" spans="6:6">
      <c r="F796" t="str">
        <f>_xlfn.XLOOKUP(B796,MacReports!B:B,MacReports!D:D,"")</f>
        <v/>
      </c>
    </row>
    <row r="797" spans="6:6">
      <c r="F797" t="str">
        <f>_xlfn.XLOOKUP(B797,MacReports!B:B,MacReports!D:D,"")</f>
        <v/>
      </c>
    </row>
    <row r="798" spans="6:6">
      <c r="F798">
        <f>_xlfn.XLOOKUP(B798,MacReports!B:B,MacReports!D:D,"")</f>
        <v>0</v>
      </c>
    </row>
    <row r="799" spans="6:6">
      <c r="F799" t="str">
        <f>_xlfn.XLOOKUP(B799,MacReports!B:B,MacReports!D:D,"")</f>
        <v/>
      </c>
    </row>
    <row r="800" spans="6:6">
      <c r="F800">
        <f>_xlfn.XLOOKUP(B800,MacReports!B:B,MacReports!D:D,"")</f>
        <v>0</v>
      </c>
    </row>
    <row r="801" spans="6:6">
      <c r="F801" t="str">
        <f>_xlfn.XLOOKUP(B801,MacReports!B:B,MacReports!D:D,"")</f>
        <v/>
      </c>
    </row>
    <row r="802" spans="6:6">
      <c r="F802" t="str">
        <f>_xlfn.XLOOKUP(B802,MacReports!B:B,MacReports!D:D,"")</f>
        <v/>
      </c>
    </row>
    <row r="803" spans="6:6">
      <c r="F803" t="str">
        <f>_xlfn.XLOOKUP(B803,MacReports!B:B,MacReports!D:D,"")</f>
        <v/>
      </c>
    </row>
    <row r="804" spans="6:6">
      <c r="F804" t="str">
        <f>_xlfn.XLOOKUP(B804,MacReports!B:B,MacReports!D:D,"")</f>
        <v/>
      </c>
    </row>
    <row r="805" spans="6:6">
      <c r="F805">
        <f>_xlfn.XLOOKUP(B805,MacReports!B:B,MacReports!D:D,"")</f>
        <v>0</v>
      </c>
    </row>
    <row r="806" spans="6:6">
      <c r="F806">
        <f>_xlfn.XLOOKUP(B806,MacReports!B:B,MacReports!D:D,"")</f>
        <v>0</v>
      </c>
    </row>
    <row r="807" spans="6:6">
      <c r="F807" t="str">
        <f>_xlfn.XLOOKUP(B807,MacReports!B:B,MacReports!D:D,"")</f>
        <v/>
      </c>
    </row>
    <row r="808" spans="6:6">
      <c r="F808" t="str">
        <f>_xlfn.XLOOKUP(B808,MacReports!B:B,MacReports!D:D,"")</f>
        <v/>
      </c>
    </row>
    <row r="809" spans="6:6">
      <c r="F809" t="str">
        <f>_xlfn.XLOOKUP(B809,MacReports!B:B,MacReports!D:D,"")</f>
        <v/>
      </c>
    </row>
    <row r="810" spans="6:6">
      <c r="F810" t="str">
        <f>_xlfn.XLOOKUP(B810,MacReports!B:B,MacReports!D:D,"")</f>
        <v/>
      </c>
    </row>
    <row r="811" spans="6:6">
      <c r="F811">
        <f>_xlfn.XLOOKUP(B811,MacReports!B:B,MacReports!D:D,"")</f>
        <v>0</v>
      </c>
    </row>
    <row r="812" spans="6:6">
      <c r="F812" t="str">
        <f>_xlfn.XLOOKUP(B812,MacReports!B:B,MacReports!D:D,"")</f>
        <v/>
      </c>
    </row>
  </sheetData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3CFB2BF-E493-491A-92EA-4D54D27EA5FA}">
  <sheetPr codeName="Sheet10">
    <tabColor theme="5"/>
  </sheetPr>
  <dimension ref="A1:H602"/>
  <sheetViews>
    <sheetView workbookViewId="0">
      <selection activeCell="E34" sqref="E34"/>
    </sheetView>
  </sheetViews>
  <sheetFormatPr defaultRowHeight="15"/>
  <cols>
    <col min="1" max="1" width="39.28515625" customWidth="1"/>
    <col min="2" max="2" width="48.28515625" bestFit="1" customWidth="1"/>
    <col min="3" max="3" width="48.28515625" customWidth="1"/>
    <col min="4" max="4" width="5.5703125" bestFit="1" customWidth="1"/>
    <col min="5" max="5" width="4.5703125" bestFit="1" customWidth="1"/>
    <col min="6" max="6" width="7.140625" bestFit="1" customWidth="1"/>
    <col min="7" max="7" width="14.42578125" style="19" customWidth="1"/>
    <col min="8" max="8" width="23.5703125" style="19" customWidth="1"/>
  </cols>
  <sheetData>
    <row r="1" spans="1:8" ht="15.75" thickBot="1">
      <c r="A1" s="23" t="s">
        <v>75</v>
      </c>
      <c r="B1" s="23" t="s">
        <v>76</v>
      </c>
      <c r="C1" s="23" t="s">
        <v>2</v>
      </c>
      <c r="D1" s="24" t="s">
        <v>77</v>
      </c>
      <c r="E1" s="25" t="s">
        <v>78</v>
      </c>
      <c r="F1" s="25" t="s">
        <v>79</v>
      </c>
      <c r="G1" s="26" t="s">
        <v>2</v>
      </c>
      <c r="H1" s="26" t="s">
        <v>313</v>
      </c>
    </row>
    <row r="2" spans="1:8" ht="15.75" thickBot="1">
      <c r="A2" s="20" t="s">
        <v>80</v>
      </c>
      <c r="B2" s="20" t="s">
        <v>81</v>
      </c>
      <c r="C2" s="20" t="s">
        <v>51</v>
      </c>
      <c r="D2" s="21">
        <v>2019</v>
      </c>
      <c r="E2" s="22">
        <v>16</v>
      </c>
      <c r="F2" s="22">
        <v>2</v>
      </c>
      <c r="G2" s="19" t="s">
        <v>51</v>
      </c>
      <c r="H2" s="19" t="s">
        <v>51</v>
      </c>
    </row>
    <row r="3" spans="1:8" ht="15.75" thickBot="1">
      <c r="A3" s="5" t="s">
        <v>82</v>
      </c>
      <c r="B3" s="5" t="s">
        <v>83</v>
      </c>
      <c r="C3" s="5" t="s">
        <v>51</v>
      </c>
      <c r="D3" s="8">
        <v>2020</v>
      </c>
      <c r="E3" s="9">
        <v>13</v>
      </c>
      <c r="F3" s="9">
        <v>1.4</v>
      </c>
      <c r="G3" s="19" t="s">
        <v>51</v>
      </c>
      <c r="H3" s="19" t="s">
        <v>50</v>
      </c>
    </row>
    <row r="4" spans="1:8" ht="15.75" thickBot="1">
      <c r="A4" s="5" t="s">
        <v>57</v>
      </c>
      <c r="B4" s="5" t="s">
        <v>84</v>
      </c>
      <c r="C4" s="5" t="s">
        <v>51</v>
      </c>
      <c r="D4" s="8">
        <v>2020</v>
      </c>
      <c r="E4" s="9">
        <v>13</v>
      </c>
      <c r="F4" s="9">
        <v>1.4</v>
      </c>
      <c r="G4" s="19" t="s">
        <v>51</v>
      </c>
      <c r="H4" s="19" t="s">
        <v>314</v>
      </c>
    </row>
    <row r="5" spans="1:8" ht="15.75" thickBot="1">
      <c r="A5" s="5" t="s">
        <v>85</v>
      </c>
      <c r="B5" s="5" t="s">
        <v>81</v>
      </c>
      <c r="C5" s="5" t="s">
        <v>51</v>
      </c>
      <c r="D5" s="8">
        <v>2019</v>
      </c>
      <c r="E5" s="9">
        <v>16</v>
      </c>
      <c r="F5" s="9">
        <v>2</v>
      </c>
      <c r="G5" s="19" t="s">
        <v>307</v>
      </c>
      <c r="H5" s="19" t="s">
        <v>307</v>
      </c>
    </row>
    <row r="6" spans="1:8" ht="15.75" thickBot="1">
      <c r="A6" s="5" t="s">
        <v>86</v>
      </c>
      <c r="B6" s="5" t="s">
        <v>87</v>
      </c>
      <c r="C6" s="5" t="s">
        <v>51</v>
      </c>
      <c r="D6" s="8">
        <v>2019</v>
      </c>
      <c r="E6" s="9">
        <v>13</v>
      </c>
      <c r="F6" s="9">
        <v>1.4</v>
      </c>
      <c r="G6" s="19" t="s">
        <v>307</v>
      </c>
      <c r="H6" s="19" t="s">
        <v>315</v>
      </c>
    </row>
    <row r="7" spans="1:8" ht="15.75" thickBot="1">
      <c r="A7" s="5" t="s">
        <v>88</v>
      </c>
      <c r="B7" s="5" t="s">
        <v>89</v>
      </c>
      <c r="C7" s="5" t="s">
        <v>51</v>
      </c>
      <c r="D7" s="8">
        <v>2019</v>
      </c>
      <c r="E7" s="9">
        <v>15</v>
      </c>
      <c r="F7" s="9">
        <v>1.8</v>
      </c>
    </row>
    <row r="8" spans="1:8" ht="15.75" thickBot="1">
      <c r="A8" s="5" t="s">
        <v>90</v>
      </c>
      <c r="B8" s="5" t="s">
        <v>91</v>
      </c>
      <c r="C8" s="5" t="s">
        <v>51</v>
      </c>
      <c r="D8" s="8">
        <v>2018</v>
      </c>
      <c r="E8" s="9">
        <v>13</v>
      </c>
      <c r="F8" s="9">
        <v>1.4</v>
      </c>
    </row>
    <row r="9" spans="1:8" ht="15.75" thickBot="1">
      <c r="A9" s="5" t="s">
        <v>90</v>
      </c>
      <c r="B9" s="5" t="s">
        <v>91</v>
      </c>
      <c r="C9" s="5" t="s">
        <v>51</v>
      </c>
      <c r="D9" s="8">
        <v>2018</v>
      </c>
      <c r="E9" s="9">
        <v>13</v>
      </c>
      <c r="F9" s="9">
        <v>1.4</v>
      </c>
    </row>
    <row r="10" spans="1:8" ht="15.75" thickBot="1">
      <c r="A10" s="5" t="s">
        <v>90</v>
      </c>
      <c r="B10" s="5" t="s">
        <v>91</v>
      </c>
      <c r="C10" s="5" t="s">
        <v>51</v>
      </c>
      <c r="D10" s="8">
        <v>2019</v>
      </c>
      <c r="E10" s="9">
        <v>13</v>
      </c>
      <c r="F10" s="9">
        <v>1.4</v>
      </c>
    </row>
    <row r="11" spans="1:8" ht="15.75" thickBot="1">
      <c r="A11" s="5" t="s">
        <v>90</v>
      </c>
      <c r="B11" s="5" t="s">
        <v>91</v>
      </c>
      <c r="C11" s="5" t="s">
        <v>51</v>
      </c>
      <c r="D11" s="8">
        <v>2019</v>
      </c>
      <c r="E11" s="9">
        <v>13</v>
      </c>
      <c r="F11" s="9">
        <v>1.4</v>
      </c>
    </row>
    <row r="12" spans="1:8" ht="15.75" thickBot="1">
      <c r="A12" s="5" t="s">
        <v>92</v>
      </c>
      <c r="B12" s="5" t="s">
        <v>89</v>
      </c>
      <c r="C12" s="5" t="s">
        <v>51</v>
      </c>
      <c r="D12" s="8">
        <v>2018</v>
      </c>
      <c r="E12" s="9">
        <v>15</v>
      </c>
      <c r="F12" s="9">
        <v>1.8</v>
      </c>
    </row>
    <row r="13" spans="1:8" ht="15.75" thickBot="1">
      <c r="A13" s="5" t="s">
        <v>92</v>
      </c>
      <c r="B13" s="5" t="s">
        <v>89</v>
      </c>
      <c r="C13" s="5" t="s">
        <v>51</v>
      </c>
      <c r="D13" s="8">
        <v>2018</v>
      </c>
      <c r="E13" s="9">
        <v>15</v>
      </c>
      <c r="F13" s="9">
        <v>1.8</v>
      </c>
    </row>
    <row r="14" spans="1:8" ht="15.75" thickBot="1">
      <c r="A14" s="5" t="s">
        <v>92</v>
      </c>
      <c r="B14" s="5" t="s">
        <v>89</v>
      </c>
      <c r="C14" s="5" t="s">
        <v>51</v>
      </c>
      <c r="D14" s="8">
        <v>2018</v>
      </c>
      <c r="E14" s="9">
        <v>15</v>
      </c>
      <c r="F14" s="9">
        <v>1.8</v>
      </c>
    </row>
    <row r="15" spans="1:8" ht="15.75" thickBot="1">
      <c r="A15" s="5" t="s">
        <v>92</v>
      </c>
      <c r="B15" s="5" t="s">
        <v>89</v>
      </c>
      <c r="C15" s="5" t="s">
        <v>51</v>
      </c>
      <c r="D15" s="8">
        <v>2019</v>
      </c>
      <c r="E15" s="9">
        <v>15</v>
      </c>
      <c r="F15" s="9">
        <v>1.8</v>
      </c>
    </row>
    <row r="16" spans="1:8" ht="15.75" thickBot="1">
      <c r="A16" s="5" t="s">
        <v>92</v>
      </c>
      <c r="B16" s="5" t="s">
        <v>89</v>
      </c>
      <c r="C16" s="5" t="s">
        <v>51</v>
      </c>
      <c r="D16" s="8">
        <v>2019</v>
      </c>
      <c r="E16" s="9">
        <v>15</v>
      </c>
      <c r="F16" s="9">
        <v>1.8</v>
      </c>
    </row>
    <row r="17" spans="1:6" ht="15.75" thickBot="1">
      <c r="A17" s="5" t="s">
        <v>92</v>
      </c>
      <c r="B17" s="5" t="s">
        <v>89</v>
      </c>
      <c r="C17" s="5" t="s">
        <v>51</v>
      </c>
      <c r="D17" s="8">
        <v>2019</v>
      </c>
      <c r="E17" s="9">
        <v>15</v>
      </c>
      <c r="F17" s="9">
        <v>1.8</v>
      </c>
    </row>
    <row r="18" spans="1:6" ht="15.75" thickBot="1">
      <c r="A18" s="5" t="s">
        <v>93</v>
      </c>
      <c r="B18" s="5" t="s">
        <v>94</v>
      </c>
      <c r="C18" s="5" t="s">
        <v>51</v>
      </c>
      <c r="D18" s="8">
        <v>2017</v>
      </c>
      <c r="E18" s="9">
        <v>15</v>
      </c>
      <c r="F18" s="9">
        <v>1.8</v>
      </c>
    </row>
    <row r="19" spans="1:6" ht="15.75" thickBot="1">
      <c r="A19" s="5" t="s">
        <v>95</v>
      </c>
      <c r="B19" s="5" t="s">
        <v>96</v>
      </c>
      <c r="C19" s="5" t="s">
        <v>51</v>
      </c>
      <c r="D19" s="8">
        <v>2017</v>
      </c>
      <c r="E19" s="9">
        <v>13</v>
      </c>
      <c r="F19" s="9">
        <v>1.4</v>
      </c>
    </row>
    <row r="20" spans="1:6" ht="15.75" thickBot="1">
      <c r="A20" s="5" t="s">
        <v>97</v>
      </c>
      <c r="B20" s="5" t="s">
        <v>98</v>
      </c>
      <c r="C20" s="5" t="s">
        <v>51</v>
      </c>
      <c r="D20" s="8">
        <v>2017</v>
      </c>
      <c r="E20" s="9">
        <v>13</v>
      </c>
      <c r="F20" s="9">
        <v>1.4</v>
      </c>
    </row>
    <row r="21" spans="1:6" ht="15.75" thickBot="1">
      <c r="A21" s="5" t="s">
        <v>99</v>
      </c>
      <c r="B21" s="5" t="s">
        <v>94</v>
      </c>
      <c r="C21" s="5" t="s">
        <v>51</v>
      </c>
      <c r="D21" s="8">
        <v>2016</v>
      </c>
      <c r="E21" s="9">
        <v>15</v>
      </c>
      <c r="F21" s="9">
        <v>1.8</v>
      </c>
    </row>
    <row r="22" spans="1:6" ht="15.75" thickBot="1">
      <c r="A22" s="5" t="s">
        <v>100</v>
      </c>
      <c r="B22" s="5" t="s">
        <v>96</v>
      </c>
      <c r="C22" s="5" t="s">
        <v>51</v>
      </c>
      <c r="D22" s="8">
        <v>2016</v>
      </c>
      <c r="E22" s="9">
        <v>13</v>
      </c>
      <c r="F22" s="9">
        <v>1.4</v>
      </c>
    </row>
    <row r="23" spans="1:6" ht="15.75" thickBot="1">
      <c r="A23" s="5" t="s">
        <v>101</v>
      </c>
      <c r="B23" s="5" t="s">
        <v>98</v>
      </c>
      <c r="C23" s="5" t="s">
        <v>51</v>
      </c>
      <c r="D23" s="8">
        <v>2016</v>
      </c>
      <c r="E23" s="9">
        <v>13</v>
      </c>
      <c r="F23" s="9">
        <v>1.4</v>
      </c>
    </row>
    <row r="24" spans="1:6" ht="15.75" thickBot="1">
      <c r="A24" s="5" t="s">
        <v>102</v>
      </c>
      <c r="B24" s="5" t="s">
        <v>103</v>
      </c>
      <c r="C24" s="5" t="s">
        <v>51</v>
      </c>
      <c r="D24" s="8">
        <v>2015</v>
      </c>
      <c r="E24" s="9">
        <v>13</v>
      </c>
      <c r="F24" s="9">
        <v>1.4</v>
      </c>
    </row>
    <row r="25" spans="1:6" ht="15.75" thickBot="1">
      <c r="A25" s="5" t="s">
        <v>104</v>
      </c>
      <c r="B25" s="5" t="s">
        <v>105</v>
      </c>
      <c r="C25" s="5" t="s">
        <v>51</v>
      </c>
      <c r="D25" s="8">
        <v>2015</v>
      </c>
      <c r="E25" s="9">
        <v>15</v>
      </c>
      <c r="F25" s="9">
        <v>1.8</v>
      </c>
    </row>
    <row r="26" spans="1:6" ht="15.75" thickBot="1">
      <c r="A26" s="5" t="s">
        <v>106</v>
      </c>
      <c r="B26" s="5" t="s">
        <v>105</v>
      </c>
      <c r="C26" s="5" t="s">
        <v>51</v>
      </c>
      <c r="D26" s="8">
        <v>2015</v>
      </c>
      <c r="E26" s="9">
        <v>15</v>
      </c>
      <c r="F26" s="9">
        <v>1.8</v>
      </c>
    </row>
    <row r="27" spans="1:6" ht="15.75" thickBot="1">
      <c r="A27" s="5" t="s">
        <v>107</v>
      </c>
      <c r="B27" s="5" t="s">
        <v>105</v>
      </c>
      <c r="C27" s="5" t="s">
        <v>51</v>
      </c>
      <c r="D27" s="9">
        <v>2014</v>
      </c>
      <c r="E27" s="9">
        <v>15</v>
      </c>
      <c r="F27" s="9">
        <v>1.8</v>
      </c>
    </row>
    <row r="28" spans="1:6" ht="15.75" thickBot="1">
      <c r="A28" s="5" t="s">
        <v>107</v>
      </c>
      <c r="B28" s="5" t="s">
        <v>105</v>
      </c>
      <c r="C28" s="5" t="s">
        <v>51</v>
      </c>
      <c r="D28" s="9">
        <v>2014</v>
      </c>
      <c r="E28" s="9">
        <v>15</v>
      </c>
      <c r="F28" s="9">
        <v>1.8</v>
      </c>
    </row>
    <row r="29" spans="1:6" ht="15.75" thickBot="1">
      <c r="A29" s="5" t="s">
        <v>107</v>
      </c>
      <c r="B29" s="5" t="s">
        <v>105</v>
      </c>
      <c r="C29" s="5" t="s">
        <v>51</v>
      </c>
      <c r="D29" s="9">
        <v>2013</v>
      </c>
      <c r="E29" s="9">
        <v>15</v>
      </c>
      <c r="F29" s="9">
        <v>1.8</v>
      </c>
    </row>
    <row r="30" spans="1:6" ht="15.75" thickBot="1">
      <c r="A30" s="5" t="s">
        <v>108</v>
      </c>
      <c r="B30" s="5" t="s">
        <v>105</v>
      </c>
      <c r="C30" s="5" t="s">
        <v>51</v>
      </c>
      <c r="D30" s="9">
        <v>2014</v>
      </c>
      <c r="E30" s="9">
        <v>15</v>
      </c>
      <c r="F30" s="9">
        <v>2</v>
      </c>
    </row>
    <row r="31" spans="1:6" ht="15.75" thickBot="1">
      <c r="A31" s="5" t="s">
        <v>107</v>
      </c>
      <c r="B31" s="5" t="s">
        <v>105</v>
      </c>
      <c r="C31" s="5" t="s">
        <v>51</v>
      </c>
      <c r="D31" s="9">
        <v>2013</v>
      </c>
      <c r="E31" s="9">
        <v>15</v>
      </c>
      <c r="F31" s="9">
        <v>1.8</v>
      </c>
    </row>
    <row r="32" spans="1:6" ht="15.75" thickBot="1">
      <c r="A32" s="5" t="s">
        <v>109</v>
      </c>
      <c r="B32" s="5" t="s">
        <v>110</v>
      </c>
      <c r="C32" s="5" t="s">
        <v>51</v>
      </c>
      <c r="D32" s="9">
        <v>2020</v>
      </c>
      <c r="E32" s="9">
        <v>13</v>
      </c>
      <c r="F32" s="9">
        <v>1.4</v>
      </c>
    </row>
    <row r="33" spans="1:6" ht="15.75" thickBot="1">
      <c r="A33" s="5" t="s">
        <v>111</v>
      </c>
      <c r="B33" s="5" t="s">
        <v>112</v>
      </c>
      <c r="C33" s="5" t="s">
        <v>51</v>
      </c>
      <c r="D33" s="9">
        <v>2021</v>
      </c>
      <c r="E33" s="9">
        <v>16</v>
      </c>
      <c r="F33" s="9">
        <v>1.6</v>
      </c>
    </row>
    <row r="34" spans="1:6" ht="15.75" thickBot="1">
      <c r="A34" s="5" t="s">
        <v>113</v>
      </c>
      <c r="B34" s="5" t="s">
        <v>114</v>
      </c>
      <c r="C34" s="5" t="s">
        <v>51</v>
      </c>
      <c r="D34" s="9">
        <v>2021</v>
      </c>
      <c r="E34" s="9">
        <v>14</v>
      </c>
      <c r="F34" s="9">
        <v>1.6</v>
      </c>
    </row>
    <row r="35" spans="1:6" ht="15.75" thickBot="1">
      <c r="A35" s="5" t="s">
        <v>115</v>
      </c>
      <c r="B35" s="5" t="s">
        <v>114</v>
      </c>
      <c r="C35" s="5" t="s">
        <v>51</v>
      </c>
      <c r="D35" s="9">
        <v>2021</v>
      </c>
      <c r="E35" s="9">
        <v>14</v>
      </c>
      <c r="F35" s="9">
        <v>1.6</v>
      </c>
    </row>
    <row r="36" spans="1:6" ht="15.75" thickBot="1">
      <c r="A36" s="5" t="s">
        <v>116</v>
      </c>
      <c r="B36" s="7" t="s">
        <v>112</v>
      </c>
      <c r="C36" s="5" t="s">
        <v>51</v>
      </c>
      <c r="D36" s="9">
        <v>2021</v>
      </c>
      <c r="E36" s="9">
        <v>16</v>
      </c>
      <c r="F36" s="9">
        <v>2</v>
      </c>
    </row>
    <row r="37" spans="1:6" ht="15.75" thickBot="1">
      <c r="A37" s="5" t="s">
        <v>116</v>
      </c>
      <c r="B37" s="7" t="s">
        <v>112</v>
      </c>
      <c r="C37" s="5" t="s">
        <v>51</v>
      </c>
      <c r="D37" s="9">
        <v>2021</v>
      </c>
      <c r="E37" s="9">
        <v>16</v>
      </c>
      <c r="F37" s="9">
        <v>2</v>
      </c>
    </row>
    <row r="38" spans="1:6" ht="15.75" thickBot="1">
      <c r="A38" s="7" t="s">
        <v>117</v>
      </c>
      <c r="B38" s="5" t="s">
        <v>110</v>
      </c>
      <c r="C38" s="5" t="s">
        <v>51</v>
      </c>
      <c r="D38" s="9">
        <v>2022</v>
      </c>
      <c r="E38" s="9">
        <v>13</v>
      </c>
      <c r="F38" s="9">
        <v>1.4</v>
      </c>
    </row>
    <row r="39" spans="1:6" ht="15.75" thickBot="1">
      <c r="A39" s="7" t="s">
        <v>118</v>
      </c>
      <c r="B39" s="7" t="s">
        <v>119</v>
      </c>
      <c r="C39" s="5" t="s">
        <v>51</v>
      </c>
      <c r="D39" s="9">
        <v>2023</v>
      </c>
      <c r="E39" s="9">
        <v>14</v>
      </c>
      <c r="F39" s="9">
        <v>1.6</v>
      </c>
    </row>
    <row r="40" spans="1:6" ht="15.75" thickBot="1">
      <c r="A40" s="7" t="s">
        <v>120</v>
      </c>
      <c r="B40" s="7" t="s">
        <v>119</v>
      </c>
      <c r="C40" s="5" t="s">
        <v>51</v>
      </c>
      <c r="D40" s="9">
        <v>2023</v>
      </c>
      <c r="E40" s="9">
        <v>14</v>
      </c>
      <c r="F40" s="9">
        <v>1.6</v>
      </c>
    </row>
    <row r="41" spans="1:6" ht="15.75" thickBot="1">
      <c r="A41" s="7" t="s">
        <v>121</v>
      </c>
      <c r="B41" s="7" t="s">
        <v>122</v>
      </c>
      <c r="C41" s="5" t="s">
        <v>51</v>
      </c>
      <c r="D41" s="9">
        <v>2023</v>
      </c>
      <c r="E41" s="9">
        <v>16</v>
      </c>
      <c r="F41" s="9">
        <v>2</v>
      </c>
    </row>
    <row r="42" spans="1:6" ht="15.75" thickBot="1">
      <c r="A42" s="7" t="s">
        <v>123</v>
      </c>
      <c r="B42" s="7" t="s">
        <v>122</v>
      </c>
      <c r="C42" s="5" t="s">
        <v>51</v>
      </c>
      <c r="D42" s="9">
        <v>2023</v>
      </c>
      <c r="E42" s="9">
        <v>16</v>
      </c>
      <c r="F42" s="9">
        <v>2</v>
      </c>
    </row>
    <row r="43" spans="1:6" ht="15.75" thickBot="1">
      <c r="A43" s="7" t="s">
        <v>124</v>
      </c>
      <c r="B43" s="7" t="s">
        <v>125</v>
      </c>
      <c r="C43" s="5" t="s">
        <v>51</v>
      </c>
      <c r="D43" s="9">
        <v>2023</v>
      </c>
      <c r="E43" s="9">
        <v>14</v>
      </c>
      <c r="F43" s="9">
        <v>1.6</v>
      </c>
    </row>
    <row r="44" spans="1:6" ht="15.75" thickBot="1">
      <c r="A44" s="7" t="s">
        <v>126</v>
      </c>
      <c r="B44" s="7" t="s">
        <v>127</v>
      </c>
      <c r="C44" s="5" t="s">
        <v>51</v>
      </c>
      <c r="D44" s="9">
        <v>2023</v>
      </c>
      <c r="E44" s="9">
        <v>14</v>
      </c>
      <c r="F44" s="9">
        <v>1.6</v>
      </c>
    </row>
    <row r="45" spans="1:6" ht="15.75" thickBot="1">
      <c r="A45" s="7" t="s">
        <v>128</v>
      </c>
      <c r="B45" s="7" t="s">
        <v>127</v>
      </c>
      <c r="C45" s="5" t="s">
        <v>51</v>
      </c>
      <c r="D45" s="9">
        <v>2023</v>
      </c>
      <c r="E45" s="9">
        <v>14</v>
      </c>
      <c r="F45" s="9">
        <v>1.6</v>
      </c>
    </row>
    <row r="46" spans="1:6" ht="15.75" thickBot="1">
      <c r="A46" s="7" t="s">
        <v>129</v>
      </c>
      <c r="B46" s="7" t="s">
        <v>127</v>
      </c>
      <c r="C46" s="5" t="s">
        <v>51</v>
      </c>
      <c r="D46" s="9">
        <v>2023</v>
      </c>
      <c r="E46" s="9">
        <v>14</v>
      </c>
      <c r="F46" s="9">
        <v>1.6</v>
      </c>
    </row>
    <row r="47" spans="1:6" ht="15.75" thickBot="1">
      <c r="A47" s="7" t="s">
        <v>130</v>
      </c>
      <c r="B47" s="7" t="s">
        <v>131</v>
      </c>
      <c r="C47" s="5" t="s">
        <v>51</v>
      </c>
      <c r="D47" s="9">
        <v>2023</v>
      </c>
      <c r="E47" s="9">
        <v>16</v>
      </c>
      <c r="F47" s="9">
        <v>2</v>
      </c>
    </row>
    <row r="48" spans="1:6" ht="15.75" thickBot="1">
      <c r="A48" s="7" t="s">
        <v>132</v>
      </c>
      <c r="B48" s="7" t="s">
        <v>131</v>
      </c>
      <c r="C48" s="5" t="s">
        <v>51</v>
      </c>
      <c r="D48" s="9">
        <v>2023</v>
      </c>
      <c r="E48" s="9">
        <v>16</v>
      </c>
      <c r="F48" s="9">
        <v>2</v>
      </c>
    </row>
    <row r="49" spans="1:6" ht="15.75" thickBot="1">
      <c r="A49" s="7" t="s">
        <v>133</v>
      </c>
      <c r="B49" s="7" t="s">
        <v>131</v>
      </c>
      <c r="C49" s="5" t="s">
        <v>51</v>
      </c>
      <c r="D49" s="9">
        <v>2023</v>
      </c>
      <c r="E49" s="9">
        <v>16</v>
      </c>
      <c r="F49" s="9">
        <v>2</v>
      </c>
    </row>
    <row r="50" spans="1:6" ht="15.75" thickBot="1">
      <c r="A50" s="5" t="s">
        <v>134</v>
      </c>
      <c r="B50" s="7" t="s">
        <v>135</v>
      </c>
      <c r="C50" s="5" t="s">
        <v>51</v>
      </c>
      <c r="D50" s="9">
        <v>2015</v>
      </c>
      <c r="E50" s="9">
        <v>11</v>
      </c>
      <c r="F50" s="9">
        <v>11</v>
      </c>
    </row>
    <row r="51" spans="1:6" ht="15.75" thickBot="1">
      <c r="A51" s="5" t="s">
        <v>134</v>
      </c>
      <c r="B51" s="7" t="s">
        <v>135</v>
      </c>
      <c r="C51" s="7" t="s">
        <v>51</v>
      </c>
      <c r="D51" s="9">
        <v>2015</v>
      </c>
      <c r="E51" s="9">
        <v>11</v>
      </c>
      <c r="F51" s="9">
        <v>11</v>
      </c>
    </row>
    <row r="52" spans="1:6" ht="15.75" thickBot="1">
      <c r="A52" s="5" t="s">
        <v>136</v>
      </c>
      <c r="B52" s="7" t="s">
        <v>137</v>
      </c>
      <c r="C52" s="7" t="s">
        <v>51</v>
      </c>
      <c r="D52" s="9">
        <v>2015</v>
      </c>
      <c r="E52" s="9">
        <v>13</v>
      </c>
      <c r="F52" s="9">
        <v>1.4</v>
      </c>
    </row>
    <row r="53" spans="1:6" ht="15.75" thickBot="1">
      <c r="A53" s="5" t="s">
        <v>136</v>
      </c>
      <c r="B53" s="7" t="s">
        <v>137</v>
      </c>
      <c r="C53" s="7" t="s">
        <v>51</v>
      </c>
      <c r="D53" s="9">
        <v>2015</v>
      </c>
      <c r="E53" s="9">
        <v>13</v>
      </c>
      <c r="F53" s="9">
        <v>1.4</v>
      </c>
    </row>
    <row r="54" spans="1:6" ht="15.75" thickBot="1">
      <c r="A54" s="5" t="s">
        <v>136</v>
      </c>
      <c r="B54" s="7" t="s">
        <v>137</v>
      </c>
      <c r="C54" s="7" t="s">
        <v>51</v>
      </c>
      <c r="D54" s="9">
        <v>2017</v>
      </c>
      <c r="E54" s="9">
        <v>13</v>
      </c>
      <c r="F54" s="9">
        <v>1.4</v>
      </c>
    </row>
    <row r="55" spans="1:6" ht="15.75" thickBot="1">
      <c r="A55" s="5" t="s">
        <v>136</v>
      </c>
      <c r="B55" s="7" t="s">
        <v>137</v>
      </c>
      <c r="C55" s="7" t="s">
        <v>51</v>
      </c>
      <c r="D55" s="9">
        <v>2017</v>
      </c>
      <c r="E55" s="9">
        <v>13</v>
      </c>
      <c r="F55" s="9">
        <v>1.4</v>
      </c>
    </row>
    <row r="56" spans="1:6" ht="15.75" thickBot="1">
      <c r="A56" s="5" t="s">
        <v>138</v>
      </c>
      <c r="B56" s="7" t="s">
        <v>139</v>
      </c>
      <c r="C56" s="7" t="s">
        <v>51</v>
      </c>
      <c r="D56" s="9">
        <v>2018</v>
      </c>
      <c r="E56" s="9">
        <v>13</v>
      </c>
      <c r="F56" s="9">
        <v>1.4</v>
      </c>
    </row>
    <row r="57" spans="1:6" ht="15.75" thickBot="1">
      <c r="A57" s="5" t="s">
        <v>140</v>
      </c>
      <c r="B57" s="7" t="s">
        <v>139</v>
      </c>
      <c r="C57" s="7" t="s">
        <v>51</v>
      </c>
      <c r="D57" s="9">
        <v>2019</v>
      </c>
      <c r="E57" s="9">
        <v>13</v>
      </c>
      <c r="F57" s="9">
        <v>1.4</v>
      </c>
    </row>
    <row r="58" spans="1:6" ht="15.75" thickBot="1">
      <c r="A58" s="5" t="s">
        <v>141</v>
      </c>
      <c r="B58" s="7" t="s">
        <v>142</v>
      </c>
      <c r="C58" s="7" t="s">
        <v>51</v>
      </c>
      <c r="D58" s="9">
        <v>2020</v>
      </c>
      <c r="E58" s="9">
        <v>13</v>
      </c>
      <c r="F58" s="9">
        <v>1.4</v>
      </c>
    </row>
    <row r="59" spans="1:6" ht="15.75" thickBot="1">
      <c r="A59" s="5" t="s">
        <v>141</v>
      </c>
      <c r="B59" s="7" t="s">
        <v>142</v>
      </c>
      <c r="C59" s="7" t="s">
        <v>51</v>
      </c>
      <c r="D59" s="9">
        <v>2020</v>
      </c>
      <c r="E59" s="9">
        <v>13</v>
      </c>
      <c r="F59" s="9">
        <v>1.4</v>
      </c>
    </row>
    <row r="60" spans="1:6" ht="15.75" thickBot="1">
      <c r="A60" s="5" t="s">
        <v>141</v>
      </c>
      <c r="B60" s="7" t="s">
        <v>142</v>
      </c>
      <c r="C60" s="7" t="s">
        <v>51</v>
      </c>
      <c r="D60" s="9">
        <v>2020</v>
      </c>
      <c r="E60" s="9">
        <v>13</v>
      </c>
      <c r="F60" s="9">
        <v>1.4</v>
      </c>
    </row>
    <row r="61" spans="1:6" ht="15.75" thickBot="1">
      <c r="A61" s="5" t="s">
        <v>143</v>
      </c>
      <c r="B61" s="7" t="s">
        <v>144</v>
      </c>
      <c r="C61" s="7" t="s">
        <v>51</v>
      </c>
      <c r="D61" s="9">
        <v>2020</v>
      </c>
      <c r="E61" s="9">
        <v>13</v>
      </c>
      <c r="F61" s="9">
        <v>1.4</v>
      </c>
    </row>
    <row r="62" spans="1:6" ht="15.75" thickBot="1">
      <c r="A62" s="7" t="s">
        <v>145</v>
      </c>
      <c r="B62" s="7" t="s">
        <v>146</v>
      </c>
      <c r="C62" s="7" t="s">
        <v>51</v>
      </c>
      <c r="D62" s="9">
        <v>2022</v>
      </c>
      <c r="E62" s="9">
        <v>13</v>
      </c>
      <c r="F62" s="9">
        <v>1.4</v>
      </c>
    </row>
    <row r="63" spans="1:6" ht="15.75" thickBot="1">
      <c r="A63" s="7" t="s">
        <v>147</v>
      </c>
      <c r="B63" s="7" t="s">
        <v>148</v>
      </c>
      <c r="C63" s="7" t="s">
        <v>51</v>
      </c>
      <c r="D63" s="9">
        <v>2023</v>
      </c>
      <c r="E63" s="9">
        <v>15</v>
      </c>
      <c r="F63" s="9">
        <v>1.8</v>
      </c>
    </row>
    <row r="64" spans="1:6" ht="15.75" thickBot="1">
      <c r="A64" s="7" t="s">
        <v>149</v>
      </c>
      <c r="B64" s="7" t="s">
        <v>150</v>
      </c>
      <c r="C64" s="7" t="s">
        <v>51</v>
      </c>
      <c r="D64" s="9">
        <v>2024</v>
      </c>
      <c r="E64" s="9">
        <v>13</v>
      </c>
      <c r="F64" s="9">
        <v>1.4</v>
      </c>
    </row>
    <row r="65" spans="1:6" ht="15.75" thickBot="1">
      <c r="A65" s="7" t="s">
        <v>151</v>
      </c>
      <c r="B65" s="7" t="s">
        <v>152</v>
      </c>
      <c r="C65" s="7" t="s">
        <v>51</v>
      </c>
      <c r="D65" s="9">
        <v>2024</v>
      </c>
      <c r="E65" s="9">
        <v>15</v>
      </c>
      <c r="F65" s="9">
        <v>1.8</v>
      </c>
    </row>
    <row r="66" spans="1:6" ht="15.75" thickBot="1">
      <c r="A66" s="7" t="s">
        <v>153</v>
      </c>
      <c r="B66" s="7" t="s">
        <v>154</v>
      </c>
      <c r="C66" s="7" t="s">
        <v>307</v>
      </c>
      <c r="D66" s="9">
        <v>2013</v>
      </c>
      <c r="E66" s="7"/>
      <c r="F66" s="9">
        <v>5</v>
      </c>
    </row>
    <row r="67" spans="1:6" ht="15.75" thickBot="1">
      <c r="A67" s="7" t="s">
        <v>155</v>
      </c>
      <c r="B67" s="7" t="s">
        <v>156</v>
      </c>
      <c r="C67" s="7" t="s">
        <v>306</v>
      </c>
      <c r="D67" s="9">
        <v>2015</v>
      </c>
      <c r="E67" s="9">
        <v>27</v>
      </c>
      <c r="F67" s="9">
        <v>9.5399999999999991</v>
      </c>
    </row>
    <row r="68" spans="1:6" ht="15.75" thickBot="1">
      <c r="A68" s="7" t="s">
        <v>157</v>
      </c>
      <c r="B68" s="7" t="s">
        <v>156</v>
      </c>
      <c r="C68" s="7" t="s">
        <v>306</v>
      </c>
      <c r="D68" s="9">
        <v>2017</v>
      </c>
      <c r="E68" s="9">
        <v>27</v>
      </c>
      <c r="F68" s="9">
        <v>9.5399999999999991</v>
      </c>
    </row>
    <row r="69" spans="1:6" ht="15.75" thickBot="1">
      <c r="A69" s="7" t="s">
        <v>158</v>
      </c>
      <c r="B69" s="7" t="s">
        <v>159</v>
      </c>
      <c r="C69" s="7" t="s">
        <v>306</v>
      </c>
      <c r="D69" s="9">
        <v>2017</v>
      </c>
      <c r="E69" s="9">
        <v>21.5</v>
      </c>
      <c r="F69" s="9">
        <v>9.5399999999999991</v>
      </c>
    </row>
    <row r="70" spans="1:6" ht="15.75" thickBot="1">
      <c r="A70" s="7"/>
      <c r="B70" s="7" t="s">
        <v>160</v>
      </c>
      <c r="C70" s="7"/>
      <c r="D70" s="7"/>
      <c r="E70" s="7"/>
      <c r="F70" s="9">
        <v>2</v>
      </c>
    </row>
    <row r="71" spans="1:6" ht="15.75" thickBot="1">
      <c r="A71" s="7"/>
      <c r="B71" s="7" t="s">
        <v>160</v>
      </c>
      <c r="C71" s="7"/>
      <c r="D71" s="7"/>
      <c r="E71" s="7"/>
      <c r="F71" s="9">
        <v>2</v>
      </c>
    </row>
    <row r="72" spans="1:6" ht="15.75" thickBot="1">
      <c r="A72" s="7"/>
      <c r="B72" s="7" t="s">
        <v>160</v>
      </c>
      <c r="C72" s="7"/>
      <c r="D72" s="7"/>
      <c r="E72" s="7"/>
      <c r="F72" s="9">
        <v>2</v>
      </c>
    </row>
    <row r="73" spans="1:6" ht="15.75" thickBot="1">
      <c r="A73" s="7"/>
      <c r="B73" s="7" t="s">
        <v>160</v>
      </c>
      <c r="C73" s="7"/>
      <c r="D73" s="7"/>
      <c r="E73" s="7"/>
      <c r="F73" s="9">
        <v>2</v>
      </c>
    </row>
    <row r="74" spans="1:6" ht="15.75" thickBot="1">
      <c r="A74" s="7"/>
      <c r="B74" s="10" t="s">
        <v>161</v>
      </c>
      <c r="C74" s="10"/>
      <c r="D74" s="7"/>
      <c r="E74" s="7"/>
      <c r="F74" s="9">
        <v>1.74</v>
      </c>
    </row>
    <row r="75" spans="1:6" ht="15.75" thickBot="1">
      <c r="A75" s="7"/>
      <c r="B75" s="7" t="s">
        <v>160</v>
      </c>
      <c r="C75" s="7"/>
      <c r="D75" s="7"/>
      <c r="E75" s="7"/>
      <c r="F75" s="9">
        <v>2</v>
      </c>
    </row>
    <row r="76" spans="1:6" ht="15.75" thickBot="1">
      <c r="A76" s="7"/>
      <c r="B76" s="10" t="s">
        <v>161</v>
      </c>
      <c r="C76" s="10"/>
      <c r="D76" s="7"/>
      <c r="E76" s="7"/>
      <c r="F76" s="9">
        <v>1.74</v>
      </c>
    </row>
    <row r="77" spans="1:6" ht="15.75" thickBot="1">
      <c r="A77" s="7"/>
      <c r="B77" s="10" t="s">
        <v>162</v>
      </c>
      <c r="C77" s="10"/>
      <c r="D77" s="7"/>
      <c r="E77" s="7"/>
      <c r="F77" s="9">
        <v>1.8</v>
      </c>
    </row>
    <row r="78" spans="1:6" ht="15.75" thickBot="1">
      <c r="A78" s="7"/>
      <c r="B78" s="7" t="s">
        <v>160</v>
      </c>
      <c r="C78" s="7"/>
      <c r="D78" s="7"/>
      <c r="E78" s="7"/>
      <c r="F78" s="9">
        <v>2</v>
      </c>
    </row>
    <row r="79" spans="1:6" ht="15.75" thickBot="1">
      <c r="A79" s="7"/>
      <c r="B79" s="7" t="s">
        <v>163</v>
      </c>
      <c r="C79" s="7"/>
      <c r="D79" s="7"/>
      <c r="E79" s="7"/>
      <c r="F79" s="9">
        <v>1.8</v>
      </c>
    </row>
    <row r="80" spans="1:6" ht="15.75" thickBot="1">
      <c r="A80" s="7"/>
      <c r="B80" s="7" t="s">
        <v>164</v>
      </c>
      <c r="C80" s="7"/>
      <c r="D80" s="7"/>
      <c r="E80" s="7"/>
      <c r="F80" s="9">
        <v>1.26</v>
      </c>
    </row>
    <row r="81" spans="1:6" ht="15.75" thickBot="1">
      <c r="A81" s="7"/>
      <c r="B81" s="7" t="s">
        <v>165</v>
      </c>
      <c r="C81" s="7"/>
      <c r="D81" s="7"/>
      <c r="E81" s="7"/>
      <c r="F81" s="9">
        <v>1.26</v>
      </c>
    </row>
    <row r="82" spans="1:6" ht="15.75" thickBot="1">
      <c r="A82" s="7"/>
      <c r="B82" s="7" t="s">
        <v>166</v>
      </c>
      <c r="C82" s="7"/>
      <c r="D82" s="7"/>
      <c r="E82" s="7"/>
      <c r="F82" s="9">
        <v>1.26</v>
      </c>
    </row>
    <row r="83" spans="1:6" ht="15.75" thickBot="1">
      <c r="A83" s="7"/>
      <c r="B83" s="10" t="s">
        <v>167</v>
      </c>
      <c r="C83" s="10"/>
      <c r="D83" s="7"/>
      <c r="E83" s="7"/>
      <c r="F83" s="9">
        <v>1.26</v>
      </c>
    </row>
    <row r="84" spans="1:6" ht="15.75" thickBot="1">
      <c r="A84" s="7"/>
      <c r="B84" s="7" t="s">
        <v>168</v>
      </c>
      <c r="C84" s="7"/>
      <c r="D84" s="7"/>
      <c r="E84" s="7"/>
      <c r="F84" s="9">
        <v>1.17</v>
      </c>
    </row>
    <row r="85" spans="1:6" ht="15.75" thickBot="1">
      <c r="A85" s="7"/>
      <c r="B85" s="7" t="s">
        <v>169</v>
      </c>
      <c r="C85" s="7"/>
      <c r="D85" s="7"/>
      <c r="E85" s="7"/>
      <c r="F85" s="9">
        <v>1.8</v>
      </c>
    </row>
    <row r="86" spans="1:6" ht="15.75" thickBot="1">
      <c r="A86" s="7"/>
      <c r="B86" s="7" t="s">
        <v>170</v>
      </c>
      <c r="C86" s="7"/>
      <c r="D86" s="7"/>
      <c r="E86" s="7"/>
      <c r="F86" s="9">
        <v>1.35</v>
      </c>
    </row>
    <row r="87" spans="1:6" ht="15.75" thickBot="1">
      <c r="A87" s="7"/>
      <c r="B87" s="6" t="s">
        <v>171</v>
      </c>
      <c r="C87" s="6"/>
      <c r="D87" s="7"/>
      <c r="E87" s="7"/>
      <c r="F87" s="9">
        <v>1.1000000000000001</v>
      </c>
    </row>
    <row r="88" spans="1:6" ht="15.75" thickBot="1">
      <c r="A88" s="7"/>
      <c r="B88" s="6" t="s">
        <v>172</v>
      </c>
      <c r="C88" s="6"/>
      <c r="D88" s="7"/>
      <c r="E88" s="7"/>
      <c r="F88" s="9">
        <v>1.2</v>
      </c>
    </row>
    <row r="89" spans="1:6" ht="15.75" thickBot="1">
      <c r="A89" s="7"/>
      <c r="B89" s="6" t="s">
        <v>173</v>
      </c>
      <c r="C89" s="6"/>
      <c r="D89" s="7"/>
      <c r="E89" s="7"/>
      <c r="F89" s="9">
        <v>1.26</v>
      </c>
    </row>
    <row r="90" spans="1:6" ht="15.75" thickBot="1">
      <c r="A90" s="7"/>
      <c r="B90" s="7" t="s">
        <v>174</v>
      </c>
      <c r="C90" s="7"/>
      <c r="D90" s="7"/>
      <c r="E90" s="7"/>
      <c r="F90" s="9">
        <v>1.27</v>
      </c>
    </row>
    <row r="91" spans="1:6" ht="15.75" thickBot="1">
      <c r="A91" s="7"/>
      <c r="B91" s="7" t="s">
        <v>174</v>
      </c>
      <c r="C91" s="7"/>
      <c r="D91" s="7"/>
      <c r="E91" s="7"/>
      <c r="F91" s="9">
        <v>1.27</v>
      </c>
    </row>
    <row r="92" spans="1:6" ht="15.75" thickBot="1">
      <c r="A92" s="7"/>
      <c r="B92" s="7" t="s">
        <v>175</v>
      </c>
      <c r="C92" s="7"/>
      <c r="D92" s="7"/>
      <c r="E92" s="7"/>
      <c r="F92" s="9">
        <v>1.3</v>
      </c>
    </row>
    <row r="93" spans="1:6" ht="15.75" thickBot="1">
      <c r="A93" s="7"/>
      <c r="B93" s="7" t="s">
        <v>176</v>
      </c>
      <c r="C93" s="7"/>
      <c r="D93" s="7"/>
      <c r="E93" s="7"/>
      <c r="F93" s="9">
        <v>1.4</v>
      </c>
    </row>
    <row r="94" spans="1:6" ht="15.75" thickBot="1">
      <c r="A94" s="7"/>
      <c r="B94" s="7" t="s">
        <v>177</v>
      </c>
      <c r="C94" s="7"/>
      <c r="D94" s="7"/>
      <c r="E94" s="7"/>
      <c r="F94" s="9">
        <v>1.4</v>
      </c>
    </row>
    <row r="95" spans="1:6" ht="15.75" thickBot="1">
      <c r="A95" s="7"/>
      <c r="B95" s="7" t="s">
        <v>178</v>
      </c>
      <c r="C95" s="7"/>
      <c r="D95" s="7"/>
      <c r="E95" s="7"/>
      <c r="F95" s="9">
        <v>3.26</v>
      </c>
    </row>
    <row r="96" spans="1:6" ht="15.75" thickBot="1">
      <c r="A96" s="7"/>
      <c r="B96" s="7" t="s">
        <v>179</v>
      </c>
      <c r="C96" s="7"/>
      <c r="D96" s="7"/>
      <c r="E96" s="7"/>
      <c r="F96" s="9">
        <v>5.23</v>
      </c>
    </row>
    <row r="97" spans="1:6" ht="15.75" thickBot="1">
      <c r="A97" s="7"/>
      <c r="B97" s="7" t="s">
        <v>180</v>
      </c>
      <c r="C97" s="7"/>
      <c r="D97" s="7"/>
      <c r="E97" s="7"/>
      <c r="F97" s="9">
        <v>7.5</v>
      </c>
    </row>
    <row r="98" spans="1:6" ht="15.75" thickBot="1">
      <c r="A98" s="7"/>
      <c r="B98" s="7" t="s">
        <v>181</v>
      </c>
      <c r="C98" s="7"/>
      <c r="D98" s="7"/>
      <c r="E98" s="7"/>
      <c r="F98" s="9">
        <v>6.6</v>
      </c>
    </row>
    <row r="99" spans="1:6" ht="15.75" thickBot="1">
      <c r="A99" s="7"/>
      <c r="B99" s="7" t="s">
        <v>182</v>
      </c>
      <c r="C99" s="7"/>
      <c r="D99" s="7"/>
      <c r="E99" s="7"/>
      <c r="F99" s="9">
        <v>5.6</v>
      </c>
    </row>
    <row r="100" spans="1:6" ht="15.75" thickBot="1">
      <c r="A100" s="7"/>
      <c r="B100" s="7" t="s">
        <v>183</v>
      </c>
      <c r="C100" s="7"/>
      <c r="D100" s="7"/>
      <c r="E100" s="7"/>
      <c r="F100" s="9">
        <v>7.65</v>
      </c>
    </row>
    <row r="101" spans="1:6" ht="15.75" thickBot="1">
      <c r="A101" s="7"/>
      <c r="B101" s="7" t="s">
        <v>184</v>
      </c>
      <c r="C101" s="7"/>
      <c r="D101" s="7"/>
      <c r="E101" s="7"/>
      <c r="F101" s="9">
        <v>5.26</v>
      </c>
    </row>
    <row r="102" spans="1:6" ht="15.75" thickBot="1">
      <c r="A102" s="7"/>
      <c r="B102" s="7" t="s">
        <v>185</v>
      </c>
      <c r="C102" s="7"/>
      <c r="D102" s="7"/>
      <c r="E102" s="7"/>
      <c r="F102" s="9">
        <v>9</v>
      </c>
    </row>
    <row r="103" spans="1:6" ht="15.75" thickBot="1">
      <c r="A103" s="7"/>
      <c r="B103" s="7" t="s">
        <v>186</v>
      </c>
      <c r="C103" s="7"/>
      <c r="D103" s="7"/>
      <c r="E103" s="7"/>
      <c r="F103" s="9">
        <v>2.2999999999999998</v>
      </c>
    </row>
    <row r="104" spans="1:6" ht="15.75" thickBot="1">
      <c r="A104" s="7"/>
      <c r="B104" s="7" t="s">
        <v>187</v>
      </c>
      <c r="C104" s="7"/>
      <c r="D104" s="7"/>
      <c r="E104" s="7"/>
      <c r="F104" s="9">
        <v>2.2999999999999998</v>
      </c>
    </row>
    <row r="105" spans="1:6" ht="15.75" thickBot="1">
      <c r="A105" s="7"/>
      <c r="B105" s="7" t="s">
        <v>188</v>
      </c>
      <c r="C105" s="7"/>
      <c r="D105" s="7"/>
      <c r="E105" s="7"/>
      <c r="F105" s="9">
        <v>5.26</v>
      </c>
    </row>
    <row r="106" spans="1:6" ht="15.75" thickBot="1">
      <c r="A106" s="7"/>
      <c r="B106" s="7" t="s">
        <v>189</v>
      </c>
      <c r="C106" s="7"/>
      <c r="D106" s="7"/>
      <c r="E106" s="7"/>
      <c r="F106" s="9">
        <v>9.4</v>
      </c>
    </row>
    <row r="107" spans="1:6" ht="15.75" thickBot="1">
      <c r="A107" s="7"/>
      <c r="B107" s="7" t="s">
        <v>190</v>
      </c>
      <c r="C107" s="7"/>
      <c r="D107" s="7"/>
      <c r="E107" s="7"/>
      <c r="F107" s="9">
        <v>5.9</v>
      </c>
    </row>
    <row r="108" spans="1:6" ht="15.75" thickBot="1">
      <c r="A108" s="7"/>
      <c r="B108" s="7" t="s">
        <v>191</v>
      </c>
      <c r="C108" s="7"/>
      <c r="D108" s="7"/>
      <c r="E108" s="7"/>
      <c r="F108" s="9">
        <v>5.26</v>
      </c>
    </row>
    <row r="109" spans="1:6" ht="15.75" thickBot="1">
      <c r="A109" s="7"/>
      <c r="B109" s="7" t="s">
        <v>192</v>
      </c>
      <c r="C109" s="7"/>
      <c r="D109" s="7"/>
      <c r="E109" s="7"/>
      <c r="F109" s="9">
        <v>1.3</v>
      </c>
    </row>
    <row r="110" spans="1:6" ht="15.75" thickBot="1">
      <c r="A110" s="7"/>
      <c r="B110" s="7" t="s">
        <v>193</v>
      </c>
      <c r="C110" s="7"/>
      <c r="D110" s="7"/>
      <c r="E110" s="7"/>
      <c r="F110" s="9">
        <v>3</v>
      </c>
    </row>
    <row r="111" spans="1:6" ht="15.75" thickBot="1">
      <c r="A111" s="7"/>
      <c r="B111" s="7" t="s">
        <v>194</v>
      </c>
      <c r="C111" s="7"/>
      <c r="D111" s="7"/>
      <c r="E111" s="7"/>
      <c r="F111" s="9">
        <v>3</v>
      </c>
    </row>
    <row r="112" spans="1:6" ht="15.75" thickBot="1">
      <c r="A112" s="7"/>
      <c r="B112" s="7" t="s">
        <v>195</v>
      </c>
      <c r="C112" s="7"/>
      <c r="D112" s="7"/>
      <c r="E112" s="7"/>
      <c r="F112" s="9">
        <v>5.2</v>
      </c>
    </row>
    <row r="113" spans="1:6" ht="15.75" thickBot="1">
      <c r="A113" s="7"/>
      <c r="B113" s="7" t="s">
        <v>196</v>
      </c>
      <c r="C113" s="7"/>
      <c r="D113" s="7"/>
      <c r="E113" s="7"/>
      <c r="F113" s="9">
        <v>4.25</v>
      </c>
    </row>
    <row r="114" spans="1:6" ht="15.75" thickBot="1">
      <c r="A114" s="7"/>
      <c r="B114" s="7" t="s">
        <v>197</v>
      </c>
      <c r="C114" s="7"/>
      <c r="D114" s="7"/>
      <c r="E114" s="7"/>
      <c r="F114" s="9">
        <v>3.33</v>
      </c>
    </row>
    <row r="115" spans="1:6" ht="15.75" thickBot="1">
      <c r="A115" s="7"/>
      <c r="B115" s="7" t="s">
        <v>198</v>
      </c>
      <c r="C115" s="7"/>
      <c r="D115" s="7"/>
      <c r="E115" s="7"/>
      <c r="F115" s="9">
        <v>2.8</v>
      </c>
    </row>
    <row r="116" spans="1:6" ht="15.75" thickBot="1">
      <c r="A116" s="7"/>
      <c r="B116" s="7" t="s">
        <v>199</v>
      </c>
      <c r="C116" s="7"/>
      <c r="D116" s="7"/>
      <c r="E116" s="7"/>
      <c r="F116" s="9">
        <v>1.7</v>
      </c>
    </row>
    <row r="117" spans="1:6" ht="15.75" thickBot="1">
      <c r="A117" s="7"/>
      <c r="B117" s="7" t="s">
        <v>200</v>
      </c>
      <c r="C117" s="7"/>
      <c r="D117" s="7"/>
      <c r="E117" s="7"/>
      <c r="F117" s="9">
        <v>1.48</v>
      </c>
    </row>
    <row r="118" spans="1:6" ht="15.75" thickBot="1">
      <c r="A118" s="7"/>
      <c r="B118" s="7" t="s">
        <v>201</v>
      </c>
      <c r="C118" s="7"/>
      <c r="D118" s="7"/>
      <c r="E118" s="7"/>
      <c r="F118" s="9">
        <v>3.33</v>
      </c>
    </row>
    <row r="119" spans="1:6" ht="15.75" thickBot="1">
      <c r="A119" s="7"/>
      <c r="B119" s="7" t="s">
        <v>202</v>
      </c>
      <c r="C119" s="7"/>
      <c r="D119" s="7"/>
      <c r="E119" s="7"/>
      <c r="F119" s="9">
        <v>0.75</v>
      </c>
    </row>
    <row r="120" spans="1:6" ht="15.75" thickBot="1">
      <c r="A120" s="7"/>
      <c r="B120" s="7" t="s">
        <v>203</v>
      </c>
      <c r="C120" s="7"/>
      <c r="D120" s="7"/>
      <c r="E120" s="7"/>
      <c r="F120" s="9">
        <v>4.25</v>
      </c>
    </row>
    <row r="121" spans="1:6" ht="15.75" thickBot="1">
      <c r="A121" s="7"/>
      <c r="B121" s="7" t="s">
        <v>204</v>
      </c>
      <c r="C121" s="7"/>
      <c r="D121" s="7"/>
      <c r="E121" s="7"/>
      <c r="F121" s="9">
        <v>1.44</v>
      </c>
    </row>
    <row r="122" spans="1:6" ht="15.75" thickBot="1">
      <c r="A122" s="7"/>
      <c r="B122" s="7" t="s">
        <v>205</v>
      </c>
      <c r="C122" s="7"/>
      <c r="D122" s="7"/>
      <c r="E122" s="7"/>
      <c r="F122" s="9">
        <v>1.1299999999999999</v>
      </c>
    </row>
    <row r="123" spans="1:6" ht="15.75" thickBot="1">
      <c r="A123" s="7"/>
      <c r="B123" s="7" t="s">
        <v>206</v>
      </c>
      <c r="C123" s="7"/>
      <c r="D123" s="7"/>
      <c r="E123" s="7"/>
      <c r="F123" s="9">
        <v>1.1299999999999999</v>
      </c>
    </row>
    <row r="124" spans="1:6" ht="15.75" thickBot="1">
      <c r="A124" s="7"/>
      <c r="B124" s="7" t="s">
        <v>207</v>
      </c>
      <c r="C124" s="7"/>
      <c r="D124" s="7"/>
      <c r="E124" s="7"/>
      <c r="F124" s="9">
        <v>1.5</v>
      </c>
    </row>
    <row r="125" spans="1:6" ht="15.75" thickBot="1">
      <c r="A125" s="7"/>
      <c r="B125" s="7" t="s">
        <v>208</v>
      </c>
      <c r="C125" s="7"/>
      <c r="D125" s="7"/>
      <c r="E125" s="7"/>
      <c r="F125" s="9">
        <v>1.46</v>
      </c>
    </row>
    <row r="126" spans="1:6" ht="15.75" thickBot="1">
      <c r="A126" s="7"/>
      <c r="B126" s="7" t="s">
        <v>209</v>
      </c>
      <c r="C126" s="7"/>
      <c r="D126" s="7"/>
      <c r="E126" s="7"/>
      <c r="F126" s="9">
        <v>1.18</v>
      </c>
    </row>
    <row r="127" spans="1:6" ht="15.75" thickBot="1">
      <c r="A127" s="7"/>
      <c r="B127" s="7" t="s">
        <v>210</v>
      </c>
      <c r="C127" s="7"/>
      <c r="D127" s="7"/>
      <c r="E127" s="7"/>
      <c r="F127" s="9">
        <v>1.73</v>
      </c>
    </row>
    <row r="128" spans="1:6" ht="15.75" thickBot="1">
      <c r="A128" s="7"/>
      <c r="B128" s="7" t="s">
        <v>211</v>
      </c>
      <c r="C128" s="7"/>
      <c r="D128" s="7"/>
      <c r="E128" s="7"/>
      <c r="F128" s="9">
        <v>1.73</v>
      </c>
    </row>
    <row r="129" spans="1:6" ht="15.75" thickBot="1">
      <c r="A129" s="7"/>
      <c r="B129" s="7" t="s">
        <v>212</v>
      </c>
      <c r="C129" s="7"/>
      <c r="D129" s="7"/>
      <c r="E129" s="7"/>
      <c r="F129" s="9">
        <v>1.68</v>
      </c>
    </row>
    <row r="130" spans="1:6" ht="15.75" thickBot="1">
      <c r="A130" s="7"/>
      <c r="B130" s="7" t="s">
        <v>213</v>
      </c>
      <c r="C130" s="7"/>
      <c r="D130" s="7"/>
      <c r="E130" s="7"/>
      <c r="F130" s="9">
        <v>1.64</v>
      </c>
    </row>
    <row r="131" spans="1:6" ht="15.75" thickBot="1">
      <c r="A131" s="7"/>
      <c r="B131" s="7" t="s">
        <v>214</v>
      </c>
      <c r="C131" s="7"/>
      <c r="D131" s="7"/>
      <c r="E131" s="7"/>
      <c r="F131" s="9">
        <v>2.2999999999999998</v>
      </c>
    </row>
    <row r="132" spans="1:6" ht="15.75" thickBot="1">
      <c r="A132" s="7"/>
      <c r="B132" s="7" t="s">
        <v>215</v>
      </c>
      <c r="C132" s="7"/>
      <c r="D132" s="7"/>
      <c r="E132" s="7"/>
      <c r="F132" s="9">
        <v>1.96</v>
      </c>
    </row>
    <row r="133" spans="1:6" ht="15.75" thickBot="1">
      <c r="A133" s="7"/>
      <c r="B133" s="7" t="s">
        <v>216</v>
      </c>
      <c r="C133" s="7"/>
      <c r="D133" s="7"/>
      <c r="E133" s="7"/>
      <c r="F133" s="9">
        <v>1.7</v>
      </c>
    </row>
    <row r="134" spans="1:6" ht="15.75" thickBot="1">
      <c r="A134" s="7"/>
      <c r="B134" s="7" t="s">
        <v>217</v>
      </c>
      <c r="C134" s="7"/>
      <c r="D134" s="7"/>
      <c r="E134" s="7"/>
      <c r="F134" s="9">
        <v>2.7</v>
      </c>
    </row>
    <row r="135" spans="1:6" ht="15.75" thickBot="1">
      <c r="A135" s="7"/>
      <c r="B135" s="7" t="s">
        <v>218</v>
      </c>
      <c r="C135" s="7"/>
      <c r="D135" s="7"/>
      <c r="E135" s="7"/>
      <c r="F135" s="9">
        <v>2.74</v>
      </c>
    </row>
    <row r="136" spans="1:6" ht="15.75" thickBot="1">
      <c r="A136" s="7"/>
      <c r="B136" s="7" t="s">
        <v>219</v>
      </c>
      <c r="C136" s="7"/>
      <c r="D136" s="7"/>
      <c r="E136" s="7"/>
      <c r="F136" s="9">
        <v>2</v>
      </c>
    </row>
    <row r="137" spans="1:6" ht="15.75" thickBot="1">
      <c r="A137" s="7"/>
      <c r="B137" s="7" t="s">
        <v>210</v>
      </c>
      <c r="C137" s="7"/>
      <c r="D137" s="7"/>
      <c r="E137" s="7"/>
      <c r="F137" s="9">
        <v>1.73</v>
      </c>
    </row>
    <row r="138" spans="1:6" ht="15.75" thickBot="1">
      <c r="A138" s="7"/>
      <c r="B138" s="7" t="s">
        <v>220</v>
      </c>
      <c r="C138" s="7"/>
      <c r="D138" s="7"/>
      <c r="E138" s="7"/>
      <c r="F138" s="9">
        <v>1.68</v>
      </c>
    </row>
    <row r="139" spans="1:6" ht="15.75" thickBot="1">
      <c r="A139" s="7"/>
      <c r="B139" s="7" t="s">
        <v>221</v>
      </c>
      <c r="C139" s="7"/>
      <c r="D139" s="7"/>
      <c r="E139" s="7"/>
      <c r="F139" s="9">
        <v>1.64</v>
      </c>
    </row>
    <row r="140" spans="1:6" ht="15.75" thickBot="1">
      <c r="A140" s="7"/>
      <c r="B140" s="7" t="s">
        <v>222</v>
      </c>
      <c r="C140" s="7"/>
      <c r="D140" s="7"/>
      <c r="E140" s="7"/>
      <c r="F140" s="9">
        <v>2.2999999999999998</v>
      </c>
    </row>
    <row r="141" spans="1:6" ht="15.75" thickBot="1">
      <c r="A141" s="7"/>
      <c r="B141" s="7" t="s">
        <v>223</v>
      </c>
      <c r="C141" s="7"/>
      <c r="D141" s="7"/>
      <c r="E141" s="7"/>
      <c r="F141" s="9">
        <v>1.96</v>
      </c>
    </row>
    <row r="142" spans="1:6" ht="15.75" thickBot="1">
      <c r="A142" s="7"/>
      <c r="B142" s="7" t="s">
        <v>224</v>
      </c>
      <c r="C142" s="7"/>
      <c r="D142" s="7"/>
      <c r="E142" s="7"/>
      <c r="F142" s="9">
        <v>1.7</v>
      </c>
    </row>
    <row r="143" spans="1:6" ht="15.75" thickBot="1">
      <c r="A143" s="7"/>
      <c r="B143" s="7" t="s">
        <v>225</v>
      </c>
      <c r="C143" s="7"/>
      <c r="D143" s="7"/>
      <c r="E143" s="7"/>
      <c r="F143" s="9">
        <v>2.7</v>
      </c>
    </row>
    <row r="144" spans="1:6" ht="15.75" thickBot="1">
      <c r="A144" s="7"/>
      <c r="B144" s="7" t="s">
        <v>226</v>
      </c>
      <c r="C144" s="7"/>
      <c r="D144" s="7"/>
      <c r="E144" s="7"/>
      <c r="F144" s="9">
        <v>2.74</v>
      </c>
    </row>
    <row r="145" spans="1:6" ht="15.75" thickBot="1">
      <c r="A145" s="7"/>
      <c r="B145" s="7" t="s">
        <v>227</v>
      </c>
      <c r="C145" s="7"/>
      <c r="D145" s="7"/>
      <c r="E145" s="7"/>
      <c r="F145" s="9">
        <v>1.36</v>
      </c>
    </row>
    <row r="146" spans="1:6" ht="15.75" thickBot="1">
      <c r="A146" s="7"/>
      <c r="B146" s="7" t="s">
        <v>228</v>
      </c>
      <c r="C146" s="7"/>
      <c r="D146" s="7"/>
      <c r="E146" s="7"/>
      <c r="F146" s="9">
        <v>1.4</v>
      </c>
    </row>
    <row r="147" spans="1:6" ht="15.75" thickBot="1">
      <c r="A147" s="7"/>
      <c r="B147" s="7" t="s">
        <v>229</v>
      </c>
      <c r="C147" s="7"/>
      <c r="D147" s="7"/>
      <c r="E147" s="7"/>
      <c r="F147" s="9">
        <v>2.5</v>
      </c>
    </row>
    <row r="148" spans="1:6" ht="15.75" thickBot="1">
      <c r="A148" s="7"/>
      <c r="B148" s="7" t="s">
        <v>230</v>
      </c>
      <c r="C148" s="7"/>
      <c r="D148" s="7"/>
      <c r="E148" s="7"/>
      <c r="F148" s="9">
        <v>1.7</v>
      </c>
    </row>
    <row r="149" spans="1:6" ht="15.75" thickBot="1">
      <c r="A149" s="7"/>
      <c r="B149" s="7" t="s">
        <v>231</v>
      </c>
      <c r="C149" s="7"/>
      <c r="D149" s="7"/>
      <c r="E149" s="7"/>
      <c r="F149" s="9">
        <v>1.32</v>
      </c>
    </row>
    <row r="150" spans="1:6" ht="15.75" thickBot="1">
      <c r="A150" s="7"/>
      <c r="B150" s="7" t="s">
        <v>232</v>
      </c>
      <c r="C150" s="7"/>
      <c r="D150" s="7"/>
      <c r="E150" s="7"/>
      <c r="F150" s="9">
        <v>1.36</v>
      </c>
    </row>
    <row r="151" spans="1:6" ht="15.75" thickBot="1">
      <c r="A151" s="7"/>
      <c r="B151" s="7" t="s">
        <v>233</v>
      </c>
      <c r="C151" s="7"/>
      <c r="D151" s="7"/>
      <c r="E151" s="7"/>
      <c r="F151" s="9">
        <v>1.7</v>
      </c>
    </row>
    <row r="152" spans="1:6" ht="15.75" thickBot="1">
      <c r="A152" s="7"/>
      <c r="B152" s="7" t="s">
        <v>234</v>
      </c>
      <c r="C152" s="7"/>
      <c r="D152" s="7"/>
      <c r="E152" s="7"/>
      <c r="F152" s="9">
        <v>1.3</v>
      </c>
    </row>
    <row r="153" spans="1:6" ht="15.75" thickBot="1">
      <c r="A153" s="7"/>
      <c r="B153" s="7" t="s">
        <v>235</v>
      </c>
      <c r="C153" s="7"/>
      <c r="D153" s="7"/>
      <c r="E153" s="7"/>
      <c r="F153" s="9">
        <v>1.8</v>
      </c>
    </row>
    <row r="154" spans="1:6" ht="15.75" thickBot="1">
      <c r="A154" s="7"/>
      <c r="B154" s="7" t="s">
        <v>236</v>
      </c>
      <c r="C154" s="7"/>
      <c r="D154" s="7"/>
      <c r="E154" s="7"/>
      <c r="F154" s="9">
        <v>1.32</v>
      </c>
    </row>
    <row r="155" spans="1:6" ht="15.75" thickBot="1">
      <c r="A155" s="7"/>
      <c r="B155" s="7" t="s">
        <v>237</v>
      </c>
      <c r="C155" s="7"/>
      <c r="D155" s="7"/>
      <c r="E155" s="7"/>
      <c r="F155" s="9">
        <v>1.27</v>
      </c>
    </row>
    <row r="156" spans="1:6" ht="15.75" thickBot="1">
      <c r="A156" s="7"/>
      <c r="B156" s="7" t="s">
        <v>238</v>
      </c>
      <c r="C156" s="7"/>
      <c r="D156" s="7"/>
      <c r="E156" s="7"/>
      <c r="F156" s="9">
        <v>1.4</v>
      </c>
    </row>
    <row r="157" spans="1:6" ht="15.75" thickBot="1">
      <c r="A157" s="7"/>
      <c r="B157" s="7" t="s">
        <v>235</v>
      </c>
      <c r="C157" s="7"/>
      <c r="D157" s="7"/>
      <c r="E157" s="7"/>
      <c r="F157" s="9">
        <v>1.8</v>
      </c>
    </row>
    <row r="158" spans="1:6" ht="15.75" thickBot="1">
      <c r="A158" s="7"/>
      <c r="B158" s="7" t="s">
        <v>239</v>
      </c>
      <c r="C158" s="7"/>
      <c r="D158" s="7"/>
      <c r="E158" s="7"/>
      <c r="F158" s="9">
        <v>1.4</v>
      </c>
    </row>
    <row r="159" spans="1:6" ht="15.75" thickBot="1">
      <c r="A159" s="7"/>
      <c r="B159" s="7" t="s">
        <v>240</v>
      </c>
      <c r="C159" s="7"/>
      <c r="D159" s="7"/>
      <c r="E159" s="7"/>
      <c r="F159" s="9">
        <v>2.63</v>
      </c>
    </row>
    <row r="160" spans="1:6" ht="15.75" thickBot="1">
      <c r="A160" s="7"/>
      <c r="B160" s="7" t="s">
        <v>241</v>
      </c>
      <c r="C160" s="7"/>
      <c r="D160" s="7"/>
      <c r="E160" s="7"/>
      <c r="F160" s="9">
        <v>2.63</v>
      </c>
    </row>
    <row r="161" spans="1:6" ht="15.75" thickBot="1">
      <c r="A161" s="7"/>
      <c r="B161" s="7" t="s">
        <v>242</v>
      </c>
      <c r="C161" s="7"/>
      <c r="D161" s="7"/>
      <c r="E161" s="7"/>
      <c r="F161" s="9">
        <v>2</v>
      </c>
    </row>
    <row r="162" spans="1:6" ht="15.75" thickBot="1">
      <c r="A162" s="7"/>
      <c r="B162" s="7" t="s">
        <v>243</v>
      </c>
      <c r="C162" s="7"/>
      <c r="D162" s="7"/>
      <c r="E162" s="7"/>
      <c r="F162" s="9">
        <v>1.8</v>
      </c>
    </row>
    <row r="163" spans="1:6" ht="15.75" thickBot="1">
      <c r="A163" s="7"/>
      <c r="B163" s="7" t="s">
        <v>244</v>
      </c>
      <c r="C163" s="7"/>
      <c r="D163" s="7"/>
      <c r="E163" s="7"/>
      <c r="F163" s="9">
        <v>2.2000000000000002</v>
      </c>
    </row>
    <row r="164" spans="1:6" ht="15.75" thickBot="1">
      <c r="A164" s="7"/>
      <c r="B164" s="7" t="s">
        <v>245</v>
      </c>
      <c r="C164" s="7"/>
      <c r="D164" s="7"/>
      <c r="E164" s="7"/>
      <c r="F164" s="9">
        <v>2.63</v>
      </c>
    </row>
    <row r="165" spans="1:6" ht="15.75" thickBot="1">
      <c r="A165" s="7"/>
      <c r="B165" s="10" t="s">
        <v>246</v>
      </c>
      <c r="C165" s="10"/>
      <c r="D165" s="7"/>
      <c r="E165" s="7"/>
      <c r="F165" s="9">
        <v>2</v>
      </c>
    </row>
    <row r="166" spans="1:6" ht="15.75" thickBot="1">
      <c r="A166" s="7"/>
      <c r="B166" s="7" t="s">
        <v>247</v>
      </c>
      <c r="C166" s="7"/>
      <c r="D166" s="7"/>
      <c r="E166" s="7"/>
      <c r="F166" s="9">
        <v>1.47</v>
      </c>
    </row>
    <row r="167" spans="1:6" ht="15.75" thickBot="1">
      <c r="A167" s="7"/>
      <c r="B167" s="7" t="s">
        <v>248</v>
      </c>
      <c r="C167" s="7"/>
      <c r="D167" s="7"/>
      <c r="E167" s="7"/>
      <c r="F167" s="9">
        <v>1.36</v>
      </c>
    </row>
    <row r="168" spans="1:6" ht="15.75" thickBot="1">
      <c r="A168" s="7"/>
      <c r="B168" s="7" t="s">
        <v>249</v>
      </c>
      <c r="C168" s="7"/>
      <c r="D168" s="7"/>
      <c r="E168" s="7"/>
      <c r="F168" s="9">
        <v>1.47</v>
      </c>
    </row>
    <row r="169" spans="1:6" ht="15.75" thickBot="1">
      <c r="A169" s="7"/>
      <c r="B169" s="7" t="s">
        <v>250</v>
      </c>
      <c r="C169" s="7"/>
      <c r="D169" s="7"/>
      <c r="E169" s="7"/>
      <c r="F169" s="9">
        <v>1.53</v>
      </c>
    </row>
    <row r="170" spans="1:6" ht="15.75" thickBot="1">
      <c r="A170" s="7"/>
      <c r="B170" s="7" t="s">
        <v>251</v>
      </c>
      <c r="C170" s="7"/>
      <c r="D170" s="7"/>
      <c r="E170" s="7"/>
      <c r="F170" s="9">
        <v>1.24</v>
      </c>
    </row>
    <row r="171" spans="1:6" ht="15.75" thickBot="1">
      <c r="A171" s="7"/>
      <c r="B171" s="7" t="s">
        <v>252</v>
      </c>
      <c r="C171" s="7"/>
      <c r="D171" s="7"/>
      <c r="E171" s="7"/>
      <c r="F171" s="9">
        <v>1.47</v>
      </c>
    </row>
    <row r="172" spans="1:6" ht="15.75" thickBot="1">
      <c r="A172" s="7"/>
      <c r="B172" s="7" t="s">
        <v>253</v>
      </c>
      <c r="C172" s="7"/>
      <c r="D172" s="7"/>
      <c r="E172" s="7"/>
      <c r="F172" s="9">
        <v>1.55</v>
      </c>
    </row>
    <row r="173" spans="1:6" ht="15.75" thickBot="1">
      <c r="A173" s="7"/>
      <c r="B173" s="7" t="s">
        <v>254</v>
      </c>
      <c r="C173" s="7"/>
      <c r="D173" s="7"/>
      <c r="E173" s="7"/>
      <c r="F173" s="9">
        <v>1.75</v>
      </c>
    </row>
    <row r="174" spans="1:6" ht="15.75" thickBot="1">
      <c r="A174" s="7"/>
      <c r="B174" s="7" t="s">
        <v>255</v>
      </c>
      <c r="C174" s="7"/>
      <c r="D174" s="7"/>
      <c r="E174" s="7"/>
      <c r="F174" s="9">
        <v>1.7</v>
      </c>
    </row>
    <row r="175" spans="1:6" ht="15.75" thickBot="1">
      <c r="A175" s="7"/>
      <c r="B175" s="7" t="s">
        <v>256</v>
      </c>
      <c r="C175" s="7"/>
      <c r="D175" s="7"/>
      <c r="E175" s="7"/>
      <c r="F175" s="9">
        <v>1.3</v>
      </c>
    </row>
    <row r="176" spans="1:6" ht="15.75" thickBot="1">
      <c r="A176" s="7"/>
      <c r="B176" s="7" t="s">
        <v>257</v>
      </c>
      <c r="C176" s="7"/>
      <c r="D176" s="7"/>
      <c r="E176" s="7"/>
      <c r="F176" s="9">
        <v>1.53</v>
      </c>
    </row>
    <row r="177" spans="1:6" ht="15.75" thickBot="1">
      <c r="A177" s="7"/>
      <c r="B177" s="7" t="s">
        <v>258</v>
      </c>
      <c r="C177" s="7"/>
      <c r="D177" s="7"/>
      <c r="E177" s="7"/>
      <c r="F177" s="9">
        <v>1.27</v>
      </c>
    </row>
    <row r="178" spans="1:6" ht="15.75" thickBot="1">
      <c r="A178" s="7"/>
      <c r="B178" s="7" t="s">
        <v>259</v>
      </c>
      <c r="C178" s="7"/>
      <c r="D178" s="7"/>
      <c r="E178" s="7"/>
      <c r="F178" s="9">
        <v>1.3</v>
      </c>
    </row>
    <row r="179" spans="1:6" ht="15.75" thickBot="1">
      <c r="A179" s="7"/>
      <c r="B179" s="7" t="s">
        <v>260</v>
      </c>
      <c r="C179" s="7"/>
      <c r="D179" s="7"/>
      <c r="E179" s="7"/>
      <c r="F179" s="9">
        <v>1.4</v>
      </c>
    </row>
    <row r="180" spans="1:6" ht="15.75" thickBot="1">
      <c r="A180" s="7"/>
      <c r="B180" s="7" t="s">
        <v>261</v>
      </c>
      <c r="C180" s="7"/>
      <c r="D180" s="7"/>
      <c r="E180" s="7"/>
      <c r="F180" s="9">
        <v>1.4</v>
      </c>
    </row>
    <row r="181" spans="1:6" ht="15.75" thickBot="1">
      <c r="A181" s="7"/>
      <c r="B181" s="7" t="s">
        <v>262</v>
      </c>
      <c r="C181" s="7"/>
      <c r="D181" s="7"/>
      <c r="E181" s="7"/>
      <c r="F181" s="9">
        <v>1.44</v>
      </c>
    </row>
    <row r="182" spans="1:6" ht="15.75" thickBot="1">
      <c r="A182" s="7"/>
      <c r="B182" s="7" t="s">
        <v>263</v>
      </c>
      <c r="C182" s="7"/>
      <c r="D182" s="7"/>
      <c r="E182" s="7"/>
      <c r="F182" s="9">
        <v>1.1299999999999999</v>
      </c>
    </row>
    <row r="183" spans="1:6" ht="15.75" thickBot="1">
      <c r="A183" s="7"/>
      <c r="B183" s="7" t="s">
        <v>264</v>
      </c>
      <c r="C183" s="7"/>
      <c r="D183" s="7"/>
      <c r="E183" s="7"/>
      <c r="F183" s="9">
        <v>1.1299999999999999</v>
      </c>
    </row>
    <row r="184" spans="1:6" ht="15.75" thickBot="1">
      <c r="A184" s="7"/>
      <c r="B184" s="7" t="s">
        <v>265</v>
      </c>
      <c r="C184" s="7"/>
      <c r="D184" s="7"/>
      <c r="E184" s="7"/>
      <c r="F184" s="9">
        <v>1.5</v>
      </c>
    </row>
    <row r="185" spans="1:6" ht="15.75" thickBot="1">
      <c r="A185" s="7"/>
      <c r="B185" s="7" t="s">
        <v>210</v>
      </c>
      <c r="C185" s="7"/>
      <c r="D185" s="7"/>
      <c r="E185" s="7"/>
      <c r="F185" s="9">
        <v>1.73</v>
      </c>
    </row>
    <row r="186" spans="1:6" ht="15.75" thickBot="1">
      <c r="A186" s="7"/>
      <c r="B186" s="7" t="s">
        <v>220</v>
      </c>
      <c r="C186" s="7"/>
      <c r="D186" s="7"/>
      <c r="E186" s="7"/>
      <c r="F186" s="9">
        <v>1.68</v>
      </c>
    </row>
    <row r="187" spans="1:6" ht="15.75" thickBot="1">
      <c r="A187" s="7"/>
      <c r="B187" s="7" t="s">
        <v>221</v>
      </c>
      <c r="C187" s="7"/>
      <c r="D187" s="7"/>
      <c r="E187" s="7"/>
      <c r="F187" s="9">
        <v>1.64</v>
      </c>
    </row>
    <row r="188" spans="1:6" ht="15.75" thickBot="1">
      <c r="A188" s="7"/>
      <c r="B188" s="7" t="s">
        <v>222</v>
      </c>
      <c r="C188" s="7"/>
      <c r="D188" s="7"/>
      <c r="E188" s="7"/>
      <c r="F188" s="9">
        <v>2.2999999999999998</v>
      </c>
    </row>
    <row r="189" spans="1:6" ht="15.75" thickBot="1">
      <c r="A189" s="7"/>
      <c r="B189" s="7" t="s">
        <v>223</v>
      </c>
      <c r="C189" s="7"/>
      <c r="D189" s="7"/>
      <c r="E189" s="7"/>
      <c r="F189" s="9">
        <v>1.96</v>
      </c>
    </row>
    <row r="190" spans="1:6" ht="15.75" thickBot="1">
      <c r="A190" s="7"/>
      <c r="B190" s="7" t="s">
        <v>224</v>
      </c>
      <c r="C190" s="7"/>
      <c r="D190" s="7"/>
      <c r="E190" s="7"/>
      <c r="F190" s="9">
        <v>1.7</v>
      </c>
    </row>
    <row r="191" spans="1:6" ht="15.75" thickBot="1">
      <c r="A191" s="7"/>
      <c r="B191" s="7" t="s">
        <v>225</v>
      </c>
      <c r="C191" s="7"/>
      <c r="D191" s="7"/>
      <c r="E191" s="7"/>
      <c r="F191" s="9">
        <v>2.7</v>
      </c>
    </row>
    <row r="192" spans="1:6" ht="15.75" thickBot="1">
      <c r="A192" s="7"/>
      <c r="B192" s="7" t="s">
        <v>226</v>
      </c>
      <c r="C192" s="7"/>
      <c r="D192" s="7"/>
      <c r="E192" s="7"/>
      <c r="F192" s="9">
        <v>2.74</v>
      </c>
    </row>
    <row r="193" spans="1:6" ht="15.75" thickBot="1">
      <c r="A193" s="7"/>
      <c r="B193" s="7" t="s">
        <v>266</v>
      </c>
      <c r="C193" s="7"/>
      <c r="D193" s="7"/>
      <c r="E193" s="7"/>
      <c r="F193" s="9">
        <v>1.36</v>
      </c>
    </row>
    <row r="194" spans="1:6" ht="15.75" thickBot="1">
      <c r="A194" s="7"/>
      <c r="B194" s="7" t="s">
        <v>267</v>
      </c>
      <c r="C194" s="7"/>
      <c r="D194" s="7"/>
      <c r="E194" s="7"/>
      <c r="F194" s="9">
        <v>2.5</v>
      </c>
    </row>
    <row r="195" spans="1:6" ht="15.75" thickBot="1">
      <c r="A195" s="7"/>
      <c r="B195" s="7" t="s">
        <v>268</v>
      </c>
      <c r="C195" s="7"/>
      <c r="D195" s="7"/>
      <c r="E195" s="7"/>
      <c r="F195" s="9">
        <v>1.7</v>
      </c>
    </row>
    <row r="196" spans="1:6" ht="15.75" thickBot="1">
      <c r="A196" s="7"/>
      <c r="B196" s="7" t="s">
        <v>269</v>
      </c>
      <c r="C196" s="7"/>
      <c r="D196" s="7"/>
      <c r="E196" s="7"/>
      <c r="F196" s="9">
        <v>1.32</v>
      </c>
    </row>
    <row r="197" spans="1:6" ht="15.75" thickBot="1">
      <c r="A197" s="7"/>
      <c r="B197" s="7" t="s">
        <v>170</v>
      </c>
      <c r="C197" s="7"/>
      <c r="D197" s="7"/>
      <c r="E197" s="7"/>
      <c r="F197" s="9">
        <v>1.36</v>
      </c>
    </row>
    <row r="198" spans="1:6" ht="15.75" thickBot="1">
      <c r="A198" s="7"/>
      <c r="B198" s="7" t="s">
        <v>270</v>
      </c>
      <c r="C198" s="7"/>
      <c r="D198" s="7"/>
      <c r="E198" s="7"/>
      <c r="F198" s="9">
        <v>1.7</v>
      </c>
    </row>
    <row r="199" spans="1:6" ht="15.75" thickBot="1">
      <c r="A199" s="7"/>
      <c r="B199" s="7" t="s">
        <v>256</v>
      </c>
      <c r="C199" s="7"/>
      <c r="D199" s="7"/>
      <c r="E199" s="7"/>
      <c r="F199" s="9">
        <v>1.3</v>
      </c>
    </row>
    <row r="200" spans="1:6" ht="15.75" thickBot="1">
      <c r="A200" s="7"/>
      <c r="B200" s="7" t="s">
        <v>271</v>
      </c>
      <c r="C200" s="7"/>
      <c r="D200" s="7"/>
      <c r="E200" s="7"/>
      <c r="F200" s="9">
        <v>1.32</v>
      </c>
    </row>
    <row r="201" spans="1:6" ht="15.75" thickBot="1">
      <c r="A201" s="7"/>
      <c r="B201" s="7" t="s">
        <v>272</v>
      </c>
      <c r="C201" s="7"/>
      <c r="D201" s="7"/>
      <c r="E201" s="7"/>
      <c r="F201" s="9">
        <v>1.27</v>
      </c>
    </row>
    <row r="202" spans="1:6" ht="15.75" thickBot="1">
      <c r="A202" s="7"/>
      <c r="B202" s="7" t="s">
        <v>273</v>
      </c>
      <c r="C202" s="7"/>
      <c r="D202" s="7"/>
      <c r="E202" s="7"/>
      <c r="F202" s="9">
        <v>1.4</v>
      </c>
    </row>
    <row r="203" spans="1:6" ht="15.75" thickBot="1">
      <c r="A203" s="7"/>
      <c r="B203" s="7" t="s">
        <v>274</v>
      </c>
      <c r="C203" s="7"/>
      <c r="D203" s="7"/>
      <c r="E203" s="7"/>
      <c r="F203" s="9">
        <v>2.63</v>
      </c>
    </row>
    <row r="204" spans="1:6" ht="15.75" thickBot="1">
      <c r="A204" s="7"/>
      <c r="B204" s="7" t="s">
        <v>275</v>
      </c>
      <c r="C204" s="7"/>
      <c r="D204" s="7"/>
      <c r="E204" s="7"/>
      <c r="F204" s="9">
        <v>2.63</v>
      </c>
    </row>
    <row r="205" spans="1:6" ht="15.75" thickBot="1">
      <c r="A205" s="7"/>
      <c r="B205" s="7" t="s">
        <v>276</v>
      </c>
      <c r="C205" s="7"/>
      <c r="D205" s="7"/>
      <c r="E205" s="7"/>
      <c r="F205" s="9">
        <v>2</v>
      </c>
    </row>
    <row r="206" spans="1:6" ht="15.75" thickBot="1">
      <c r="A206" s="7"/>
      <c r="B206" s="7" t="s">
        <v>277</v>
      </c>
      <c r="C206" s="7"/>
      <c r="D206" s="7"/>
      <c r="E206" s="7"/>
      <c r="F206" s="9">
        <v>1.8</v>
      </c>
    </row>
    <row r="207" spans="1:6" ht="15.75" thickBot="1">
      <c r="A207" s="7"/>
      <c r="B207" s="7" t="s">
        <v>245</v>
      </c>
      <c r="C207" s="7"/>
      <c r="D207" s="7"/>
      <c r="E207" s="7"/>
      <c r="F207" s="9">
        <v>2.63</v>
      </c>
    </row>
    <row r="208" spans="1:6" ht="15.75" thickBot="1">
      <c r="A208" s="7"/>
      <c r="B208" s="7" t="s">
        <v>278</v>
      </c>
      <c r="C208" s="7"/>
      <c r="D208" s="7"/>
      <c r="E208" s="7"/>
      <c r="F208" s="9">
        <v>1.47</v>
      </c>
    </row>
    <row r="209" spans="1:6" ht="15.75" thickBot="1">
      <c r="A209" s="7"/>
      <c r="B209" s="7" t="s">
        <v>279</v>
      </c>
      <c r="C209" s="7"/>
      <c r="D209" s="7"/>
      <c r="E209" s="7"/>
      <c r="F209" s="9">
        <v>1.36</v>
      </c>
    </row>
    <row r="210" spans="1:6" ht="15.75" thickBot="1">
      <c r="A210" s="7"/>
      <c r="B210" s="7" t="s">
        <v>280</v>
      </c>
      <c r="C210" s="7"/>
      <c r="D210" s="7"/>
      <c r="E210" s="7"/>
      <c r="F210" s="9">
        <v>1.47</v>
      </c>
    </row>
    <row r="211" spans="1:6" ht="15.75" thickBot="1">
      <c r="A211" s="7"/>
      <c r="B211" s="7" t="s">
        <v>257</v>
      </c>
      <c r="C211" s="7"/>
      <c r="D211" s="7"/>
      <c r="E211" s="7"/>
      <c r="F211" s="9">
        <v>1.53</v>
      </c>
    </row>
    <row r="212" spans="1:6" ht="15.75" thickBot="1">
      <c r="A212" s="7"/>
      <c r="B212" s="7" t="s">
        <v>281</v>
      </c>
      <c r="C212" s="7"/>
      <c r="D212" s="7"/>
      <c r="E212" s="7"/>
      <c r="F212" s="9">
        <v>1.24</v>
      </c>
    </row>
    <row r="213" spans="1:6" ht="15.75" thickBot="1">
      <c r="A213" s="7"/>
      <c r="B213" s="7" t="s">
        <v>282</v>
      </c>
      <c r="C213" s="7"/>
      <c r="D213" s="7"/>
      <c r="E213" s="7"/>
      <c r="F213" s="9">
        <v>1.47</v>
      </c>
    </row>
    <row r="214" spans="1:6" ht="15.75" thickBot="1">
      <c r="A214" s="7"/>
      <c r="B214" s="7" t="s">
        <v>283</v>
      </c>
      <c r="C214" s="7"/>
      <c r="D214" s="7"/>
      <c r="E214" s="7"/>
      <c r="F214" s="9">
        <v>1.75</v>
      </c>
    </row>
    <row r="215" spans="1:6" ht="15.75" thickBot="1">
      <c r="A215" s="7"/>
      <c r="B215" s="7" t="s">
        <v>284</v>
      </c>
      <c r="C215" s="7"/>
      <c r="D215" s="7"/>
      <c r="E215" s="7"/>
      <c r="F215" s="9">
        <v>1.9</v>
      </c>
    </row>
    <row r="216" spans="1:6" ht="15.75" thickBot="1">
      <c r="A216" s="7"/>
      <c r="B216" s="11" t="s">
        <v>285</v>
      </c>
      <c r="C216" s="11"/>
      <c r="D216" s="7"/>
      <c r="E216" s="7"/>
      <c r="F216" s="9">
        <v>1.9</v>
      </c>
    </row>
    <row r="217" spans="1:6" ht="15.75" thickBot="1">
      <c r="A217" s="7"/>
      <c r="B217" s="7" t="s">
        <v>286</v>
      </c>
      <c r="C217" s="7"/>
      <c r="D217" s="7"/>
      <c r="E217" s="7"/>
      <c r="F217" s="9">
        <v>1.9</v>
      </c>
    </row>
    <row r="218" spans="1:6" ht="15.75" thickBot="1">
      <c r="A218" s="7"/>
      <c r="B218" s="10" t="s">
        <v>287</v>
      </c>
      <c r="C218" s="10"/>
      <c r="D218" s="7"/>
      <c r="E218" s="7"/>
      <c r="F218" s="9">
        <v>1.5</v>
      </c>
    </row>
    <row r="219" spans="1:6" ht="15.75" thickBot="1">
      <c r="A219" s="7"/>
      <c r="B219" s="10" t="s">
        <v>288</v>
      </c>
      <c r="C219" s="10"/>
      <c r="D219" s="7"/>
      <c r="E219" s="7"/>
      <c r="F219" s="9">
        <v>1.9</v>
      </c>
    </row>
    <row r="220" spans="1:6" ht="15.75" thickBot="1">
      <c r="A220" s="7"/>
      <c r="B220" s="7" t="s">
        <v>289</v>
      </c>
      <c r="C220" s="7"/>
      <c r="D220" s="7"/>
      <c r="E220" s="7"/>
      <c r="F220" s="9">
        <v>0.78</v>
      </c>
    </row>
    <row r="221" spans="1:6" ht="15.75" thickBot="1">
      <c r="A221" s="7"/>
      <c r="B221" s="11" t="s">
        <v>290</v>
      </c>
      <c r="C221" s="11"/>
      <c r="D221" s="7"/>
      <c r="E221" s="7"/>
      <c r="F221" s="9">
        <v>1.5</v>
      </c>
    </row>
    <row r="222" spans="1:6" ht="15.75" thickBot="1">
      <c r="A222" s="7"/>
      <c r="B222" s="7" t="s">
        <v>291</v>
      </c>
      <c r="C222" s="7"/>
      <c r="D222" s="7"/>
      <c r="E222" s="7"/>
      <c r="F222" s="9">
        <v>2.54</v>
      </c>
    </row>
    <row r="223" spans="1:6" ht="15.75" thickBot="1">
      <c r="A223" s="7"/>
      <c r="B223" s="7" t="s">
        <v>292</v>
      </c>
      <c r="C223" s="7"/>
      <c r="D223" s="7"/>
      <c r="E223" s="7"/>
      <c r="F223" s="9">
        <v>1.2</v>
      </c>
    </row>
    <row r="224" spans="1:6" ht="15.75" thickBot="1">
      <c r="A224" s="7"/>
      <c r="B224" s="7" t="s">
        <v>293</v>
      </c>
      <c r="C224" s="7"/>
      <c r="D224" s="7"/>
      <c r="E224" s="7"/>
      <c r="F224" s="9">
        <v>1.2</v>
      </c>
    </row>
    <row r="225" spans="1:6" ht="15.75" thickBot="1">
      <c r="A225" s="7"/>
      <c r="B225" s="7" t="s">
        <v>294</v>
      </c>
      <c r="C225" s="7"/>
      <c r="D225" s="7"/>
      <c r="E225" s="7"/>
      <c r="F225" s="9">
        <v>1.4</v>
      </c>
    </row>
    <row r="226" spans="1:6" ht="15.75" thickBot="1">
      <c r="A226" s="7"/>
      <c r="B226" s="7" t="s">
        <v>295</v>
      </c>
      <c r="C226" s="7"/>
      <c r="D226" s="7"/>
      <c r="E226" s="7"/>
      <c r="F226" s="9">
        <v>2.2999999999999998</v>
      </c>
    </row>
    <row r="227" spans="1:6" ht="15.75" thickBot="1">
      <c r="A227" s="7"/>
      <c r="B227" s="7" t="s">
        <v>296</v>
      </c>
      <c r="C227" s="7"/>
      <c r="D227" s="7"/>
      <c r="E227" s="7"/>
      <c r="F227" s="9">
        <v>0.33</v>
      </c>
    </row>
    <row r="228" spans="1:6" ht="15.75" thickBot="1">
      <c r="A228" s="7"/>
      <c r="B228" s="7" t="s">
        <v>297</v>
      </c>
      <c r="C228" s="7"/>
      <c r="D228" s="7"/>
      <c r="E228" s="7"/>
      <c r="F228" s="9">
        <v>4.45</v>
      </c>
    </row>
    <row r="229" spans="1:6" ht="15.75" thickBot="1">
      <c r="A229" s="27"/>
      <c r="B229" s="27" t="s">
        <v>298</v>
      </c>
      <c r="C229" s="27"/>
      <c r="D229" s="27"/>
      <c r="E229" s="7"/>
      <c r="F229" s="9">
        <v>4.3</v>
      </c>
    </row>
    <row r="230" spans="1:6" ht="15.75" thickBot="1">
      <c r="A230" s="27"/>
      <c r="B230" s="27" t="s">
        <v>299</v>
      </c>
      <c r="C230" s="27"/>
      <c r="D230" s="27"/>
      <c r="E230" s="7"/>
      <c r="F230" s="9">
        <v>4.57</v>
      </c>
    </row>
    <row r="231" spans="1:6" ht="15.75" thickBot="1">
      <c r="A231" s="27"/>
      <c r="B231" s="27" t="s">
        <v>300</v>
      </c>
      <c r="C231" s="27"/>
      <c r="D231" s="27"/>
      <c r="E231" s="7"/>
      <c r="F231" s="9">
        <v>4.9000000000000004</v>
      </c>
    </row>
    <row r="232" spans="1:6" ht="15.75" thickBot="1">
      <c r="A232" s="27"/>
      <c r="B232" s="28" t="s">
        <v>301</v>
      </c>
      <c r="C232" s="28"/>
      <c r="D232" s="27"/>
      <c r="E232" s="7"/>
      <c r="F232" s="9">
        <v>1.67</v>
      </c>
    </row>
    <row r="233" spans="1:6" ht="15.75" thickBot="1">
      <c r="A233" s="27"/>
      <c r="B233" s="28" t="s">
        <v>302</v>
      </c>
      <c r="C233" s="28"/>
      <c r="D233" s="27"/>
      <c r="E233" s="7"/>
      <c r="F233" s="9">
        <v>2.5</v>
      </c>
    </row>
    <row r="234" spans="1:6" ht="15.75" thickBot="1">
      <c r="A234" s="27"/>
      <c r="B234" s="28" t="s">
        <v>303</v>
      </c>
      <c r="C234" s="28"/>
      <c r="D234" s="27"/>
      <c r="E234" s="7"/>
      <c r="F234" s="9">
        <v>1.78</v>
      </c>
    </row>
    <row r="235" spans="1:6" ht="15.75" thickBot="1">
      <c r="A235" s="27"/>
      <c r="B235" s="28" t="s">
        <v>304</v>
      </c>
      <c r="C235" s="28"/>
      <c r="D235" s="27"/>
      <c r="E235" s="7"/>
      <c r="F235" s="9">
        <v>1.7</v>
      </c>
    </row>
    <row r="236" spans="1:6" ht="15.75" thickBot="1">
      <c r="A236" s="27"/>
      <c r="B236" s="28" t="s">
        <v>305</v>
      </c>
      <c r="C236" s="28"/>
      <c r="D236" s="27"/>
      <c r="E236" s="7"/>
      <c r="F236" s="9">
        <v>7.6</v>
      </c>
    </row>
    <row r="237" spans="1:6">
      <c r="B237" t="s">
        <v>160</v>
      </c>
      <c r="F237">
        <v>2</v>
      </c>
    </row>
    <row r="238" spans="1:6">
      <c r="B238" t="s">
        <v>160</v>
      </c>
      <c r="F238">
        <v>2</v>
      </c>
    </row>
    <row r="239" spans="1:6">
      <c r="B239" t="s">
        <v>160</v>
      </c>
      <c r="F239">
        <v>2</v>
      </c>
    </row>
    <row r="240" spans="1:6">
      <c r="B240" t="s">
        <v>160</v>
      </c>
      <c r="F240">
        <v>2</v>
      </c>
    </row>
    <row r="241" spans="2:6">
      <c r="B241" t="s">
        <v>161</v>
      </c>
      <c r="F241">
        <v>1.74</v>
      </c>
    </row>
    <row r="242" spans="2:6">
      <c r="B242" t="s">
        <v>160</v>
      </c>
      <c r="F242">
        <v>2</v>
      </c>
    </row>
    <row r="243" spans="2:6">
      <c r="B243" t="s">
        <v>161</v>
      </c>
      <c r="F243">
        <v>1.74</v>
      </c>
    </row>
    <row r="244" spans="2:6">
      <c r="B244" t="s">
        <v>162</v>
      </c>
      <c r="F244">
        <v>1.8</v>
      </c>
    </row>
    <row r="245" spans="2:6">
      <c r="B245" t="s">
        <v>160</v>
      </c>
      <c r="F245">
        <v>2</v>
      </c>
    </row>
    <row r="246" spans="2:6">
      <c r="B246" t="s">
        <v>163</v>
      </c>
      <c r="F246">
        <v>1.8</v>
      </c>
    </row>
    <row r="247" spans="2:6">
      <c r="B247" t="s">
        <v>164</v>
      </c>
      <c r="F247">
        <v>1.26</v>
      </c>
    </row>
    <row r="248" spans="2:6">
      <c r="B248" t="s">
        <v>165</v>
      </c>
      <c r="F248">
        <v>1.26</v>
      </c>
    </row>
    <row r="249" spans="2:6">
      <c r="B249" t="s">
        <v>166</v>
      </c>
      <c r="F249">
        <v>1.26</v>
      </c>
    </row>
    <row r="250" spans="2:6">
      <c r="B250" t="s">
        <v>167</v>
      </c>
      <c r="F250">
        <v>1.26</v>
      </c>
    </row>
    <row r="251" spans="2:6">
      <c r="B251" t="s">
        <v>168</v>
      </c>
      <c r="F251">
        <v>1.17</v>
      </c>
    </row>
    <row r="252" spans="2:6">
      <c r="B252" t="s">
        <v>169</v>
      </c>
      <c r="F252">
        <v>1.8</v>
      </c>
    </row>
    <row r="253" spans="2:6">
      <c r="B253" t="s">
        <v>170</v>
      </c>
      <c r="F253">
        <v>1.35</v>
      </c>
    </row>
    <row r="254" spans="2:6">
      <c r="B254" t="s">
        <v>171</v>
      </c>
      <c r="F254">
        <v>1.1000000000000001</v>
      </c>
    </row>
    <row r="255" spans="2:6">
      <c r="B255" t="s">
        <v>172</v>
      </c>
      <c r="F255">
        <v>1.2</v>
      </c>
    </row>
    <row r="256" spans="2:6">
      <c r="B256" t="s">
        <v>173</v>
      </c>
      <c r="F256">
        <v>1.26</v>
      </c>
    </row>
    <row r="257" spans="2:6">
      <c r="B257" t="s">
        <v>174</v>
      </c>
      <c r="F257">
        <v>1.27</v>
      </c>
    </row>
    <row r="258" spans="2:6">
      <c r="B258" t="s">
        <v>174</v>
      </c>
      <c r="F258">
        <v>1.27</v>
      </c>
    </row>
    <row r="259" spans="2:6">
      <c r="B259" t="s">
        <v>175</v>
      </c>
      <c r="F259">
        <v>1.3</v>
      </c>
    </row>
    <row r="260" spans="2:6">
      <c r="B260" t="s">
        <v>176</v>
      </c>
      <c r="F260">
        <v>1.4</v>
      </c>
    </row>
    <row r="261" spans="2:6">
      <c r="B261" t="s">
        <v>177</v>
      </c>
      <c r="F261">
        <v>1.4</v>
      </c>
    </row>
    <row r="262" spans="2:6">
      <c r="B262" t="s">
        <v>178</v>
      </c>
      <c r="F262">
        <v>3.26</v>
      </c>
    </row>
    <row r="263" spans="2:6">
      <c r="B263" t="s">
        <v>179</v>
      </c>
      <c r="F263">
        <v>5.23</v>
      </c>
    </row>
    <row r="264" spans="2:6">
      <c r="B264" t="s">
        <v>180</v>
      </c>
      <c r="F264">
        <v>7.5</v>
      </c>
    </row>
    <row r="265" spans="2:6">
      <c r="B265" t="s">
        <v>181</v>
      </c>
      <c r="F265">
        <v>6.6</v>
      </c>
    </row>
    <row r="266" spans="2:6">
      <c r="B266" t="s">
        <v>182</v>
      </c>
      <c r="F266">
        <v>1.3</v>
      </c>
    </row>
    <row r="267" spans="2:6">
      <c r="B267" t="s">
        <v>183</v>
      </c>
      <c r="F267">
        <v>7.65</v>
      </c>
    </row>
    <row r="268" spans="2:6">
      <c r="B268" t="s">
        <v>184</v>
      </c>
      <c r="F268">
        <v>5.26</v>
      </c>
    </row>
    <row r="269" spans="2:6">
      <c r="B269" t="s">
        <v>185</v>
      </c>
      <c r="F269">
        <v>9</v>
      </c>
    </row>
    <row r="270" spans="2:6">
      <c r="B270" t="s">
        <v>186</v>
      </c>
      <c r="F270">
        <v>2.2999999999999998</v>
      </c>
    </row>
    <row r="271" spans="2:6">
      <c r="B271" t="s">
        <v>187</v>
      </c>
      <c r="F271">
        <v>2.2999999999999998</v>
      </c>
    </row>
    <row r="272" spans="2:6">
      <c r="B272" t="s">
        <v>188</v>
      </c>
      <c r="F272">
        <v>5.26</v>
      </c>
    </row>
    <row r="273" spans="2:6">
      <c r="B273" t="s">
        <v>189</v>
      </c>
      <c r="F273">
        <v>9.4</v>
      </c>
    </row>
    <row r="274" spans="2:6">
      <c r="B274" t="s">
        <v>190</v>
      </c>
      <c r="F274">
        <v>5.9</v>
      </c>
    </row>
    <row r="275" spans="2:6">
      <c r="B275" t="s">
        <v>191</v>
      </c>
      <c r="F275">
        <v>5.26</v>
      </c>
    </row>
    <row r="276" spans="2:6">
      <c r="B276" t="s">
        <v>192</v>
      </c>
      <c r="F276">
        <v>1.3</v>
      </c>
    </row>
    <row r="277" spans="2:6">
      <c r="B277" t="s">
        <v>193</v>
      </c>
      <c r="F277">
        <v>3</v>
      </c>
    </row>
    <row r="278" spans="2:6">
      <c r="B278" t="s">
        <v>194</v>
      </c>
      <c r="F278">
        <v>3</v>
      </c>
    </row>
    <row r="279" spans="2:6">
      <c r="B279" t="s">
        <v>195</v>
      </c>
      <c r="F279">
        <v>5.2</v>
      </c>
    </row>
    <row r="280" spans="2:6">
      <c r="B280" t="s">
        <v>196</v>
      </c>
      <c r="F280">
        <v>4.25</v>
      </c>
    </row>
    <row r="281" spans="2:6">
      <c r="B281" t="s">
        <v>197</v>
      </c>
      <c r="F281">
        <v>3.33</v>
      </c>
    </row>
    <row r="282" spans="2:6">
      <c r="B282" t="s">
        <v>198</v>
      </c>
      <c r="F282">
        <v>2.8</v>
      </c>
    </row>
    <row r="283" spans="2:6">
      <c r="B283" t="s">
        <v>199</v>
      </c>
      <c r="F283">
        <v>1.7</v>
      </c>
    </row>
    <row r="284" spans="2:6">
      <c r="B284" t="s">
        <v>200</v>
      </c>
      <c r="F284">
        <v>1.48</v>
      </c>
    </row>
    <row r="285" spans="2:6">
      <c r="B285" t="s">
        <v>201</v>
      </c>
      <c r="F285">
        <v>3.33</v>
      </c>
    </row>
    <row r="286" spans="2:6">
      <c r="B286" t="s">
        <v>202</v>
      </c>
      <c r="F286">
        <v>0.75</v>
      </c>
    </row>
    <row r="287" spans="2:6">
      <c r="B287" t="s">
        <v>203</v>
      </c>
      <c r="F287">
        <v>4.25</v>
      </c>
    </row>
    <row r="288" spans="2:6">
      <c r="B288" t="s">
        <v>204</v>
      </c>
      <c r="F288">
        <v>1.44</v>
      </c>
    </row>
    <row r="289" spans="2:6">
      <c r="B289" t="s">
        <v>205</v>
      </c>
      <c r="F289">
        <v>1.1299999999999999</v>
      </c>
    </row>
    <row r="290" spans="2:6">
      <c r="B290" t="s">
        <v>206</v>
      </c>
      <c r="F290">
        <v>1.1299999999999999</v>
      </c>
    </row>
    <row r="291" spans="2:6">
      <c r="B291" t="s">
        <v>207</v>
      </c>
      <c r="F291">
        <v>1.5</v>
      </c>
    </row>
    <row r="292" spans="2:6">
      <c r="B292" t="s">
        <v>208</v>
      </c>
      <c r="F292">
        <v>1.46</v>
      </c>
    </row>
    <row r="293" spans="2:6">
      <c r="B293" t="s">
        <v>209</v>
      </c>
      <c r="F293">
        <v>1.18</v>
      </c>
    </row>
    <row r="294" spans="2:6">
      <c r="B294" t="s">
        <v>210</v>
      </c>
      <c r="F294">
        <v>1.73</v>
      </c>
    </row>
    <row r="295" spans="2:6">
      <c r="B295" t="s">
        <v>211</v>
      </c>
      <c r="F295">
        <v>1.73</v>
      </c>
    </row>
    <row r="296" spans="2:6">
      <c r="B296" t="s">
        <v>212</v>
      </c>
      <c r="F296">
        <v>1.68</v>
      </c>
    </row>
    <row r="297" spans="2:6">
      <c r="B297" t="s">
        <v>213</v>
      </c>
      <c r="F297">
        <v>1.64</v>
      </c>
    </row>
    <row r="298" spans="2:6">
      <c r="B298" t="s">
        <v>214</v>
      </c>
      <c r="F298">
        <v>2.2999999999999998</v>
      </c>
    </row>
    <row r="299" spans="2:6">
      <c r="B299" t="s">
        <v>215</v>
      </c>
      <c r="F299">
        <v>1.96</v>
      </c>
    </row>
    <row r="300" spans="2:6">
      <c r="B300" t="s">
        <v>216</v>
      </c>
      <c r="F300">
        <v>1.7</v>
      </c>
    </row>
    <row r="301" spans="2:6">
      <c r="B301" t="s">
        <v>217</v>
      </c>
      <c r="F301">
        <v>2.7</v>
      </c>
    </row>
    <row r="302" spans="2:6">
      <c r="B302" t="s">
        <v>218</v>
      </c>
      <c r="F302">
        <v>2.74</v>
      </c>
    </row>
    <row r="303" spans="2:6">
      <c r="B303" t="s">
        <v>219</v>
      </c>
      <c r="F303">
        <v>2</v>
      </c>
    </row>
    <row r="304" spans="2:6">
      <c r="B304" t="s">
        <v>210</v>
      </c>
      <c r="F304">
        <v>1.73</v>
      </c>
    </row>
    <row r="305" spans="2:6">
      <c r="B305" t="s">
        <v>220</v>
      </c>
      <c r="F305">
        <v>1.68</v>
      </c>
    </row>
    <row r="306" spans="2:6">
      <c r="B306" t="s">
        <v>221</v>
      </c>
      <c r="F306">
        <v>1.64</v>
      </c>
    </row>
    <row r="307" spans="2:6">
      <c r="B307" t="s">
        <v>222</v>
      </c>
      <c r="F307">
        <v>2.2999999999999998</v>
      </c>
    </row>
    <row r="308" spans="2:6">
      <c r="B308" t="s">
        <v>223</v>
      </c>
      <c r="F308">
        <v>1.96</v>
      </c>
    </row>
    <row r="309" spans="2:6">
      <c r="B309" t="s">
        <v>224</v>
      </c>
      <c r="F309">
        <v>1.7</v>
      </c>
    </row>
    <row r="310" spans="2:6">
      <c r="B310" t="s">
        <v>225</v>
      </c>
      <c r="F310">
        <v>2.7</v>
      </c>
    </row>
    <row r="311" spans="2:6">
      <c r="B311" t="s">
        <v>226</v>
      </c>
      <c r="F311">
        <v>2.74</v>
      </c>
    </row>
    <row r="312" spans="2:6">
      <c r="B312" t="s">
        <v>227</v>
      </c>
      <c r="F312">
        <v>1.36</v>
      </c>
    </row>
    <row r="313" spans="2:6">
      <c r="B313" t="s">
        <v>228</v>
      </c>
      <c r="F313">
        <v>1.4</v>
      </c>
    </row>
    <row r="314" spans="2:6">
      <c r="B314" t="s">
        <v>229</v>
      </c>
      <c r="F314">
        <v>2.5</v>
      </c>
    </row>
    <row r="315" spans="2:6">
      <c r="B315" t="s">
        <v>230</v>
      </c>
      <c r="F315">
        <v>1.7</v>
      </c>
    </row>
    <row r="316" spans="2:6">
      <c r="B316" t="s">
        <v>231</v>
      </c>
      <c r="F316">
        <v>1.32</v>
      </c>
    </row>
    <row r="317" spans="2:6">
      <c r="B317" t="s">
        <v>232</v>
      </c>
      <c r="F317">
        <v>1.36</v>
      </c>
    </row>
    <row r="318" spans="2:6">
      <c r="B318" t="s">
        <v>233</v>
      </c>
      <c r="F318">
        <v>1.7</v>
      </c>
    </row>
    <row r="319" spans="2:6">
      <c r="B319" t="s">
        <v>234</v>
      </c>
      <c r="F319">
        <v>1.3</v>
      </c>
    </row>
    <row r="320" spans="2:6">
      <c r="B320" t="s">
        <v>235</v>
      </c>
      <c r="F320">
        <v>1.8</v>
      </c>
    </row>
    <row r="321" spans="2:6">
      <c r="B321" t="s">
        <v>236</v>
      </c>
      <c r="F321">
        <v>1.32</v>
      </c>
    </row>
    <row r="322" spans="2:6">
      <c r="B322" t="s">
        <v>237</v>
      </c>
      <c r="F322">
        <v>1.27</v>
      </c>
    </row>
    <row r="323" spans="2:6">
      <c r="B323" t="s">
        <v>238</v>
      </c>
      <c r="F323">
        <v>1.4</v>
      </c>
    </row>
    <row r="324" spans="2:6">
      <c r="B324" t="s">
        <v>235</v>
      </c>
      <c r="F324">
        <v>1.8</v>
      </c>
    </row>
    <row r="325" spans="2:6">
      <c r="B325" t="s">
        <v>239</v>
      </c>
      <c r="F325">
        <v>1.4</v>
      </c>
    </row>
    <row r="326" spans="2:6">
      <c r="B326" t="s">
        <v>240</v>
      </c>
      <c r="F326">
        <v>2.63</v>
      </c>
    </row>
    <row r="327" spans="2:6">
      <c r="B327" t="s">
        <v>241</v>
      </c>
      <c r="F327">
        <v>2.63</v>
      </c>
    </row>
    <row r="328" spans="2:6">
      <c r="B328" t="s">
        <v>242</v>
      </c>
      <c r="F328">
        <v>2</v>
      </c>
    </row>
    <row r="329" spans="2:6">
      <c r="B329" t="s">
        <v>243</v>
      </c>
      <c r="F329">
        <v>1.8</v>
      </c>
    </row>
    <row r="330" spans="2:6">
      <c r="B330" t="s">
        <v>244</v>
      </c>
      <c r="F330">
        <v>2.2000000000000002</v>
      </c>
    </row>
    <row r="331" spans="2:6">
      <c r="B331" t="s">
        <v>245</v>
      </c>
      <c r="F331">
        <v>2.63</v>
      </c>
    </row>
    <row r="332" spans="2:6">
      <c r="B332" t="s">
        <v>246</v>
      </c>
      <c r="F332">
        <v>2</v>
      </c>
    </row>
    <row r="333" spans="2:6">
      <c r="B333" t="s">
        <v>247</v>
      </c>
      <c r="F333">
        <v>1.47</v>
      </c>
    </row>
    <row r="334" spans="2:6">
      <c r="B334" t="s">
        <v>248</v>
      </c>
      <c r="F334">
        <v>1.36</v>
      </c>
    </row>
    <row r="335" spans="2:6">
      <c r="B335" t="s">
        <v>249</v>
      </c>
      <c r="F335">
        <v>1.47</v>
      </c>
    </row>
    <row r="336" spans="2:6">
      <c r="B336" t="s">
        <v>250</v>
      </c>
      <c r="F336">
        <v>1.53</v>
      </c>
    </row>
    <row r="337" spans="2:6">
      <c r="B337" t="s">
        <v>251</v>
      </c>
      <c r="F337">
        <v>1.24</v>
      </c>
    </row>
    <row r="338" spans="2:6">
      <c r="B338" t="s">
        <v>252</v>
      </c>
      <c r="F338">
        <v>1.47</v>
      </c>
    </row>
    <row r="339" spans="2:6">
      <c r="B339" t="s">
        <v>253</v>
      </c>
      <c r="F339">
        <v>1.55</v>
      </c>
    </row>
    <row r="340" spans="2:6">
      <c r="B340" t="s">
        <v>254</v>
      </c>
      <c r="F340">
        <v>1.75</v>
      </c>
    </row>
    <row r="341" spans="2:6">
      <c r="B341" t="s">
        <v>255</v>
      </c>
      <c r="F341">
        <v>1.7</v>
      </c>
    </row>
    <row r="342" spans="2:6">
      <c r="B342" t="s">
        <v>256</v>
      </c>
      <c r="F342">
        <v>1.3</v>
      </c>
    </row>
    <row r="343" spans="2:6">
      <c r="B343" t="s">
        <v>257</v>
      </c>
      <c r="F343">
        <v>1.53</v>
      </c>
    </row>
    <row r="344" spans="2:6">
      <c r="B344" t="s">
        <v>258</v>
      </c>
      <c r="F344">
        <v>1.27</v>
      </c>
    </row>
    <row r="345" spans="2:6">
      <c r="B345" t="s">
        <v>259</v>
      </c>
      <c r="F345">
        <v>1.3</v>
      </c>
    </row>
    <row r="346" spans="2:6">
      <c r="B346" t="s">
        <v>260</v>
      </c>
      <c r="F346">
        <v>1.4</v>
      </c>
    </row>
    <row r="347" spans="2:6">
      <c r="B347" t="s">
        <v>261</v>
      </c>
      <c r="F347">
        <v>1.4</v>
      </c>
    </row>
    <row r="348" spans="2:6">
      <c r="B348" t="s">
        <v>262</v>
      </c>
      <c r="F348">
        <v>1.44</v>
      </c>
    </row>
    <row r="349" spans="2:6">
      <c r="B349" t="s">
        <v>263</v>
      </c>
      <c r="F349">
        <v>1.1299999999999999</v>
      </c>
    </row>
    <row r="350" spans="2:6">
      <c r="B350" t="s">
        <v>264</v>
      </c>
      <c r="F350">
        <v>1.1299999999999999</v>
      </c>
    </row>
    <row r="351" spans="2:6">
      <c r="B351" t="s">
        <v>265</v>
      </c>
      <c r="F351">
        <v>1.5</v>
      </c>
    </row>
    <row r="352" spans="2:6">
      <c r="B352" t="s">
        <v>210</v>
      </c>
      <c r="F352">
        <v>1.73</v>
      </c>
    </row>
    <row r="353" spans="2:6">
      <c r="B353" t="s">
        <v>220</v>
      </c>
      <c r="F353">
        <v>1.68</v>
      </c>
    </row>
    <row r="354" spans="2:6">
      <c r="B354" t="s">
        <v>221</v>
      </c>
      <c r="F354">
        <v>1.64</v>
      </c>
    </row>
    <row r="355" spans="2:6">
      <c r="B355" t="s">
        <v>222</v>
      </c>
      <c r="F355">
        <v>2.2999999999999998</v>
      </c>
    </row>
    <row r="356" spans="2:6">
      <c r="B356" t="s">
        <v>223</v>
      </c>
      <c r="F356">
        <v>1.96</v>
      </c>
    </row>
    <row r="357" spans="2:6">
      <c r="B357" t="s">
        <v>224</v>
      </c>
      <c r="F357">
        <v>1.7</v>
      </c>
    </row>
    <row r="358" spans="2:6">
      <c r="B358" t="s">
        <v>225</v>
      </c>
      <c r="F358">
        <v>2.7</v>
      </c>
    </row>
    <row r="359" spans="2:6">
      <c r="B359" t="s">
        <v>226</v>
      </c>
      <c r="F359">
        <v>2.74</v>
      </c>
    </row>
    <row r="360" spans="2:6">
      <c r="B360" t="s">
        <v>266</v>
      </c>
      <c r="F360">
        <v>1.36</v>
      </c>
    </row>
    <row r="361" spans="2:6">
      <c r="B361" t="s">
        <v>267</v>
      </c>
      <c r="F361">
        <v>2.5</v>
      </c>
    </row>
    <row r="362" spans="2:6">
      <c r="B362" t="s">
        <v>268</v>
      </c>
      <c r="F362">
        <v>1.7</v>
      </c>
    </row>
    <row r="363" spans="2:6">
      <c r="B363" t="s">
        <v>269</v>
      </c>
      <c r="F363">
        <v>1.32</v>
      </c>
    </row>
    <row r="364" spans="2:6">
      <c r="B364" t="s">
        <v>170</v>
      </c>
      <c r="F364">
        <v>1.36</v>
      </c>
    </row>
    <row r="365" spans="2:6">
      <c r="B365" t="s">
        <v>270</v>
      </c>
      <c r="F365">
        <v>1.7</v>
      </c>
    </row>
    <row r="366" spans="2:6">
      <c r="B366" t="s">
        <v>256</v>
      </c>
      <c r="F366">
        <v>1.3</v>
      </c>
    </row>
    <row r="367" spans="2:6">
      <c r="B367" t="s">
        <v>271</v>
      </c>
      <c r="F367">
        <v>1.32</v>
      </c>
    </row>
    <row r="368" spans="2:6">
      <c r="B368" t="s">
        <v>272</v>
      </c>
      <c r="F368">
        <v>1.27</v>
      </c>
    </row>
    <row r="369" spans="2:6">
      <c r="B369" t="s">
        <v>273</v>
      </c>
      <c r="F369">
        <v>1.4</v>
      </c>
    </row>
    <row r="370" spans="2:6">
      <c r="B370" t="s">
        <v>274</v>
      </c>
      <c r="F370">
        <v>2.63</v>
      </c>
    </row>
    <row r="371" spans="2:6">
      <c r="B371" t="s">
        <v>275</v>
      </c>
      <c r="F371">
        <v>2.63</v>
      </c>
    </row>
    <row r="372" spans="2:6">
      <c r="B372" t="s">
        <v>276</v>
      </c>
      <c r="F372">
        <v>2</v>
      </c>
    </row>
    <row r="373" spans="2:6">
      <c r="B373" t="s">
        <v>277</v>
      </c>
      <c r="F373">
        <v>1.8</v>
      </c>
    </row>
    <row r="374" spans="2:6">
      <c r="B374" t="s">
        <v>245</v>
      </c>
      <c r="F374">
        <v>2.63</v>
      </c>
    </row>
    <row r="375" spans="2:6">
      <c r="B375" t="s">
        <v>278</v>
      </c>
      <c r="F375">
        <v>1.47</v>
      </c>
    </row>
    <row r="376" spans="2:6">
      <c r="B376" t="s">
        <v>279</v>
      </c>
      <c r="F376">
        <v>1.36</v>
      </c>
    </row>
    <row r="377" spans="2:6">
      <c r="B377" t="s">
        <v>280</v>
      </c>
      <c r="F377">
        <v>1.47</v>
      </c>
    </row>
    <row r="378" spans="2:6">
      <c r="B378" t="s">
        <v>257</v>
      </c>
      <c r="F378">
        <v>1.53</v>
      </c>
    </row>
    <row r="379" spans="2:6">
      <c r="B379" t="s">
        <v>281</v>
      </c>
      <c r="F379">
        <v>1.24</v>
      </c>
    </row>
    <row r="380" spans="2:6">
      <c r="B380" t="s">
        <v>282</v>
      </c>
      <c r="F380">
        <v>1.47</v>
      </c>
    </row>
    <row r="381" spans="2:6">
      <c r="B381" t="s">
        <v>283</v>
      </c>
      <c r="F381">
        <v>1.75</v>
      </c>
    </row>
    <row r="382" spans="2:6">
      <c r="B382" t="s">
        <v>284</v>
      </c>
      <c r="F382">
        <v>1.9</v>
      </c>
    </row>
    <row r="383" spans="2:6">
      <c r="B383" t="s">
        <v>285</v>
      </c>
      <c r="F383">
        <v>1.9</v>
      </c>
    </row>
    <row r="384" spans="2:6">
      <c r="B384" t="s">
        <v>286</v>
      </c>
      <c r="F384">
        <v>1.9</v>
      </c>
    </row>
    <row r="385" spans="2:6">
      <c r="B385" t="s">
        <v>287</v>
      </c>
      <c r="F385">
        <v>1.5</v>
      </c>
    </row>
    <row r="386" spans="2:6">
      <c r="B386" t="s">
        <v>288</v>
      </c>
      <c r="F386">
        <v>1.9</v>
      </c>
    </row>
    <row r="387" spans="2:6">
      <c r="B387" t="s">
        <v>289</v>
      </c>
      <c r="F387">
        <v>0.78</v>
      </c>
    </row>
    <row r="388" spans="2:6">
      <c r="B388" t="s">
        <v>290</v>
      </c>
      <c r="F388">
        <v>1.5</v>
      </c>
    </row>
    <row r="389" spans="2:6">
      <c r="B389" t="s">
        <v>291</v>
      </c>
      <c r="F389">
        <v>2.54</v>
      </c>
    </row>
    <row r="390" spans="2:6">
      <c r="B390" t="s">
        <v>292</v>
      </c>
      <c r="F390">
        <v>1.2</v>
      </c>
    </row>
    <row r="391" spans="2:6">
      <c r="B391" t="s">
        <v>293</v>
      </c>
      <c r="F391">
        <v>1.2</v>
      </c>
    </row>
    <row r="392" spans="2:6">
      <c r="B392" t="s">
        <v>294</v>
      </c>
      <c r="F392">
        <v>1.4</v>
      </c>
    </row>
    <row r="393" spans="2:6">
      <c r="B393" t="s">
        <v>295</v>
      </c>
      <c r="F393">
        <v>2.2999999999999998</v>
      </c>
    </row>
    <row r="394" spans="2:6">
      <c r="B394" t="s">
        <v>296</v>
      </c>
      <c r="F394">
        <v>0.33</v>
      </c>
    </row>
    <row r="395" spans="2:6">
      <c r="B395" t="s">
        <v>297</v>
      </c>
      <c r="F395">
        <v>4.45</v>
      </c>
    </row>
    <row r="396" spans="2:6">
      <c r="B396" t="s">
        <v>298</v>
      </c>
      <c r="F396">
        <v>4.3</v>
      </c>
    </row>
    <row r="397" spans="2:6">
      <c r="B397" t="s">
        <v>299</v>
      </c>
      <c r="F397">
        <v>4.57</v>
      </c>
    </row>
    <row r="398" spans="2:6">
      <c r="B398" t="s">
        <v>300</v>
      </c>
      <c r="F398">
        <v>4.9000000000000004</v>
      </c>
    </row>
    <row r="399" spans="2:6">
      <c r="B399" t="s">
        <v>301</v>
      </c>
      <c r="F399">
        <v>1.67</v>
      </c>
    </row>
    <row r="400" spans="2:6">
      <c r="B400" t="s">
        <v>302</v>
      </c>
      <c r="F400">
        <v>2.5</v>
      </c>
    </row>
    <row r="401" spans="2:6">
      <c r="B401" t="s">
        <v>303</v>
      </c>
      <c r="F401">
        <v>1.78</v>
      </c>
    </row>
    <row r="402" spans="2:6">
      <c r="B402" t="s">
        <v>304</v>
      </c>
      <c r="F402">
        <v>1.7</v>
      </c>
    </row>
    <row r="403" spans="2:6">
      <c r="B403" t="s">
        <v>305</v>
      </c>
      <c r="F403">
        <v>7.6</v>
      </c>
    </row>
    <row r="404" spans="2:6">
      <c r="B404" t="s">
        <v>338</v>
      </c>
      <c r="F404">
        <v>1.92</v>
      </c>
    </row>
    <row r="405" spans="2:6">
      <c r="B405" t="s">
        <v>339</v>
      </c>
      <c r="F405">
        <v>1.55</v>
      </c>
    </row>
    <row r="406" spans="2:6">
      <c r="B406" t="s">
        <v>340</v>
      </c>
      <c r="F406">
        <v>1.36</v>
      </c>
    </row>
    <row r="407" spans="2:6">
      <c r="B407" t="s">
        <v>341</v>
      </c>
      <c r="F407">
        <v>1.87</v>
      </c>
    </row>
    <row r="408" spans="2:6">
      <c r="B408" t="s">
        <v>342</v>
      </c>
      <c r="F408">
        <v>1.6</v>
      </c>
    </row>
    <row r="409" spans="2:6">
      <c r="B409" t="s">
        <v>343</v>
      </c>
      <c r="F409">
        <v>1.86</v>
      </c>
    </row>
    <row r="410" spans="2:6">
      <c r="B410" t="s">
        <v>344</v>
      </c>
      <c r="F410">
        <v>1.78</v>
      </c>
    </row>
    <row r="411" spans="2:6">
      <c r="B411" t="s">
        <v>345</v>
      </c>
      <c r="F411">
        <v>1.96</v>
      </c>
    </row>
    <row r="412" spans="2:6">
      <c r="B412" t="s">
        <v>346</v>
      </c>
      <c r="F412">
        <v>1.6</v>
      </c>
    </row>
    <row r="413" spans="2:6">
      <c r="B413" t="s">
        <v>347</v>
      </c>
      <c r="F413">
        <v>1.7</v>
      </c>
    </row>
    <row r="414" spans="2:6">
      <c r="B414" t="s">
        <v>348</v>
      </c>
      <c r="F414">
        <v>1.63</v>
      </c>
    </row>
    <row r="415" spans="2:6">
      <c r="B415" t="s">
        <v>349</v>
      </c>
      <c r="F415">
        <v>2.2000000000000002</v>
      </c>
    </row>
    <row r="416" spans="2:6">
      <c r="B416" t="s">
        <v>350</v>
      </c>
      <c r="F416">
        <v>2.2999999999999998</v>
      </c>
    </row>
    <row r="417" spans="2:6">
      <c r="B417" t="s">
        <v>351</v>
      </c>
      <c r="F417">
        <v>1.1200000000000001</v>
      </c>
    </row>
    <row r="418" spans="2:6">
      <c r="B418" t="s">
        <v>352</v>
      </c>
      <c r="F418">
        <v>1.55</v>
      </c>
    </row>
    <row r="419" spans="2:6">
      <c r="B419" t="s">
        <v>353</v>
      </c>
      <c r="F419">
        <v>1.36</v>
      </c>
    </row>
    <row r="420" spans="2:6">
      <c r="B420" t="s">
        <v>341</v>
      </c>
      <c r="F420">
        <v>1.87</v>
      </c>
    </row>
    <row r="421" spans="2:6">
      <c r="B421" t="s">
        <v>342</v>
      </c>
      <c r="F421">
        <v>1.6</v>
      </c>
    </row>
    <row r="422" spans="2:6">
      <c r="B422" t="s">
        <v>354</v>
      </c>
      <c r="F422">
        <v>1.86</v>
      </c>
    </row>
    <row r="423" spans="2:6">
      <c r="B423" t="s">
        <v>355</v>
      </c>
      <c r="F423">
        <v>1.78</v>
      </c>
    </row>
    <row r="424" spans="2:6">
      <c r="B424" t="s">
        <v>356</v>
      </c>
      <c r="F424">
        <v>1.96</v>
      </c>
    </row>
    <row r="425" spans="2:6">
      <c r="B425" t="s">
        <v>357</v>
      </c>
      <c r="F425">
        <v>1.6</v>
      </c>
    </row>
    <row r="426" spans="2:6">
      <c r="B426" t="s">
        <v>358</v>
      </c>
      <c r="F426">
        <v>1.7</v>
      </c>
    </row>
    <row r="427" spans="2:6">
      <c r="B427" t="s">
        <v>359</v>
      </c>
      <c r="F427">
        <v>1.63</v>
      </c>
    </row>
    <row r="428" spans="2:6">
      <c r="B428" t="s">
        <v>360</v>
      </c>
      <c r="F428">
        <v>2.2000000000000002</v>
      </c>
    </row>
    <row r="429" spans="2:6">
      <c r="B429" t="s">
        <v>350</v>
      </c>
      <c r="F429">
        <v>2.2999999999999998</v>
      </c>
    </row>
    <row r="430" spans="2:6">
      <c r="B430" t="s">
        <v>361</v>
      </c>
      <c r="F430">
        <v>1.1200000000000001</v>
      </c>
    </row>
    <row r="431" spans="2:6">
      <c r="B431" t="s">
        <v>362</v>
      </c>
      <c r="F431">
        <v>2.2999999999999998</v>
      </c>
    </row>
    <row r="432" spans="2:6">
      <c r="B432" t="s">
        <v>337</v>
      </c>
      <c r="F432">
        <v>1.6</v>
      </c>
    </row>
    <row r="433" spans="2:6">
      <c r="B433" t="s">
        <v>363</v>
      </c>
      <c r="F433">
        <v>1.6</v>
      </c>
    </row>
    <row r="434" spans="2:6">
      <c r="B434" t="s">
        <v>364</v>
      </c>
      <c r="F434">
        <v>1.76</v>
      </c>
    </row>
    <row r="435" spans="2:6">
      <c r="B435" t="s">
        <v>365</v>
      </c>
      <c r="F435">
        <v>2</v>
      </c>
    </row>
    <row r="436" spans="2:6">
      <c r="B436" t="s">
        <v>54</v>
      </c>
      <c r="F436">
        <v>1.48</v>
      </c>
    </row>
    <row r="437" spans="2:6">
      <c r="B437" t="s">
        <v>59</v>
      </c>
      <c r="F437">
        <v>1.53</v>
      </c>
    </row>
    <row r="438" spans="2:6">
      <c r="B438" t="s">
        <v>52</v>
      </c>
      <c r="F438">
        <v>1.37</v>
      </c>
    </row>
    <row r="439" spans="2:6">
      <c r="B439" t="s">
        <v>61</v>
      </c>
      <c r="F439">
        <v>1.48</v>
      </c>
    </row>
    <row r="440" spans="2:6">
      <c r="B440" t="s">
        <v>366</v>
      </c>
      <c r="F440">
        <v>1.3</v>
      </c>
    </row>
    <row r="441" spans="2:6">
      <c r="B441" t="s">
        <v>367</v>
      </c>
      <c r="F441">
        <v>1.54</v>
      </c>
    </row>
    <row r="442" spans="2:6">
      <c r="B442" t="s">
        <v>368</v>
      </c>
      <c r="F442">
        <v>1.3</v>
      </c>
    </row>
    <row r="443" spans="2:6">
      <c r="B443" t="s">
        <v>369</v>
      </c>
      <c r="F443">
        <v>1.55</v>
      </c>
    </row>
    <row r="444" spans="2:6">
      <c r="B444" t="s">
        <v>370</v>
      </c>
      <c r="F444">
        <v>1.8</v>
      </c>
    </row>
    <row r="445" spans="2:6">
      <c r="B445" t="s">
        <v>371</v>
      </c>
      <c r="F445">
        <v>1.9</v>
      </c>
    </row>
    <row r="446" spans="2:6">
      <c r="B446" t="s">
        <v>372</v>
      </c>
      <c r="F446">
        <v>1.25</v>
      </c>
    </row>
    <row r="447" spans="2:6">
      <c r="B447" t="s">
        <v>58</v>
      </c>
      <c r="F447">
        <v>2</v>
      </c>
    </row>
    <row r="448" spans="2:6">
      <c r="B448" t="s">
        <v>55</v>
      </c>
      <c r="F448">
        <v>2</v>
      </c>
    </row>
    <row r="449" spans="2:6">
      <c r="B449" t="s">
        <v>53</v>
      </c>
      <c r="F449">
        <v>2.1</v>
      </c>
    </row>
    <row r="450" spans="2:6">
      <c r="B450" t="s">
        <v>373</v>
      </c>
      <c r="F450">
        <v>1.7</v>
      </c>
    </row>
    <row r="451" spans="2:6">
      <c r="B451" t="s">
        <v>374</v>
      </c>
      <c r="F451">
        <v>1.2</v>
      </c>
    </row>
    <row r="452" spans="2:6">
      <c r="B452" t="s">
        <v>375</v>
      </c>
      <c r="F452">
        <v>5.0999999999999996</v>
      </c>
    </row>
    <row r="453" spans="2:6">
      <c r="B453" t="s">
        <v>376</v>
      </c>
      <c r="F453">
        <v>6.6</v>
      </c>
    </row>
    <row r="454" spans="2:6">
      <c r="B454" t="s">
        <v>377</v>
      </c>
      <c r="F454">
        <v>4.38</v>
      </c>
    </row>
    <row r="455" spans="2:6">
      <c r="B455" t="s">
        <v>378</v>
      </c>
      <c r="F455">
        <v>5</v>
      </c>
    </row>
    <row r="456" spans="2:6">
      <c r="B456" t="s">
        <v>379</v>
      </c>
      <c r="F456">
        <v>3.3</v>
      </c>
    </row>
    <row r="457" spans="2:6">
      <c r="B457" t="s">
        <v>380</v>
      </c>
      <c r="F457">
        <v>2</v>
      </c>
    </row>
    <row r="458" spans="2:6">
      <c r="B458" t="s">
        <v>381</v>
      </c>
      <c r="F458">
        <v>2</v>
      </c>
    </row>
    <row r="459" spans="2:6">
      <c r="B459" t="s">
        <v>382</v>
      </c>
      <c r="F459">
        <v>2</v>
      </c>
    </row>
    <row r="460" spans="2:6">
      <c r="B460" t="s">
        <v>383</v>
      </c>
      <c r="F460">
        <v>1.8</v>
      </c>
    </row>
    <row r="461" spans="2:6">
      <c r="B461" t="s">
        <v>384</v>
      </c>
      <c r="F461">
        <v>1.8</v>
      </c>
    </row>
    <row r="462" spans="2:6">
      <c r="B462" t="s">
        <v>385</v>
      </c>
      <c r="F462">
        <v>1.45</v>
      </c>
    </row>
    <row r="463" spans="2:6">
      <c r="B463" t="s">
        <v>386</v>
      </c>
      <c r="F463">
        <v>1.25</v>
      </c>
    </row>
    <row r="464" spans="2:6">
      <c r="B464" t="s">
        <v>387</v>
      </c>
      <c r="F464">
        <v>1.5</v>
      </c>
    </row>
    <row r="465" spans="2:6">
      <c r="B465" t="s">
        <v>388</v>
      </c>
      <c r="F465">
        <v>1.6</v>
      </c>
    </row>
    <row r="466" spans="2:6">
      <c r="B466" t="s">
        <v>389</v>
      </c>
      <c r="F466">
        <v>1.7</v>
      </c>
    </row>
    <row r="467" spans="2:6">
      <c r="B467" t="s">
        <v>390</v>
      </c>
      <c r="F467">
        <v>1.2</v>
      </c>
    </row>
    <row r="468" spans="2:6">
      <c r="B468" t="s">
        <v>391</v>
      </c>
      <c r="F468">
        <v>1.4</v>
      </c>
    </row>
    <row r="469" spans="2:6">
      <c r="B469" t="s">
        <v>392</v>
      </c>
      <c r="F469">
        <v>1.33</v>
      </c>
    </row>
    <row r="470" spans="2:6">
      <c r="B470" t="s">
        <v>393</v>
      </c>
      <c r="F470">
        <v>1.4</v>
      </c>
    </row>
    <row r="471" spans="2:6">
      <c r="B471" t="s">
        <v>394</v>
      </c>
      <c r="F471">
        <v>1.17</v>
      </c>
    </row>
    <row r="472" spans="2:6">
      <c r="B472" t="s">
        <v>395</v>
      </c>
      <c r="F472">
        <v>1.25</v>
      </c>
    </row>
    <row r="473" spans="2:6">
      <c r="B473" t="s">
        <v>396</v>
      </c>
      <c r="F473">
        <v>1.58</v>
      </c>
    </row>
    <row r="474" spans="2:6">
      <c r="B474" t="s">
        <v>397</v>
      </c>
      <c r="F474">
        <v>2.37</v>
      </c>
    </row>
    <row r="475" spans="2:6">
      <c r="B475" t="s">
        <v>398</v>
      </c>
      <c r="F475">
        <v>1.1200000000000001</v>
      </c>
    </row>
    <row r="476" spans="2:6">
      <c r="B476" t="s">
        <v>399</v>
      </c>
      <c r="F476">
        <v>1.36</v>
      </c>
    </row>
    <row r="477" spans="2:6">
      <c r="B477" t="s">
        <v>400</v>
      </c>
      <c r="F477">
        <v>1.3</v>
      </c>
    </row>
    <row r="478" spans="2:6">
      <c r="B478" t="s">
        <v>401</v>
      </c>
      <c r="F478">
        <v>3.15</v>
      </c>
    </row>
    <row r="479" spans="2:6">
      <c r="B479" t="s">
        <v>402</v>
      </c>
      <c r="F479">
        <v>3.5</v>
      </c>
    </row>
    <row r="480" spans="2:6">
      <c r="B480" t="s">
        <v>403</v>
      </c>
      <c r="F480">
        <v>4.5</v>
      </c>
    </row>
    <row r="481" spans="2:6">
      <c r="B481" t="s">
        <v>404</v>
      </c>
      <c r="F481">
        <v>3.18</v>
      </c>
    </row>
    <row r="482" spans="2:6">
      <c r="B482" t="s">
        <v>405</v>
      </c>
      <c r="F482">
        <v>5</v>
      </c>
    </row>
    <row r="483" spans="2:6">
      <c r="B483" t="s">
        <v>406</v>
      </c>
      <c r="F483">
        <v>3.4</v>
      </c>
    </row>
    <row r="484" spans="2:6">
      <c r="B484" t="s">
        <v>407</v>
      </c>
      <c r="F484">
        <v>1.82</v>
      </c>
    </row>
    <row r="485" spans="2:6">
      <c r="B485" t="s">
        <v>408</v>
      </c>
      <c r="F485">
        <v>1.36</v>
      </c>
    </row>
    <row r="486" spans="2:6">
      <c r="B486" t="s">
        <v>409</v>
      </c>
      <c r="F486">
        <v>1.39</v>
      </c>
    </row>
    <row r="487" spans="2:6">
      <c r="B487" t="s">
        <v>410</v>
      </c>
      <c r="F487">
        <v>1.33</v>
      </c>
    </row>
    <row r="488" spans="2:6">
      <c r="B488" t="s">
        <v>411</v>
      </c>
      <c r="F488">
        <v>3.05</v>
      </c>
    </row>
    <row r="489" spans="2:6">
      <c r="B489" t="s">
        <v>412</v>
      </c>
      <c r="F489">
        <v>3</v>
      </c>
    </row>
    <row r="490" spans="2:6">
      <c r="B490" t="s">
        <v>413</v>
      </c>
      <c r="F490">
        <v>1.69</v>
      </c>
    </row>
    <row r="491" spans="2:6">
      <c r="B491" t="s">
        <v>414</v>
      </c>
      <c r="F491">
        <v>1.59</v>
      </c>
    </row>
    <row r="492" spans="2:6">
      <c r="B492" t="s">
        <v>415</v>
      </c>
      <c r="F492">
        <v>1.59</v>
      </c>
    </row>
    <row r="493" spans="2:6">
      <c r="B493" t="s">
        <v>416</v>
      </c>
      <c r="F493">
        <v>1.61</v>
      </c>
    </row>
    <row r="494" spans="2:6">
      <c r="B494" t="s">
        <v>417</v>
      </c>
      <c r="F494">
        <v>2.35</v>
      </c>
    </row>
    <row r="495" spans="2:6">
      <c r="B495" t="s">
        <v>418</v>
      </c>
      <c r="F495">
        <v>1.84</v>
      </c>
    </row>
    <row r="496" spans="2:6">
      <c r="B496" t="s">
        <v>419</v>
      </c>
      <c r="F496">
        <v>1.74</v>
      </c>
    </row>
    <row r="497" spans="2:6">
      <c r="B497" t="s">
        <v>420</v>
      </c>
      <c r="F497">
        <v>1.81</v>
      </c>
    </row>
    <row r="498" spans="2:6">
      <c r="B498" t="s">
        <v>421</v>
      </c>
      <c r="F498">
        <v>2.14</v>
      </c>
    </row>
    <row r="499" spans="2:6">
      <c r="B499" t="s">
        <v>422</v>
      </c>
      <c r="F499">
        <v>1.78</v>
      </c>
    </row>
    <row r="500" spans="2:6">
      <c r="B500" t="s">
        <v>423</v>
      </c>
      <c r="F500">
        <v>1.78</v>
      </c>
    </row>
    <row r="501" spans="2:6">
      <c r="B501" t="s">
        <v>424</v>
      </c>
      <c r="F501">
        <v>6.3</v>
      </c>
    </row>
    <row r="502" spans="2:6">
      <c r="B502" t="s">
        <v>425</v>
      </c>
      <c r="F502">
        <v>2.8</v>
      </c>
    </row>
    <row r="503" spans="2:6">
      <c r="B503" t="s">
        <v>426</v>
      </c>
      <c r="F503">
        <v>2.89</v>
      </c>
    </row>
    <row r="504" spans="2:6">
      <c r="B504" t="s">
        <v>381</v>
      </c>
      <c r="F504">
        <v>2.0499999999999998</v>
      </c>
    </row>
    <row r="505" spans="2:6">
      <c r="B505" t="s">
        <v>427</v>
      </c>
      <c r="F505">
        <v>1.32</v>
      </c>
    </row>
    <row r="506" spans="2:6">
      <c r="B506" t="s">
        <v>428</v>
      </c>
      <c r="F506">
        <v>1.22</v>
      </c>
    </row>
    <row r="507" spans="2:6">
      <c r="B507" t="s">
        <v>429</v>
      </c>
      <c r="F507">
        <v>12.4</v>
      </c>
    </row>
    <row r="508" spans="2:6">
      <c r="B508" t="s">
        <v>430</v>
      </c>
      <c r="F508">
        <v>9.34</v>
      </c>
    </row>
    <row r="509" spans="2:6">
      <c r="B509" t="s">
        <v>431</v>
      </c>
      <c r="F509">
        <v>16.899999999999999</v>
      </c>
    </row>
    <row r="510" spans="2:6">
      <c r="B510" t="s">
        <v>432</v>
      </c>
      <c r="F510">
        <v>9.3000000000000007</v>
      </c>
    </row>
    <row r="511" spans="2:6">
      <c r="B511" t="s">
        <v>433</v>
      </c>
      <c r="F511">
        <v>7.25</v>
      </c>
    </row>
    <row r="512" spans="2:6">
      <c r="B512" t="s">
        <v>434</v>
      </c>
      <c r="F512">
        <v>7.25</v>
      </c>
    </row>
    <row r="513" spans="2:6">
      <c r="B513" t="s">
        <v>435</v>
      </c>
      <c r="F513">
        <v>7.56</v>
      </c>
    </row>
    <row r="514" spans="2:6">
      <c r="B514" t="s">
        <v>436</v>
      </c>
      <c r="F514">
        <v>10.46</v>
      </c>
    </row>
    <row r="515" spans="2:6">
      <c r="B515" t="s">
        <v>437</v>
      </c>
      <c r="F515">
        <v>9.4600000000000009</v>
      </c>
    </row>
    <row r="516" spans="2:6">
      <c r="B516" t="s">
        <v>438</v>
      </c>
      <c r="F516">
        <v>2.7</v>
      </c>
    </row>
    <row r="517" spans="2:6">
      <c r="B517" t="s">
        <v>439</v>
      </c>
      <c r="F517">
        <v>1.28</v>
      </c>
    </row>
    <row r="518" spans="2:6">
      <c r="B518" t="s">
        <v>440</v>
      </c>
      <c r="F518">
        <v>3.61</v>
      </c>
    </row>
    <row r="519" spans="2:6">
      <c r="B519" t="s">
        <v>441</v>
      </c>
      <c r="F519">
        <v>6</v>
      </c>
    </row>
    <row r="520" spans="2:6">
      <c r="B520" t="s">
        <v>442</v>
      </c>
      <c r="F520">
        <v>5.47</v>
      </c>
    </row>
    <row r="521" spans="2:6">
      <c r="B521" t="s">
        <v>443</v>
      </c>
      <c r="F521">
        <v>5.26</v>
      </c>
    </row>
    <row r="522" spans="2:6">
      <c r="B522" t="s">
        <v>444</v>
      </c>
      <c r="F522">
        <v>5.14</v>
      </c>
    </row>
    <row r="523" spans="2:6">
      <c r="B523" t="s">
        <v>445</v>
      </c>
      <c r="F523">
        <v>6</v>
      </c>
    </row>
    <row r="524" spans="2:6">
      <c r="B524" t="s">
        <v>446</v>
      </c>
      <c r="F524">
        <v>4.25</v>
      </c>
    </row>
    <row r="525" spans="2:6">
      <c r="B525" t="s">
        <v>447</v>
      </c>
      <c r="F525">
        <v>8</v>
      </c>
    </row>
    <row r="526" spans="2:6">
      <c r="B526" t="s">
        <v>448</v>
      </c>
      <c r="F526">
        <v>1.2</v>
      </c>
    </row>
    <row r="527" spans="2:6">
      <c r="B527" t="s">
        <v>449</v>
      </c>
      <c r="F527">
        <v>26.8</v>
      </c>
    </row>
    <row r="528" spans="2:6">
      <c r="B528" t="s">
        <v>450</v>
      </c>
      <c r="F528">
        <v>10.7</v>
      </c>
    </row>
    <row r="529" spans="2:6">
      <c r="B529" t="s">
        <v>451</v>
      </c>
      <c r="F529">
        <v>1.32</v>
      </c>
    </row>
    <row r="530" spans="2:6">
      <c r="B530" t="s">
        <v>452</v>
      </c>
      <c r="F530">
        <v>1.24</v>
      </c>
    </row>
    <row r="531" spans="2:6">
      <c r="B531" t="s">
        <v>453</v>
      </c>
      <c r="F531">
        <v>5.2</v>
      </c>
    </row>
    <row r="532" spans="2:6">
      <c r="B532" t="s">
        <v>454</v>
      </c>
      <c r="F532">
        <v>1.08</v>
      </c>
    </row>
    <row r="533" spans="2:6">
      <c r="B533" t="s">
        <v>455</v>
      </c>
      <c r="F533">
        <v>1.27</v>
      </c>
    </row>
    <row r="534" spans="2:6">
      <c r="B534" t="s">
        <v>456</v>
      </c>
      <c r="F534">
        <v>1.8</v>
      </c>
    </row>
    <row r="535" spans="2:6">
      <c r="B535" t="s">
        <v>457</v>
      </c>
      <c r="F535">
        <v>2.06</v>
      </c>
    </row>
    <row r="536" spans="2:6">
      <c r="B536" t="s">
        <v>458</v>
      </c>
      <c r="F536">
        <v>1.27</v>
      </c>
    </row>
    <row r="537" spans="2:6">
      <c r="B537" t="s">
        <v>459</v>
      </c>
      <c r="F537">
        <v>2.04</v>
      </c>
    </row>
    <row r="538" spans="2:6">
      <c r="B538" t="s">
        <v>460</v>
      </c>
      <c r="F538">
        <v>1.1000000000000001</v>
      </c>
    </row>
    <row r="539" spans="2:6">
      <c r="B539" t="s">
        <v>461</v>
      </c>
      <c r="F539">
        <v>2.6</v>
      </c>
    </row>
    <row r="540" spans="2:6">
      <c r="B540" t="s">
        <v>462</v>
      </c>
      <c r="F540">
        <v>1.5</v>
      </c>
    </row>
    <row r="541" spans="2:6">
      <c r="B541" t="s">
        <v>463</v>
      </c>
      <c r="F541">
        <v>1.2</v>
      </c>
    </row>
    <row r="542" spans="2:6">
      <c r="B542" t="s">
        <v>464</v>
      </c>
      <c r="F542">
        <v>1.67</v>
      </c>
    </row>
    <row r="543" spans="2:6">
      <c r="B543" t="s">
        <v>465</v>
      </c>
      <c r="F543">
        <v>2.08</v>
      </c>
    </row>
    <row r="544" spans="2:6">
      <c r="B544" t="s">
        <v>466</v>
      </c>
      <c r="F544">
        <v>2.6</v>
      </c>
    </row>
    <row r="545" spans="2:6">
      <c r="B545" t="s">
        <v>467</v>
      </c>
      <c r="F545">
        <v>0.62</v>
      </c>
    </row>
    <row r="546" spans="2:6">
      <c r="B546" t="s">
        <v>468</v>
      </c>
      <c r="F546">
        <v>1.52</v>
      </c>
    </row>
    <row r="547" spans="2:6">
      <c r="B547" t="s">
        <v>469</v>
      </c>
      <c r="F547">
        <v>2.9</v>
      </c>
    </row>
    <row r="548" spans="2:6">
      <c r="B548" t="s">
        <v>470</v>
      </c>
      <c r="F548">
        <v>2.35</v>
      </c>
    </row>
    <row r="549" spans="2:6">
      <c r="B549" t="s">
        <v>471</v>
      </c>
      <c r="F549">
        <v>2.82</v>
      </c>
    </row>
    <row r="550" spans="2:6">
      <c r="B550" t="s">
        <v>472</v>
      </c>
      <c r="F550">
        <v>1.5</v>
      </c>
    </row>
    <row r="551" spans="2:6">
      <c r="B551" t="s">
        <v>473</v>
      </c>
      <c r="F551">
        <v>1.49</v>
      </c>
    </row>
    <row r="552" spans="2:6">
      <c r="B552" t="s">
        <v>474</v>
      </c>
      <c r="F552">
        <v>1.49</v>
      </c>
    </row>
    <row r="553" spans="2:6">
      <c r="B553" t="s">
        <v>475</v>
      </c>
      <c r="F553">
        <v>1.5</v>
      </c>
    </row>
    <row r="554" spans="2:6">
      <c r="B554" t="s">
        <v>476</v>
      </c>
      <c r="F554">
        <v>1.49</v>
      </c>
    </row>
    <row r="555" spans="2:6">
      <c r="B555" t="s">
        <v>477</v>
      </c>
      <c r="F555">
        <v>1.49</v>
      </c>
    </row>
    <row r="556" spans="2:6">
      <c r="B556" t="s">
        <v>478</v>
      </c>
      <c r="F556">
        <v>1.79</v>
      </c>
    </row>
    <row r="557" spans="2:6">
      <c r="B557" t="s">
        <v>479</v>
      </c>
      <c r="F557">
        <v>2.29</v>
      </c>
    </row>
    <row r="558" spans="2:6">
      <c r="B558" t="s">
        <v>480</v>
      </c>
      <c r="F558">
        <v>1.66</v>
      </c>
    </row>
    <row r="559" spans="2:6">
      <c r="B559" t="s">
        <v>481</v>
      </c>
      <c r="F559">
        <v>1.4</v>
      </c>
    </row>
    <row r="560" spans="2:6">
      <c r="B560" t="s">
        <v>482</v>
      </c>
      <c r="F560">
        <v>1.59</v>
      </c>
    </row>
    <row r="561" spans="2:6">
      <c r="B561" t="s">
        <v>483</v>
      </c>
      <c r="F561">
        <v>1.2</v>
      </c>
    </row>
    <row r="562" spans="2:6">
      <c r="B562" t="s">
        <v>484</v>
      </c>
      <c r="F562">
        <v>1.47</v>
      </c>
    </row>
    <row r="563" spans="2:6">
      <c r="B563" t="s">
        <v>485</v>
      </c>
      <c r="F563">
        <v>1.24</v>
      </c>
    </row>
    <row r="564" spans="2:6">
      <c r="B564" t="s">
        <v>137</v>
      </c>
      <c r="F564">
        <v>1.35</v>
      </c>
    </row>
    <row r="565" spans="2:6">
      <c r="B565" t="s">
        <v>486</v>
      </c>
      <c r="F565">
        <v>2.14</v>
      </c>
    </row>
    <row r="566" spans="2:6">
      <c r="B566" t="s">
        <v>487</v>
      </c>
      <c r="F566">
        <v>1.71</v>
      </c>
    </row>
    <row r="567" spans="2:6">
      <c r="B567" t="s">
        <v>488</v>
      </c>
      <c r="F567">
        <v>1.85</v>
      </c>
    </row>
    <row r="568" spans="2:6">
      <c r="B568" t="s">
        <v>489</v>
      </c>
      <c r="F568">
        <v>1.85</v>
      </c>
    </row>
    <row r="569" spans="2:6">
      <c r="B569" t="s">
        <v>490</v>
      </c>
      <c r="F569">
        <v>1.36</v>
      </c>
    </row>
    <row r="570" spans="2:6">
      <c r="B570" t="s">
        <v>491</v>
      </c>
      <c r="F570">
        <v>1.26</v>
      </c>
    </row>
    <row r="571" spans="2:6">
      <c r="B571" t="s">
        <v>492</v>
      </c>
      <c r="F571">
        <v>2</v>
      </c>
    </row>
    <row r="572" spans="2:6">
      <c r="B572" t="s">
        <v>493</v>
      </c>
      <c r="F572">
        <v>2</v>
      </c>
    </row>
    <row r="573" spans="2:6">
      <c r="B573" t="s">
        <v>494</v>
      </c>
      <c r="F573">
        <v>1.82</v>
      </c>
    </row>
    <row r="574" spans="2:6">
      <c r="B574" t="s">
        <v>495</v>
      </c>
      <c r="F574">
        <v>1.51</v>
      </c>
    </row>
    <row r="575" spans="2:6">
      <c r="B575" t="s">
        <v>496</v>
      </c>
      <c r="F575">
        <v>1.29</v>
      </c>
    </row>
    <row r="576" spans="2:6">
      <c r="B576" t="s">
        <v>497</v>
      </c>
      <c r="F576">
        <v>1.27</v>
      </c>
    </row>
    <row r="577" spans="2:6">
      <c r="B577" t="s">
        <v>498</v>
      </c>
      <c r="F577">
        <v>1.28</v>
      </c>
    </row>
    <row r="578" spans="2:6">
      <c r="B578" t="s">
        <v>499</v>
      </c>
      <c r="F578">
        <v>1.32</v>
      </c>
    </row>
    <row r="579" spans="2:6">
      <c r="B579" t="s">
        <v>500</v>
      </c>
      <c r="F579">
        <v>1.55</v>
      </c>
    </row>
    <row r="580" spans="2:6">
      <c r="B580" t="s">
        <v>501</v>
      </c>
      <c r="F580">
        <v>1.36</v>
      </c>
    </row>
    <row r="581" spans="2:6">
      <c r="B581" t="s">
        <v>502</v>
      </c>
      <c r="F581">
        <v>1.46</v>
      </c>
    </row>
    <row r="582" spans="2:6">
      <c r="B582" t="s">
        <v>503</v>
      </c>
      <c r="F582">
        <v>1.74</v>
      </c>
    </row>
    <row r="583" spans="2:6">
      <c r="B583" t="s">
        <v>504</v>
      </c>
      <c r="F583">
        <v>2.5099999999999998</v>
      </c>
    </row>
    <row r="584" spans="2:6">
      <c r="B584" t="s">
        <v>505</v>
      </c>
      <c r="F584">
        <v>1.43</v>
      </c>
    </row>
    <row r="585" spans="2:6">
      <c r="B585" t="s">
        <v>506</v>
      </c>
      <c r="F585">
        <v>2.86</v>
      </c>
    </row>
    <row r="586" spans="2:6">
      <c r="B586" t="s">
        <v>507</v>
      </c>
      <c r="F586">
        <v>1.85</v>
      </c>
    </row>
    <row r="587" spans="2:6">
      <c r="B587" t="s">
        <v>508</v>
      </c>
      <c r="F587">
        <v>2.79</v>
      </c>
    </row>
    <row r="588" spans="2:6">
      <c r="B588" t="s">
        <v>509</v>
      </c>
      <c r="F588">
        <v>3.09</v>
      </c>
    </row>
    <row r="589" spans="2:6">
      <c r="B589" t="s">
        <v>510</v>
      </c>
      <c r="F589">
        <v>2.04</v>
      </c>
    </row>
    <row r="590" spans="2:6">
      <c r="B590" t="s">
        <v>511</v>
      </c>
      <c r="F590">
        <v>1.0900000000000001</v>
      </c>
    </row>
    <row r="591" spans="2:6">
      <c r="B591" t="s">
        <v>512</v>
      </c>
      <c r="F591">
        <v>1.36</v>
      </c>
    </row>
    <row r="592" spans="2:6">
      <c r="B592" t="s">
        <v>513</v>
      </c>
      <c r="F592">
        <v>1.17</v>
      </c>
    </row>
    <row r="593" spans="2:6">
      <c r="B593" t="s">
        <v>60</v>
      </c>
      <c r="F593">
        <v>1.32</v>
      </c>
    </row>
    <row r="594" spans="2:6">
      <c r="B594" t="s">
        <v>387</v>
      </c>
      <c r="F594">
        <v>1.49</v>
      </c>
    </row>
    <row r="595" spans="2:6">
      <c r="B595" t="s">
        <v>514</v>
      </c>
      <c r="F595">
        <v>2</v>
      </c>
    </row>
    <row r="596" spans="2:6">
      <c r="B596" t="s">
        <v>515</v>
      </c>
      <c r="F596">
        <v>1.24</v>
      </c>
    </row>
    <row r="597" spans="2:6">
      <c r="B597" t="s">
        <v>516</v>
      </c>
      <c r="F597">
        <v>1.75</v>
      </c>
    </row>
    <row r="598" spans="2:6">
      <c r="B598" t="s">
        <v>517</v>
      </c>
      <c r="F598">
        <v>2.74</v>
      </c>
    </row>
    <row r="599" spans="2:6">
      <c r="B599" t="s">
        <v>518</v>
      </c>
      <c r="F599">
        <v>2.87</v>
      </c>
    </row>
    <row r="600" spans="2:6">
      <c r="B600" t="s">
        <v>519</v>
      </c>
      <c r="F600">
        <v>2.2599999999999998</v>
      </c>
    </row>
    <row r="601" spans="2:6">
      <c r="B601" t="s">
        <v>520</v>
      </c>
      <c r="F601">
        <v>1.26</v>
      </c>
    </row>
    <row r="602" spans="2:6">
      <c r="B602" t="s">
        <v>521</v>
      </c>
      <c r="F602">
        <v>1.26</v>
      </c>
    </row>
  </sheetData>
  <pageMargins left="0.7" right="0.7" top="0.75" bottom="0.75" header="0.3" footer="0.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43A68E42-9382-4DA9-9E35-76B7D9B5CD77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11</vt:i4>
      </vt:variant>
    </vt:vector>
  </HeadingPairs>
  <TitlesOfParts>
    <vt:vector size="11" baseType="lpstr">
      <vt:lpstr>Audit Report</vt:lpstr>
      <vt:lpstr>Locked and Faulty</vt:lpstr>
      <vt:lpstr>My_Audit</vt:lpstr>
      <vt:lpstr>Input</vt:lpstr>
      <vt:lpstr>Disk_Pivot</vt:lpstr>
      <vt:lpstr>Disk_Pivot_Data</vt:lpstr>
      <vt:lpstr>MacReports</vt:lpstr>
      <vt:lpstr>CSV</vt:lpstr>
      <vt:lpstr>CPU_Formula</vt:lpstr>
      <vt:lpstr>Output_Mac</vt:lpstr>
      <vt:lpstr>Models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Admin</dc:creator>
  <cp:lastModifiedBy>Admin</cp:lastModifiedBy>
  <dcterms:created xsi:type="dcterms:W3CDTF">2026-02-22T07:51:33Z</dcterms:created>
  <dcterms:modified xsi:type="dcterms:W3CDTF">2026-03-10T08:24:41Z</dcterms:modified>
</cp:coreProperties>
</file>